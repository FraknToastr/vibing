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TRIM\PAR\"/>
    </mc:Choice>
  </mc:AlternateContent>
  <xr:revisionPtr revIDLastSave="0" documentId="13_ncr:1_{6E9E06B1-94B9-4993-9224-AEBED7E58875}" xr6:coauthVersionLast="47" xr6:coauthVersionMax="47" xr10:uidLastSave="{00000000-0000-0000-0000-000000000000}"/>
  <bookViews>
    <workbookView xWindow="-120" yWindow="-120" windowWidth="29040" windowHeight="15720" firstSheet="6" activeTab="7" xr2:uid="{54D01A2D-36D7-4D55-A158-948BEB2041D7}"/>
  </bookViews>
  <sheets>
    <sheet name="TreatmentType" sheetId="32" state="veryHidden" r:id="rId1"/>
    <sheet name="UoM" sheetId="23" state="veryHidden" r:id="rId2"/>
    <sheet name="SC_Financials" sheetId="22" state="veryHidden" r:id="rId3"/>
    <sheet name="CoA_Schema" sheetId="21" state="veryHidden" r:id="rId4"/>
    <sheet name="SC_Component" sheetId="20" state="veryHidden" r:id="rId5"/>
    <sheet name="Corp_Overhead" sheetId="13" state="veryHidden" r:id="rId6"/>
    <sheet name="Version History" sheetId="33" r:id="rId7"/>
    <sheet name="Summary" sheetId="1" r:id="rId8"/>
    <sheet name="AH_SubType" sheetId="19" state="veryHidden" r:id="rId9"/>
    <sheet name="AH_Type" sheetId="18" state="veryHidden" r:id="rId10"/>
    <sheet name="AH_SubClass" sheetId="17" state="veryHidden" r:id="rId11"/>
    <sheet name="AH_Class" sheetId="16" state="veryHidden" r:id="rId12"/>
    <sheet name="Transactions" sheetId="14" r:id="rId13"/>
    <sheet name="As Cons" sheetId="5" r:id="rId14"/>
    <sheet name="Project-Wide Costs" sheetId="9" r:id="rId15"/>
    <sheet name="Renewed Assets" sheetId="3" state="veryHidden" r:id="rId16"/>
    <sheet name="New Assets" sheetId="2" r:id="rId17"/>
    <sheet name="Disposed Assets" sheetId="4" r:id="rId18"/>
    <sheet name="Handover Cost Report" sheetId="12" r:id="rId19"/>
    <sheet name="Cost_Category" sheetId="10" state="veryHidden" r:id="rId20"/>
    <sheet name="Cost_Item" sheetId="11" state="veryHidden" r:id="rId21"/>
    <sheet name="Asset_Class" sheetId="6" state="veryHidden" r:id="rId22"/>
    <sheet name="Z8290_Assetic_DisposedVals" sheetId="31" r:id="rId23"/>
    <sheet name="Z8290_Assetic_DisposedAssets" sheetId="30" state="hidden" r:id="rId24"/>
    <sheet name="_Assetic_CapExRenewals" sheetId="29" state="hidden" r:id="rId25"/>
    <sheet name="Z8290_Assetic_NewValuations" sheetId="28" r:id="rId26"/>
    <sheet name="Z8290_Assetic_NewMeasure" sheetId="27" state="hidden" r:id="rId27"/>
    <sheet name="Z8290_Assetic_NewComponent" sheetId="26" state="hidden" r:id="rId28"/>
    <sheet name="Z8290_Assetic_NewAssets" sheetId="24" state="hidden" r:id="rId29"/>
  </sheets>
  <externalReferences>
    <externalReference r:id="rId30"/>
  </externalReferences>
  <definedNames>
    <definedName name="_xlnm._FilterDatabase" localSheetId="16" hidden="1">'New Assets'!$A$9:$AE$109</definedName>
    <definedName name="_xlnm._FilterDatabase" localSheetId="7" hidden="1">Summary!$B$16:$Q$21</definedName>
    <definedName name="_xlnm._FilterDatabase" localSheetId="12" hidden="1">Transactions!$B$9:$O$1768</definedName>
    <definedName name="CPD_Total_Assets_Costs">'Handover Cost Report'!$M$17</definedName>
    <definedName name="DA_Total_Amount">'Disposed Assets'!$Q$8</definedName>
    <definedName name="ExternalData_1" localSheetId="11" hidden="1">AH_Class!$A$1:$A$12</definedName>
    <definedName name="ExternalData_2" localSheetId="10" hidden="1">AH_SubClass!$A$1:$B$53</definedName>
    <definedName name="ExternalData_2" localSheetId="0" hidden="1">TreatmentType!$A$1:$B$165</definedName>
    <definedName name="ExternalData_3" localSheetId="9" hidden="1">AH_Type!$A$1:$B$140</definedName>
    <definedName name="ExternalData_4" localSheetId="8" hidden="1">AH_SubType!$A$1:$B$547</definedName>
    <definedName name="ExternalData_4" localSheetId="3" hidden="1">'CoA_Schema'!$A$1:$I$458</definedName>
    <definedName name="ExternalData_4" localSheetId="4" hidden="1">SC_Component!$A$1:$C$385</definedName>
    <definedName name="ExternalData_4" localSheetId="2" hidden="1">SC_Financials!$A$1:$C$129</definedName>
    <definedName name="ExternalData_4" localSheetId="1" hidden="1">UoM!$A$1:$B$4</definedName>
    <definedName name="FI_Actual_Budget">Summary!$E$17</definedName>
    <definedName name="FI_Closing_Balance">Summary!$E$20</definedName>
    <definedName name="FI_CY_Expenditure">Summary!$E$19</definedName>
    <definedName name="FI_Opening_Balance">Summary!$E$18</definedName>
    <definedName name="FI_Overhead_Percentage">Summary!$M$21</definedName>
    <definedName name="FI_Prev_Overhead">Summary!$E$22</definedName>
    <definedName name="FI_Total_Budget">Summary!$E$16</definedName>
    <definedName name="NA_Total_Costs">'New Assets'!$K$8</definedName>
    <definedName name="PR_Asset_Manager">Summary!$E$12</definedName>
    <definedName name="PR_Project_Manager">Summary!$E$11</definedName>
    <definedName name="PR_Project_Name">Summary!$E$9</definedName>
    <definedName name="PR_T1_Number">Summary!$E$10</definedName>
    <definedName name="PW_Total_Costs">'Project-Wide Costs'!$E$8</definedName>
    <definedName name="query" localSheetId="5" hidden="1">Corp_Overhead!$A$1:$D$3</definedName>
    <definedName name="query__2" localSheetId="21" hidden="1">Asset_Class!$A$1:$D$31</definedName>
    <definedName name="RA_Total_Costs">'Renewed Assets'!$K$8</definedName>
    <definedName name="Total_Write_Off_Costs">'Project-Wide Costs'!$E$9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9" i="12" l="1"/>
  <c r="M119" i="12" s="1"/>
  <c r="D119" i="12"/>
  <c r="D118" i="12"/>
  <c r="L117" i="12"/>
  <c r="M117" i="12" s="1"/>
  <c r="D117" i="12"/>
  <c r="D116" i="12"/>
  <c r="L115" i="12"/>
  <c r="M115" i="12" s="1"/>
  <c r="D115" i="12"/>
  <c r="D114" i="12"/>
  <c r="D113" i="12"/>
  <c r="L112" i="12"/>
  <c r="M112" i="12" s="1"/>
  <c r="D112" i="12"/>
  <c r="D111" i="12"/>
  <c r="L110" i="12"/>
  <c r="M110" i="12" s="1"/>
  <c r="D110" i="12"/>
  <c r="D109" i="12"/>
  <c r="L108" i="12"/>
  <c r="M108" i="12" s="1"/>
  <c r="D108" i="12"/>
  <c r="D107" i="12"/>
  <c r="D106" i="12"/>
  <c r="L105" i="12"/>
  <c r="M105" i="12" s="1"/>
  <c r="D105" i="12"/>
  <c r="D104" i="12"/>
  <c r="L103" i="12"/>
  <c r="M103" i="12" s="1"/>
  <c r="D103" i="12"/>
  <c r="D102" i="12"/>
  <c r="L101" i="12"/>
  <c r="M101" i="12" s="1"/>
  <c r="D101" i="12"/>
  <c r="D100" i="12"/>
  <c r="L99" i="12"/>
  <c r="M99" i="12" s="1"/>
  <c r="D99" i="12"/>
  <c r="D98" i="12"/>
  <c r="D97" i="12"/>
  <c r="L96" i="12"/>
  <c r="M96" i="12" s="1"/>
  <c r="D96" i="12"/>
  <c r="D95" i="12"/>
  <c r="D94" i="12"/>
  <c r="L93" i="12"/>
  <c r="M93" i="12" s="1"/>
  <c r="D93" i="12"/>
  <c r="D92" i="12"/>
  <c r="D91" i="12"/>
  <c r="L90" i="12"/>
  <c r="M90" i="12" s="1"/>
  <c r="D90" i="12"/>
  <c r="D89" i="12"/>
  <c r="L88" i="12"/>
  <c r="M88" i="12" s="1"/>
  <c r="D88" i="12"/>
  <c r="D87" i="12"/>
  <c r="L86" i="12"/>
  <c r="M86" i="12" s="1"/>
  <c r="D86" i="12"/>
  <c r="D85" i="12"/>
  <c r="L84" i="12"/>
  <c r="M84" i="12" s="1"/>
  <c r="D84" i="12"/>
  <c r="D83" i="12"/>
  <c r="L82" i="12"/>
  <c r="M82" i="12" s="1"/>
  <c r="D82" i="12"/>
  <c r="D81" i="12"/>
  <c r="D80" i="12"/>
  <c r="D79" i="12"/>
  <c r="L78" i="12"/>
  <c r="M78" i="12" s="1"/>
  <c r="D78" i="12"/>
  <c r="D77" i="12"/>
  <c r="D76" i="12"/>
  <c r="L75" i="12"/>
  <c r="M75" i="12" s="1"/>
  <c r="D75" i="12"/>
  <c r="D74" i="12"/>
  <c r="D73" i="12"/>
  <c r="L72" i="12"/>
  <c r="M72" i="12" s="1"/>
  <c r="D72" i="12"/>
  <c r="D71" i="12"/>
  <c r="D70" i="12"/>
  <c r="L69" i="12"/>
  <c r="M69" i="12" s="1"/>
  <c r="D69" i="12"/>
  <c r="D68" i="12"/>
  <c r="D67" i="12"/>
  <c r="L66" i="12"/>
  <c r="M66" i="12" s="1"/>
  <c r="D66" i="12"/>
  <c r="D65" i="12"/>
  <c r="D64" i="12"/>
  <c r="L63" i="12"/>
  <c r="M63" i="12" s="1"/>
  <c r="D63" i="12"/>
  <c r="L62" i="12"/>
  <c r="M62" i="12" s="1"/>
  <c r="D62" i="12"/>
  <c r="D61" i="12"/>
  <c r="L60" i="12"/>
  <c r="M60" i="12" s="1"/>
  <c r="D60" i="12"/>
  <c r="D59" i="12"/>
  <c r="L58" i="12"/>
  <c r="M58" i="12" s="1"/>
  <c r="D58" i="12"/>
  <c r="D57" i="12"/>
  <c r="D56" i="12"/>
  <c r="D55" i="12"/>
  <c r="L54" i="12"/>
  <c r="M54" i="12" s="1"/>
  <c r="D54" i="12"/>
  <c r="D53" i="12"/>
  <c r="D52" i="12"/>
  <c r="L51" i="12"/>
  <c r="M51" i="12" s="1"/>
  <c r="D51" i="12"/>
  <c r="D50" i="12"/>
  <c r="D49" i="12"/>
  <c r="L48" i="12"/>
  <c r="M48" i="12" s="1"/>
  <c r="D48" i="12"/>
  <c r="L47" i="12"/>
  <c r="M47" i="12" s="1"/>
  <c r="D47" i="12"/>
  <c r="D46" i="12"/>
  <c r="D45" i="12"/>
  <c r="D44" i="12"/>
  <c r="L43" i="12"/>
  <c r="M43" i="12" s="1"/>
  <c r="D43" i="12"/>
  <c r="D42" i="12"/>
  <c r="D41" i="12"/>
  <c r="L40" i="12"/>
  <c r="M40" i="12" s="1"/>
  <c r="D40" i="12"/>
  <c r="D39" i="12"/>
  <c r="D38" i="12"/>
  <c r="L37" i="12"/>
  <c r="M37" i="12" s="1"/>
  <c r="D37" i="12"/>
  <c r="L36" i="12"/>
  <c r="M36" i="12" s="1"/>
  <c r="D36" i="12"/>
  <c r="D35" i="12"/>
  <c r="L34" i="12"/>
  <c r="M34" i="12" s="1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E19" i="1" l="1"/>
  <c r="Q40" i="1" s="1"/>
  <c r="AE62" i="2"/>
  <c r="P62" i="2"/>
  <c r="O62" i="2" a="1"/>
  <c r="O62" i="2" s="1"/>
  <c r="N62" i="2" a="1"/>
  <c r="N62" i="2" s="1"/>
  <c r="K62" i="2"/>
  <c r="AE53" i="2"/>
  <c r="P53" i="2"/>
  <c r="O53" i="2" a="1"/>
  <c r="O53" i="2" s="1"/>
  <c r="N53" i="2" a="1"/>
  <c r="N53" i="2" s="1"/>
  <c r="K53" i="2"/>
  <c r="AE38" i="2"/>
  <c r="P38" i="2"/>
  <c r="O38" i="2" a="1"/>
  <c r="O38" i="2" s="1"/>
  <c r="N38" i="2" a="1"/>
  <c r="N38" i="2" s="1"/>
  <c r="K38" i="2"/>
  <c r="AE109" i="2" l="1"/>
  <c r="P109" i="2"/>
  <c r="O109" i="2" a="1"/>
  <c r="O109" i="2" s="1"/>
  <c r="N109" i="2" a="1"/>
  <c r="N109" i="2" s="1"/>
  <c r="K109" i="2"/>
  <c r="AE108" i="2"/>
  <c r="P108" i="2"/>
  <c r="O108" i="2" a="1"/>
  <c r="O108" i="2" s="1"/>
  <c r="N108" i="2" a="1"/>
  <c r="N108" i="2" s="1"/>
  <c r="K108" i="2"/>
  <c r="AE107" i="2"/>
  <c r="P107" i="2"/>
  <c r="O107" i="2" a="1"/>
  <c r="O107" i="2" s="1"/>
  <c r="N107" i="2" a="1"/>
  <c r="N107" i="2" s="1"/>
  <c r="K107" i="2"/>
  <c r="AE106" i="2"/>
  <c r="P106" i="2"/>
  <c r="O106" i="2" a="1"/>
  <c r="O106" i="2" s="1"/>
  <c r="N106" i="2" a="1"/>
  <c r="N106" i="2" s="1"/>
  <c r="K106" i="2"/>
  <c r="AE105" i="2"/>
  <c r="P105" i="2"/>
  <c r="O105" i="2" a="1"/>
  <c r="O105" i="2" s="1"/>
  <c r="N105" i="2" a="1"/>
  <c r="N105" i="2" s="1"/>
  <c r="K105" i="2"/>
  <c r="AE104" i="2"/>
  <c r="P104" i="2"/>
  <c r="O104" i="2" a="1"/>
  <c r="O104" i="2" s="1"/>
  <c r="N104" i="2" a="1"/>
  <c r="N104" i="2" s="1"/>
  <c r="K104" i="2"/>
  <c r="AE103" i="2"/>
  <c r="P103" i="2"/>
  <c r="O103" i="2" a="1"/>
  <c r="O103" i="2" s="1"/>
  <c r="N103" i="2" a="1"/>
  <c r="N103" i="2" s="1"/>
  <c r="K103" i="2"/>
  <c r="AE102" i="2"/>
  <c r="P102" i="2"/>
  <c r="O102" i="2" a="1"/>
  <c r="O102" i="2" s="1"/>
  <c r="N102" i="2" a="1"/>
  <c r="N102" i="2" s="1"/>
  <c r="K102" i="2"/>
  <c r="AE101" i="2"/>
  <c r="P101" i="2"/>
  <c r="O101" i="2" a="1"/>
  <c r="O101" i="2" s="1"/>
  <c r="N101" i="2" a="1"/>
  <c r="N101" i="2" s="1"/>
  <c r="K101" i="2"/>
  <c r="AE100" i="2"/>
  <c r="P100" i="2"/>
  <c r="O100" i="2" a="1"/>
  <c r="O100" i="2" s="1"/>
  <c r="N100" i="2" a="1"/>
  <c r="N100" i="2" s="1"/>
  <c r="K100" i="2"/>
  <c r="AE99" i="2"/>
  <c r="O99" i="2" a="1"/>
  <c r="O99" i="2" s="1"/>
  <c r="N99" i="2" a="1"/>
  <c r="N99" i="2" s="1"/>
  <c r="K99" i="2"/>
  <c r="AE98" i="2"/>
  <c r="P98" i="2"/>
  <c r="O98" i="2" a="1"/>
  <c r="O98" i="2" s="1"/>
  <c r="N98" i="2" a="1"/>
  <c r="N98" i="2" s="1"/>
  <c r="K98" i="2"/>
  <c r="AE97" i="2"/>
  <c r="P97" i="2"/>
  <c r="O97" i="2" a="1"/>
  <c r="O97" i="2" s="1"/>
  <c r="N97" i="2" a="1"/>
  <c r="N97" i="2" s="1"/>
  <c r="K97" i="2"/>
  <c r="AE96" i="2"/>
  <c r="P96" i="2"/>
  <c r="O96" i="2" a="1"/>
  <c r="O96" i="2" s="1"/>
  <c r="N96" i="2" a="1"/>
  <c r="N96" i="2" s="1"/>
  <c r="K96" i="2"/>
  <c r="AE95" i="2"/>
  <c r="P95" i="2"/>
  <c r="O95" i="2" a="1"/>
  <c r="O95" i="2" s="1"/>
  <c r="N95" i="2" a="1"/>
  <c r="N95" i="2" s="1"/>
  <c r="K95" i="2"/>
  <c r="AE94" i="2"/>
  <c r="P94" i="2"/>
  <c r="O94" i="2" a="1"/>
  <c r="O94" i="2" s="1"/>
  <c r="N94" i="2" a="1"/>
  <c r="N94" i="2" s="1"/>
  <c r="K94" i="2"/>
  <c r="AE93" i="2"/>
  <c r="P93" i="2"/>
  <c r="O93" i="2" a="1"/>
  <c r="O93" i="2" s="1"/>
  <c r="N93" i="2" a="1"/>
  <c r="N93" i="2" s="1"/>
  <c r="K93" i="2"/>
  <c r="AE92" i="2"/>
  <c r="P92" i="2"/>
  <c r="O92" i="2" a="1"/>
  <c r="O92" i="2" s="1"/>
  <c r="N92" i="2" a="1"/>
  <c r="N92" i="2" s="1"/>
  <c r="K92" i="2"/>
  <c r="AE91" i="2"/>
  <c r="P91" i="2"/>
  <c r="O91" i="2" a="1"/>
  <c r="O91" i="2" s="1"/>
  <c r="N91" i="2" a="1"/>
  <c r="N91" i="2" s="1"/>
  <c r="K91" i="2"/>
  <c r="AE90" i="2"/>
  <c r="O90" i="2" a="1"/>
  <c r="O90" i="2" s="1"/>
  <c r="N90" i="2" a="1"/>
  <c r="N90" i="2" s="1"/>
  <c r="K90" i="2"/>
  <c r="AE89" i="2"/>
  <c r="P89" i="2"/>
  <c r="O89" i="2" a="1"/>
  <c r="O89" i="2" s="1"/>
  <c r="N89" i="2" a="1"/>
  <c r="N89" i="2" s="1"/>
  <c r="K89" i="2"/>
  <c r="AE88" i="2"/>
  <c r="P88" i="2"/>
  <c r="O88" i="2" a="1"/>
  <c r="O88" i="2" s="1"/>
  <c r="N88" i="2" a="1"/>
  <c r="N88" i="2" s="1"/>
  <c r="K88" i="2"/>
  <c r="AE87" i="2"/>
  <c r="P87" i="2"/>
  <c r="O87" i="2" a="1"/>
  <c r="O87" i="2" s="1"/>
  <c r="N87" i="2" a="1"/>
  <c r="N87" i="2" s="1"/>
  <c r="K87" i="2"/>
  <c r="AE86" i="2"/>
  <c r="P86" i="2"/>
  <c r="O86" i="2" a="1"/>
  <c r="O86" i="2" s="1"/>
  <c r="N86" i="2" a="1"/>
  <c r="N86" i="2" s="1"/>
  <c r="K86" i="2"/>
  <c r="AE85" i="2"/>
  <c r="P85" i="2"/>
  <c r="O85" i="2" a="1"/>
  <c r="O85" i="2" s="1"/>
  <c r="N85" i="2" a="1"/>
  <c r="N85" i="2" s="1"/>
  <c r="K85" i="2"/>
  <c r="AE84" i="2"/>
  <c r="P84" i="2"/>
  <c r="O84" i="2" a="1"/>
  <c r="O84" i="2" s="1"/>
  <c r="N84" i="2" a="1"/>
  <c r="N84" i="2" s="1"/>
  <c r="K84" i="2"/>
  <c r="AE83" i="2"/>
  <c r="P83" i="2"/>
  <c r="O83" i="2" a="1"/>
  <c r="O83" i="2" s="1"/>
  <c r="N83" i="2" a="1"/>
  <c r="N83" i="2" s="1"/>
  <c r="K83" i="2"/>
  <c r="AE82" i="2"/>
  <c r="P82" i="2"/>
  <c r="O82" i="2" a="1"/>
  <c r="O82" i="2" s="1"/>
  <c r="N82" i="2" a="1"/>
  <c r="N82" i="2" s="1"/>
  <c r="K82" i="2"/>
  <c r="AE81" i="2"/>
  <c r="P81" i="2"/>
  <c r="O81" i="2" a="1"/>
  <c r="O81" i="2" s="1"/>
  <c r="N81" i="2" a="1"/>
  <c r="N81" i="2" s="1"/>
  <c r="K81" i="2"/>
  <c r="AE80" i="2"/>
  <c r="P80" i="2"/>
  <c r="O80" i="2" a="1"/>
  <c r="O80" i="2" s="1"/>
  <c r="N80" i="2" a="1"/>
  <c r="N80" i="2" s="1"/>
  <c r="K80" i="2"/>
  <c r="AE79" i="2"/>
  <c r="P79" i="2"/>
  <c r="O79" i="2" a="1"/>
  <c r="O79" i="2" s="1"/>
  <c r="N79" i="2" a="1"/>
  <c r="N79" i="2" s="1"/>
  <c r="K79" i="2"/>
  <c r="AE78" i="2"/>
  <c r="P78" i="2"/>
  <c r="O78" i="2" a="1"/>
  <c r="O78" i="2" s="1"/>
  <c r="N78" i="2" a="1"/>
  <c r="N78" i="2" s="1"/>
  <c r="K78" i="2"/>
  <c r="AE77" i="2"/>
  <c r="P77" i="2"/>
  <c r="O77" i="2" a="1"/>
  <c r="O77" i="2" s="1"/>
  <c r="N77" i="2" a="1"/>
  <c r="N77" i="2" s="1"/>
  <c r="K77" i="2"/>
  <c r="AE76" i="2"/>
  <c r="P76" i="2"/>
  <c r="O76" i="2" a="1"/>
  <c r="O76" i="2" s="1"/>
  <c r="N76" i="2" a="1"/>
  <c r="N76" i="2" s="1"/>
  <c r="K76" i="2"/>
  <c r="AE75" i="2"/>
  <c r="P75" i="2"/>
  <c r="O75" i="2" a="1"/>
  <c r="O75" i="2" s="1"/>
  <c r="N75" i="2" a="1"/>
  <c r="N75" i="2" s="1"/>
  <c r="K75" i="2"/>
  <c r="AE74" i="2"/>
  <c r="P74" i="2"/>
  <c r="O74" i="2" a="1"/>
  <c r="O74" i="2" s="1"/>
  <c r="N74" i="2" a="1"/>
  <c r="N74" i="2" s="1"/>
  <c r="K74" i="2"/>
  <c r="AE73" i="2"/>
  <c r="P73" i="2"/>
  <c r="O73" i="2" a="1"/>
  <c r="O73" i="2" s="1"/>
  <c r="N73" i="2" a="1"/>
  <c r="N73" i="2" s="1"/>
  <c r="K73" i="2"/>
  <c r="AE72" i="2"/>
  <c r="P72" i="2"/>
  <c r="O72" i="2" a="1"/>
  <c r="O72" i="2" s="1"/>
  <c r="N72" i="2" a="1"/>
  <c r="N72" i="2" s="1"/>
  <c r="K72" i="2"/>
  <c r="AE71" i="2"/>
  <c r="P71" i="2"/>
  <c r="O71" i="2" a="1"/>
  <c r="O71" i="2" s="1"/>
  <c r="N71" i="2" a="1"/>
  <c r="N71" i="2" s="1"/>
  <c r="K71" i="2"/>
  <c r="AE70" i="2"/>
  <c r="P70" i="2"/>
  <c r="O70" i="2" a="1"/>
  <c r="O70" i="2" s="1"/>
  <c r="N70" i="2" a="1"/>
  <c r="N70" i="2" s="1"/>
  <c r="K70" i="2"/>
  <c r="AE69" i="2"/>
  <c r="P69" i="2"/>
  <c r="O69" i="2" a="1"/>
  <c r="O69" i="2" s="1"/>
  <c r="N69" i="2" a="1"/>
  <c r="N69" i="2" s="1"/>
  <c r="K69" i="2"/>
  <c r="AE68" i="2"/>
  <c r="P68" i="2"/>
  <c r="O68" i="2" a="1"/>
  <c r="O68" i="2" s="1"/>
  <c r="N68" i="2" a="1"/>
  <c r="N68" i="2" s="1"/>
  <c r="K68" i="2"/>
  <c r="AE67" i="2"/>
  <c r="P67" i="2"/>
  <c r="O67" i="2" a="1"/>
  <c r="O67" i="2" s="1"/>
  <c r="N67" i="2" a="1"/>
  <c r="N67" i="2" s="1"/>
  <c r="K67" i="2"/>
  <c r="AE66" i="2"/>
  <c r="P66" i="2"/>
  <c r="O66" i="2" a="1"/>
  <c r="O66" i="2" s="1"/>
  <c r="N66" i="2" a="1"/>
  <c r="N66" i="2" s="1"/>
  <c r="K66" i="2"/>
  <c r="AE65" i="2"/>
  <c r="P65" i="2"/>
  <c r="O65" i="2" a="1"/>
  <c r="O65" i="2" s="1"/>
  <c r="N65" i="2" a="1"/>
  <c r="N65" i="2" s="1"/>
  <c r="K65" i="2"/>
  <c r="AE64" i="2"/>
  <c r="P64" i="2"/>
  <c r="O64" i="2" a="1"/>
  <c r="O64" i="2" s="1"/>
  <c r="N64" i="2" a="1"/>
  <c r="N64" i="2" s="1"/>
  <c r="K64" i="2"/>
  <c r="AE63" i="2"/>
  <c r="P63" i="2"/>
  <c r="O63" i="2" a="1"/>
  <c r="O63" i="2" s="1"/>
  <c r="N63" i="2" a="1"/>
  <c r="N63" i="2" s="1"/>
  <c r="K63" i="2"/>
  <c r="AE61" i="2"/>
  <c r="P61" i="2"/>
  <c r="O61" i="2" a="1"/>
  <c r="O61" i="2" s="1"/>
  <c r="N61" i="2" a="1"/>
  <c r="N61" i="2" s="1"/>
  <c r="K61" i="2"/>
  <c r="AE60" i="2"/>
  <c r="P60" i="2"/>
  <c r="O60" i="2" a="1"/>
  <c r="O60" i="2" s="1"/>
  <c r="N60" i="2" a="1"/>
  <c r="N60" i="2" s="1"/>
  <c r="K60" i="2"/>
  <c r="AE59" i="2"/>
  <c r="P59" i="2"/>
  <c r="O59" i="2" a="1"/>
  <c r="O59" i="2" s="1"/>
  <c r="N59" i="2" a="1"/>
  <c r="N59" i="2" s="1"/>
  <c r="K59" i="2"/>
  <c r="AE58" i="2"/>
  <c r="P58" i="2"/>
  <c r="O58" i="2" a="1"/>
  <c r="O58" i="2" s="1"/>
  <c r="N58" i="2" a="1"/>
  <c r="N58" i="2" s="1"/>
  <c r="K58" i="2"/>
  <c r="AE57" i="2"/>
  <c r="P57" i="2"/>
  <c r="O57" i="2" a="1"/>
  <c r="O57" i="2" s="1"/>
  <c r="N57" i="2" a="1"/>
  <c r="N57" i="2" s="1"/>
  <c r="K57" i="2"/>
  <c r="AE56" i="2"/>
  <c r="P56" i="2"/>
  <c r="O56" i="2" a="1"/>
  <c r="O56" i="2" s="1"/>
  <c r="N56" i="2" a="1"/>
  <c r="N56" i="2" s="1"/>
  <c r="K56" i="2"/>
  <c r="AE55" i="2"/>
  <c r="P55" i="2"/>
  <c r="O55" i="2" a="1"/>
  <c r="O55" i="2" s="1"/>
  <c r="N55" i="2" a="1"/>
  <c r="N55" i="2" s="1"/>
  <c r="K55" i="2"/>
  <c r="AE54" i="2"/>
  <c r="P54" i="2"/>
  <c r="O54" i="2" a="1"/>
  <c r="O54" i="2" s="1"/>
  <c r="N54" i="2" a="1"/>
  <c r="N54" i="2" s="1"/>
  <c r="K54" i="2"/>
  <c r="AE52" i="2"/>
  <c r="P52" i="2"/>
  <c r="O52" i="2" a="1"/>
  <c r="O52" i="2" s="1"/>
  <c r="N52" i="2" a="1"/>
  <c r="N52" i="2" s="1"/>
  <c r="K52" i="2"/>
  <c r="AE51" i="2"/>
  <c r="P51" i="2"/>
  <c r="O51" i="2" a="1"/>
  <c r="O51" i="2" s="1"/>
  <c r="N51" i="2" a="1"/>
  <c r="N51" i="2" s="1"/>
  <c r="K51" i="2"/>
  <c r="AE50" i="2"/>
  <c r="P50" i="2"/>
  <c r="O50" i="2" a="1"/>
  <c r="O50" i="2" s="1"/>
  <c r="N50" i="2" a="1"/>
  <c r="N50" i="2" s="1"/>
  <c r="K50" i="2"/>
  <c r="AE49" i="2"/>
  <c r="P49" i="2"/>
  <c r="O49" i="2" a="1"/>
  <c r="O49" i="2" s="1"/>
  <c r="N49" i="2" a="1"/>
  <c r="N49" i="2" s="1"/>
  <c r="K49" i="2"/>
  <c r="AE48" i="2"/>
  <c r="P48" i="2"/>
  <c r="O48" i="2" a="1"/>
  <c r="O48" i="2" s="1"/>
  <c r="N48" i="2" a="1"/>
  <c r="N48" i="2" s="1"/>
  <c r="K48" i="2"/>
  <c r="AE47" i="2"/>
  <c r="O47" i="2" a="1"/>
  <c r="O47" i="2" s="1"/>
  <c r="N47" i="2" a="1"/>
  <c r="N47" i="2" s="1"/>
  <c r="K47" i="2"/>
  <c r="AE46" i="2"/>
  <c r="P46" i="2"/>
  <c r="O46" i="2" a="1"/>
  <c r="O46" i="2" s="1"/>
  <c r="N46" i="2" a="1"/>
  <c r="N46" i="2" s="1"/>
  <c r="K46" i="2"/>
  <c r="AE45" i="2"/>
  <c r="P45" i="2"/>
  <c r="O45" i="2" a="1"/>
  <c r="O45" i="2" s="1"/>
  <c r="N45" i="2" a="1"/>
  <c r="N45" i="2" s="1"/>
  <c r="K45" i="2"/>
  <c r="AE44" i="2"/>
  <c r="P44" i="2"/>
  <c r="O44" i="2" a="1"/>
  <c r="O44" i="2" s="1"/>
  <c r="N44" i="2" a="1"/>
  <c r="N44" i="2" s="1"/>
  <c r="K44" i="2"/>
  <c r="AE43" i="2"/>
  <c r="P43" i="2"/>
  <c r="O43" i="2" a="1"/>
  <c r="O43" i="2" s="1"/>
  <c r="N43" i="2" a="1"/>
  <c r="N43" i="2" s="1"/>
  <c r="K43" i="2"/>
  <c r="AE42" i="2"/>
  <c r="P42" i="2"/>
  <c r="O42" i="2" a="1"/>
  <c r="O42" i="2" s="1"/>
  <c r="N42" i="2" a="1"/>
  <c r="N42" i="2" s="1"/>
  <c r="K42" i="2"/>
  <c r="AE41" i="2"/>
  <c r="P41" i="2"/>
  <c r="O41" i="2" a="1"/>
  <c r="O41" i="2" s="1"/>
  <c r="N41" i="2" a="1"/>
  <c r="N41" i="2" s="1"/>
  <c r="K41" i="2"/>
  <c r="AE40" i="2"/>
  <c r="P40" i="2"/>
  <c r="O40" i="2" a="1"/>
  <c r="O40" i="2" s="1"/>
  <c r="N40" i="2" a="1"/>
  <c r="N40" i="2" s="1"/>
  <c r="K40" i="2"/>
  <c r="AE39" i="2"/>
  <c r="P39" i="2"/>
  <c r="O39" i="2" a="1"/>
  <c r="O39" i="2" s="1"/>
  <c r="N39" i="2" a="1"/>
  <c r="N39" i="2" s="1"/>
  <c r="K39" i="2"/>
  <c r="AE37" i="2"/>
  <c r="P37" i="2"/>
  <c r="O37" i="2" a="1"/>
  <c r="O37" i="2" s="1"/>
  <c r="N37" i="2" a="1"/>
  <c r="N37" i="2" s="1"/>
  <c r="K37" i="2"/>
  <c r="AE36" i="2"/>
  <c r="P36" i="2"/>
  <c r="O36" i="2" a="1"/>
  <c r="O36" i="2" s="1"/>
  <c r="N36" i="2" a="1"/>
  <c r="N36" i="2" s="1"/>
  <c r="K36" i="2"/>
  <c r="L246" i="21" l="1"/>
  <c r="M246" i="21" s="1"/>
  <c r="L247" i="21"/>
  <c r="M247" i="21" s="1"/>
  <c r="L248" i="21"/>
  <c r="M248" i="21" s="1"/>
  <c r="L249" i="21"/>
  <c r="M249" i="21" s="1"/>
  <c r="L250" i="21"/>
  <c r="M250" i="21" s="1"/>
  <c r="L251" i="21"/>
  <c r="M251" i="21" s="1"/>
  <c r="L252" i="21"/>
  <c r="M252" i="21" s="1"/>
  <c r="L253" i="21"/>
  <c r="M253" i="21" s="1"/>
  <c r="L254" i="21"/>
  <c r="M254" i="21" s="1"/>
  <c r="L255" i="21"/>
  <c r="M255" i="21" s="1"/>
  <c r="L256" i="21"/>
  <c r="M256" i="21" s="1"/>
  <c r="L257" i="21"/>
  <c r="M257" i="21" s="1"/>
  <c r="L258" i="21"/>
  <c r="M258" i="21" s="1"/>
  <c r="L259" i="21"/>
  <c r="M259" i="21" s="1"/>
  <c r="L260" i="21"/>
  <c r="M260" i="21" s="1"/>
  <c r="L261" i="21"/>
  <c r="M261" i="21" s="1"/>
  <c r="L262" i="21"/>
  <c r="M262" i="21" s="1"/>
  <c r="L263" i="21"/>
  <c r="M263" i="21" s="1"/>
  <c r="L264" i="21"/>
  <c r="M264" i="21" s="1"/>
  <c r="L265" i="21"/>
  <c r="M265" i="21" s="1"/>
  <c r="L266" i="21"/>
  <c r="M266" i="21" s="1"/>
  <c r="L267" i="21"/>
  <c r="M267" i="21" s="1"/>
  <c r="L268" i="21"/>
  <c r="M268" i="21" s="1"/>
  <c r="L269" i="21"/>
  <c r="M269" i="21" s="1"/>
  <c r="L270" i="21"/>
  <c r="M270" i="21" s="1"/>
  <c r="L271" i="21"/>
  <c r="M271" i="21" s="1"/>
  <c r="L272" i="21"/>
  <c r="M272" i="21" s="1"/>
  <c r="L273" i="21"/>
  <c r="M273" i="21" s="1"/>
  <c r="L274" i="21"/>
  <c r="M274" i="21" s="1"/>
  <c r="L275" i="21"/>
  <c r="M275" i="21" s="1"/>
  <c r="L276" i="21"/>
  <c r="M276" i="21" s="1"/>
  <c r="L277" i="21"/>
  <c r="M277" i="21" s="1"/>
  <c r="L278" i="21"/>
  <c r="M278" i="21" s="1"/>
  <c r="L279" i="21"/>
  <c r="M279" i="21" s="1"/>
  <c r="L280" i="21"/>
  <c r="M280" i="21" s="1"/>
  <c r="L281" i="21"/>
  <c r="M281" i="21" s="1"/>
  <c r="L282" i="21"/>
  <c r="M282" i="21" s="1"/>
  <c r="L283" i="21"/>
  <c r="M283" i="21" s="1"/>
  <c r="L284" i="21"/>
  <c r="M284" i="21" s="1"/>
  <c r="L285" i="21"/>
  <c r="M285" i="21" s="1"/>
  <c r="L286" i="21"/>
  <c r="M286" i="21" s="1"/>
  <c r="L287" i="21"/>
  <c r="M287" i="21" s="1"/>
  <c r="L288" i="21"/>
  <c r="M288" i="21" s="1"/>
  <c r="L289" i="21"/>
  <c r="M289" i="21" s="1"/>
  <c r="L290" i="21"/>
  <c r="M290" i="21" s="1"/>
  <c r="L291" i="21"/>
  <c r="M291" i="21" s="1"/>
  <c r="L292" i="21"/>
  <c r="M292" i="21" s="1"/>
  <c r="L293" i="21"/>
  <c r="M293" i="21" s="1"/>
  <c r="L294" i="21"/>
  <c r="M294" i="21" s="1"/>
  <c r="L295" i="21"/>
  <c r="M295" i="21" s="1"/>
  <c r="L296" i="21"/>
  <c r="M296" i="21" s="1"/>
  <c r="L297" i="21"/>
  <c r="M297" i="21" s="1"/>
  <c r="L298" i="21"/>
  <c r="M298" i="21" s="1"/>
  <c r="L299" i="21"/>
  <c r="M299" i="21" s="1"/>
  <c r="L300" i="21"/>
  <c r="M300" i="21" s="1"/>
  <c r="L301" i="21"/>
  <c r="M301" i="21" s="1"/>
  <c r="L302" i="21"/>
  <c r="M302" i="21" s="1"/>
  <c r="L303" i="21"/>
  <c r="M303" i="21" s="1"/>
  <c r="L304" i="21"/>
  <c r="M304" i="21" s="1"/>
  <c r="L305" i="21"/>
  <c r="M305" i="21" s="1"/>
  <c r="L306" i="21"/>
  <c r="M306" i="21" s="1"/>
  <c r="L307" i="21"/>
  <c r="M307" i="21" s="1"/>
  <c r="L308" i="21"/>
  <c r="M308" i="21" s="1"/>
  <c r="L309" i="21"/>
  <c r="M309" i="21" s="1"/>
  <c r="L310" i="21"/>
  <c r="M310" i="21" s="1"/>
  <c r="L311" i="21"/>
  <c r="M311" i="21" s="1"/>
  <c r="L312" i="21"/>
  <c r="M312" i="21" s="1"/>
  <c r="L313" i="21"/>
  <c r="M313" i="21" s="1"/>
  <c r="L314" i="21"/>
  <c r="M314" i="21" s="1"/>
  <c r="L315" i="21"/>
  <c r="M315" i="21" s="1"/>
  <c r="L316" i="21"/>
  <c r="M316" i="21" s="1"/>
  <c r="L317" i="21"/>
  <c r="M317" i="21" s="1"/>
  <c r="L318" i="21"/>
  <c r="M318" i="21" s="1"/>
  <c r="L319" i="21"/>
  <c r="M319" i="21" s="1"/>
  <c r="L320" i="21"/>
  <c r="M320" i="21" s="1"/>
  <c r="L321" i="21"/>
  <c r="M321" i="21" s="1"/>
  <c r="L322" i="21"/>
  <c r="M322" i="21" s="1"/>
  <c r="L323" i="21"/>
  <c r="M323" i="21" s="1"/>
  <c r="L324" i="21"/>
  <c r="M324" i="21" s="1"/>
  <c r="L325" i="21"/>
  <c r="M325" i="21" s="1"/>
  <c r="L326" i="21"/>
  <c r="M326" i="21" s="1"/>
  <c r="L327" i="21"/>
  <c r="M327" i="21" s="1"/>
  <c r="L328" i="21"/>
  <c r="M328" i="21" s="1"/>
  <c r="L329" i="21"/>
  <c r="M329" i="21" s="1"/>
  <c r="L330" i="21"/>
  <c r="M330" i="21" s="1"/>
  <c r="L331" i="21"/>
  <c r="M331" i="21" s="1"/>
  <c r="L332" i="21"/>
  <c r="M332" i="21" s="1"/>
  <c r="L333" i="21"/>
  <c r="M333" i="21" s="1"/>
  <c r="L334" i="21"/>
  <c r="M334" i="21" s="1"/>
  <c r="L335" i="21"/>
  <c r="M335" i="21" s="1"/>
  <c r="L336" i="21"/>
  <c r="M336" i="21" s="1"/>
  <c r="L337" i="21"/>
  <c r="M337" i="21" s="1"/>
  <c r="L338" i="21"/>
  <c r="M338" i="21" s="1"/>
  <c r="L339" i="21"/>
  <c r="M339" i="21" s="1"/>
  <c r="L340" i="21"/>
  <c r="M340" i="21" s="1"/>
  <c r="L341" i="21"/>
  <c r="M341" i="21" s="1"/>
  <c r="L342" i="21"/>
  <c r="M342" i="21" s="1"/>
  <c r="L343" i="21"/>
  <c r="M343" i="21" s="1"/>
  <c r="L344" i="21"/>
  <c r="M344" i="21" s="1"/>
  <c r="L345" i="21"/>
  <c r="M345" i="21" s="1"/>
  <c r="L346" i="21"/>
  <c r="M346" i="21" s="1"/>
  <c r="L347" i="21"/>
  <c r="M347" i="21" s="1"/>
  <c r="L348" i="21"/>
  <c r="M348" i="21" s="1"/>
  <c r="L349" i="21"/>
  <c r="M349" i="21" s="1"/>
  <c r="L350" i="21"/>
  <c r="M350" i="21" s="1"/>
  <c r="L351" i="21"/>
  <c r="M351" i="21" s="1"/>
  <c r="L352" i="21"/>
  <c r="M352" i="21" s="1"/>
  <c r="L353" i="21"/>
  <c r="M353" i="21" s="1"/>
  <c r="L354" i="21"/>
  <c r="M354" i="21" s="1"/>
  <c r="L355" i="21"/>
  <c r="M355" i="21" s="1"/>
  <c r="L356" i="21"/>
  <c r="M356" i="21" s="1"/>
  <c r="L357" i="21"/>
  <c r="M357" i="21" s="1"/>
  <c r="L358" i="21"/>
  <c r="M358" i="21" s="1"/>
  <c r="L359" i="21"/>
  <c r="M359" i="21" s="1"/>
  <c r="L360" i="21"/>
  <c r="M360" i="21" s="1"/>
  <c r="L361" i="21"/>
  <c r="M361" i="21" s="1"/>
  <c r="L362" i="21"/>
  <c r="M362" i="21" s="1"/>
  <c r="L363" i="21"/>
  <c r="M363" i="21" s="1"/>
  <c r="L364" i="21"/>
  <c r="M364" i="21" s="1"/>
  <c r="L365" i="21"/>
  <c r="M365" i="21" s="1"/>
  <c r="L366" i="21"/>
  <c r="M366" i="21" s="1"/>
  <c r="L367" i="21"/>
  <c r="M367" i="21" s="1"/>
  <c r="L368" i="21"/>
  <c r="M368" i="21" s="1"/>
  <c r="L369" i="21"/>
  <c r="M369" i="21" s="1"/>
  <c r="L370" i="21"/>
  <c r="M370" i="21" s="1"/>
  <c r="L371" i="21"/>
  <c r="M371" i="21" s="1"/>
  <c r="L372" i="21"/>
  <c r="M372" i="21" s="1"/>
  <c r="L373" i="21"/>
  <c r="M373" i="21" s="1"/>
  <c r="L374" i="21"/>
  <c r="M374" i="21" s="1"/>
  <c r="L375" i="21"/>
  <c r="M375" i="21" s="1"/>
  <c r="L376" i="21"/>
  <c r="M376" i="21" s="1"/>
  <c r="L377" i="21"/>
  <c r="M377" i="21" s="1"/>
  <c r="L378" i="21"/>
  <c r="M378" i="21" s="1"/>
  <c r="L379" i="21"/>
  <c r="M379" i="21" s="1"/>
  <c r="L380" i="21"/>
  <c r="M380" i="21" s="1"/>
  <c r="L381" i="21"/>
  <c r="M381" i="21" s="1"/>
  <c r="L382" i="21"/>
  <c r="M382" i="21" s="1"/>
  <c r="L383" i="21"/>
  <c r="M383" i="21" s="1"/>
  <c r="L384" i="21"/>
  <c r="M384" i="21" s="1"/>
  <c r="L385" i="21"/>
  <c r="M385" i="21" s="1"/>
  <c r="L386" i="21"/>
  <c r="M386" i="21" s="1"/>
  <c r="L387" i="21"/>
  <c r="M387" i="21" s="1"/>
  <c r="L388" i="21"/>
  <c r="M388" i="21" s="1"/>
  <c r="L389" i="21"/>
  <c r="M389" i="21" s="1"/>
  <c r="L390" i="21"/>
  <c r="M390" i="21" s="1"/>
  <c r="L391" i="21"/>
  <c r="M391" i="21" s="1"/>
  <c r="L392" i="21"/>
  <c r="M392" i="21" s="1"/>
  <c r="L393" i="21"/>
  <c r="M393" i="21" s="1"/>
  <c r="L394" i="21"/>
  <c r="M394" i="21" s="1"/>
  <c r="L395" i="21"/>
  <c r="M395" i="21" s="1"/>
  <c r="L396" i="21"/>
  <c r="M396" i="21" s="1"/>
  <c r="L397" i="21"/>
  <c r="M397" i="21" s="1"/>
  <c r="L398" i="21"/>
  <c r="M398" i="21" s="1"/>
  <c r="L399" i="21"/>
  <c r="M399" i="21" s="1"/>
  <c r="L400" i="21"/>
  <c r="M400" i="21" s="1"/>
  <c r="L401" i="21"/>
  <c r="M401" i="21" s="1"/>
  <c r="L402" i="21"/>
  <c r="M402" i="21" s="1"/>
  <c r="L403" i="21"/>
  <c r="M403" i="21" s="1"/>
  <c r="L404" i="21"/>
  <c r="M404" i="21" s="1"/>
  <c r="L405" i="21"/>
  <c r="M405" i="21" s="1"/>
  <c r="L406" i="21"/>
  <c r="M406" i="21" s="1"/>
  <c r="L407" i="21"/>
  <c r="M407" i="21" s="1"/>
  <c r="L408" i="21"/>
  <c r="M408" i="21" s="1"/>
  <c r="L409" i="21"/>
  <c r="M409" i="21" s="1"/>
  <c r="L410" i="21"/>
  <c r="M410" i="21" s="1"/>
  <c r="L411" i="21"/>
  <c r="M411" i="21" s="1"/>
  <c r="L412" i="21"/>
  <c r="M412" i="21" s="1"/>
  <c r="L413" i="21"/>
  <c r="M413" i="21" s="1"/>
  <c r="L414" i="21"/>
  <c r="M414" i="21" s="1"/>
  <c r="L415" i="21"/>
  <c r="M415" i="21" s="1"/>
  <c r="L416" i="21"/>
  <c r="M416" i="21" s="1"/>
  <c r="L417" i="21"/>
  <c r="M417" i="21" s="1"/>
  <c r="L418" i="21"/>
  <c r="M418" i="21" s="1"/>
  <c r="L419" i="21"/>
  <c r="M419" i="21" s="1"/>
  <c r="L420" i="21"/>
  <c r="M420" i="21" s="1"/>
  <c r="L421" i="21"/>
  <c r="M421" i="21" s="1"/>
  <c r="L422" i="21"/>
  <c r="M422" i="21" s="1"/>
  <c r="L423" i="21"/>
  <c r="M423" i="21" s="1"/>
  <c r="L424" i="21"/>
  <c r="M424" i="21" s="1"/>
  <c r="L425" i="21"/>
  <c r="M425" i="21" s="1"/>
  <c r="L426" i="21"/>
  <c r="M426" i="21" s="1"/>
  <c r="L427" i="21"/>
  <c r="M427" i="21" s="1"/>
  <c r="L428" i="21"/>
  <c r="M428" i="21" s="1"/>
  <c r="L2" i="21"/>
  <c r="M2" i="21" s="1"/>
  <c r="L3" i="21"/>
  <c r="M3" i="21" s="1"/>
  <c r="L4" i="21"/>
  <c r="M4" i="21" s="1"/>
  <c r="L5" i="21"/>
  <c r="M5" i="21" s="1"/>
  <c r="L6" i="21"/>
  <c r="M6" i="21" s="1"/>
  <c r="L7" i="21"/>
  <c r="M7" i="21" s="1"/>
  <c r="L8" i="21"/>
  <c r="M8" i="21" s="1"/>
  <c r="L9" i="21"/>
  <c r="M9" i="21" s="1"/>
  <c r="L10" i="21"/>
  <c r="M10" i="21" s="1"/>
  <c r="L11" i="21"/>
  <c r="M11" i="21" s="1"/>
  <c r="L12" i="21"/>
  <c r="M12" i="21" s="1"/>
  <c r="L13" i="21"/>
  <c r="M13" i="21" s="1"/>
  <c r="L14" i="21"/>
  <c r="M14" i="21" s="1"/>
  <c r="L15" i="21"/>
  <c r="M15" i="21" s="1"/>
  <c r="L16" i="21"/>
  <c r="M16" i="21" s="1"/>
  <c r="L17" i="21"/>
  <c r="M17" i="21" s="1"/>
  <c r="L18" i="21"/>
  <c r="M18" i="21" s="1"/>
  <c r="L19" i="21"/>
  <c r="M19" i="21" s="1"/>
  <c r="L20" i="21"/>
  <c r="M20" i="21" s="1"/>
  <c r="L21" i="21"/>
  <c r="M21" i="21" s="1"/>
  <c r="L22" i="21"/>
  <c r="M22" i="21" s="1"/>
  <c r="L23" i="21"/>
  <c r="M23" i="21" s="1"/>
  <c r="L24" i="21"/>
  <c r="M24" i="21" s="1"/>
  <c r="L25" i="21"/>
  <c r="M25" i="21" s="1"/>
  <c r="L26" i="21"/>
  <c r="M26" i="21" s="1"/>
  <c r="L27" i="21"/>
  <c r="M27" i="21" s="1"/>
  <c r="L28" i="21"/>
  <c r="M28" i="21" s="1"/>
  <c r="L29" i="21"/>
  <c r="M29" i="21" s="1"/>
  <c r="L30" i="21"/>
  <c r="M30" i="21" s="1"/>
  <c r="L31" i="21"/>
  <c r="M31" i="21" s="1"/>
  <c r="L32" i="21"/>
  <c r="M32" i="21" s="1"/>
  <c r="L33" i="21"/>
  <c r="M33" i="21" s="1"/>
  <c r="L34" i="21"/>
  <c r="M34" i="21" s="1"/>
  <c r="L35" i="21"/>
  <c r="M35" i="21" s="1"/>
  <c r="L36" i="21"/>
  <c r="M36" i="21" s="1"/>
  <c r="L37" i="21"/>
  <c r="M37" i="21" s="1"/>
  <c r="L38" i="21"/>
  <c r="M38" i="21" s="1"/>
  <c r="L39" i="21"/>
  <c r="M39" i="21" s="1"/>
  <c r="L40" i="21"/>
  <c r="M40" i="21" s="1"/>
  <c r="L41" i="21"/>
  <c r="M41" i="21" s="1"/>
  <c r="L42" i="21"/>
  <c r="M42" i="21" s="1"/>
  <c r="L43" i="21"/>
  <c r="M43" i="21" s="1"/>
  <c r="L44" i="21"/>
  <c r="M44" i="21" s="1"/>
  <c r="L45" i="21"/>
  <c r="M45" i="21" s="1"/>
  <c r="L46" i="21"/>
  <c r="M46" i="21" s="1"/>
  <c r="L47" i="21"/>
  <c r="M47" i="21" s="1"/>
  <c r="L48" i="21"/>
  <c r="M48" i="21" s="1"/>
  <c r="L49" i="21"/>
  <c r="M49" i="21" s="1"/>
  <c r="L50" i="21"/>
  <c r="M50" i="21" s="1"/>
  <c r="L51" i="21"/>
  <c r="M51" i="21" s="1"/>
  <c r="L52" i="21"/>
  <c r="M52" i="21" s="1"/>
  <c r="L53" i="21"/>
  <c r="M53" i="21" s="1"/>
  <c r="L54" i="21"/>
  <c r="M54" i="21" s="1"/>
  <c r="L55" i="21"/>
  <c r="M55" i="21" s="1"/>
  <c r="L56" i="21"/>
  <c r="M56" i="21" s="1"/>
  <c r="L57" i="21"/>
  <c r="M57" i="21" s="1"/>
  <c r="L58" i="21"/>
  <c r="M58" i="21" s="1"/>
  <c r="L59" i="21"/>
  <c r="M59" i="21" s="1"/>
  <c r="L60" i="21"/>
  <c r="M60" i="21" s="1"/>
  <c r="L61" i="21"/>
  <c r="M61" i="21" s="1"/>
  <c r="L62" i="21"/>
  <c r="M62" i="21" s="1"/>
  <c r="L63" i="21"/>
  <c r="M63" i="21" s="1"/>
  <c r="L64" i="21"/>
  <c r="M64" i="21" s="1"/>
  <c r="L65" i="21"/>
  <c r="M65" i="21" s="1"/>
  <c r="L66" i="21"/>
  <c r="M66" i="21" s="1"/>
  <c r="L67" i="21"/>
  <c r="M67" i="21" s="1"/>
  <c r="L68" i="21"/>
  <c r="M68" i="21" s="1"/>
  <c r="L69" i="21"/>
  <c r="M69" i="21" s="1"/>
  <c r="L70" i="21"/>
  <c r="M70" i="21" s="1"/>
  <c r="L71" i="21"/>
  <c r="M71" i="21" s="1"/>
  <c r="L72" i="21"/>
  <c r="M72" i="21" s="1"/>
  <c r="L73" i="21"/>
  <c r="M73" i="21" s="1"/>
  <c r="L74" i="21"/>
  <c r="M74" i="21" s="1"/>
  <c r="L75" i="21"/>
  <c r="M75" i="21" s="1"/>
  <c r="L76" i="21"/>
  <c r="M76" i="21" s="1"/>
  <c r="L77" i="21"/>
  <c r="M77" i="21" s="1"/>
  <c r="L78" i="21"/>
  <c r="M78" i="21" s="1"/>
  <c r="L79" i="21"/>
  <c r="M79" i="21" s="1"/>
  <c r="L80" i="21"/>
  <c r="M80" i="21" s="1"/>
  <c r="L81" i="21"/>
  <c r="M81" i="21" s="1"/>
  <c r="L82" i="21"/>
  <c r="M82" i="21" s="1"/>
  <c r="L83" i="21"/>
  <c r="M83" i="21" s="1"/>
  <c r="L84" i="21"/>
  <c r="M84" i="21" s="1"/>
  <c r="L85" i="21"/>
  <c r="M85" i="21" s="1"/>
  <c r="L86" i="21"/>
  <c r="M86" i="21" s="1"/>
  <c r="L87" i="21"/>
  <c r="M87" i="21" s="1"/>
  <c r="L88" i="21"/>
  <c r="M88" i="21" s="1"/>
  <c r="L89" i="21"/>
  <c r="M89" i="21" s="1"/>
  <c r="L90" i="21"/>
  <c r="M90" i="21" s="1"/>
  <c r="L91" i="21"/>
  <c r="M91" i="21" s="1"/>
  <c r="L92" i="21"/>
  <c r="M92" i="21" s="1"/>
  <c r="L93" i="21"/>
  <c r="M93" i="21" s="1"/>
  <c r="L94" i="21"/>
  <c r="M94" i="21" s="1"/>
  <c r="L95" i="21"/>
  <c r="M95" i="21" s="1"/>
  <c r="L96" i="21"/>
  <c r="M96" i="21" s="1"/>
  <c r="L97" i="21"/>
  <c r="M97" i="21" s="1"/>
  <c r="L98" i="21"/>
  <c r="M98" i="21" s="1"/>
  <c r="L99" i="21"/>
  <c r="M99" i="21" s="1"/>
  <c r="L100" i="21"/>
  <c r="M100" i="21" s="1"/>
  <c r="L101" i="21"/>
  <c r="M101" i="21" s="1"/>
  <c r="L102" i="21"/>
  <c r="M102" i="21" s="1"/>
  <c r="L103" i="21"/>
  <c r="M103" i="21" s="1"/>
  <c r="L104" i="21"/>
  <c r="M104" i="21" s="1"/>
  <c r="L105" i="21"/>
  <c r="M105" i="21" s="1"/>
  <c r="L106" i="21"/>
  <c r="M106" i="21" s="1"/>
  <c r="L107" i="21"/>
  <c r="M107" i="21" s="1"/>
  <c r="L108" i="21"/>
  <c r="M108" i="21" s="1"/>
  <c r="L109" i="21"/>
  <c r="M109" i="21" s="1"/>
  <c r="L110" i="21"/>
  <c r="M110" i="21" s="1"/>
  <c r="L111" i="21"/>
  <c r="M111" i="21" s="1"/>
  <c r="L112" i="21"/>
  <c r="M112" i="21" s="1"/>
  <c r="L113" i="21"/>
  <c r="M113" i="21" s="1"/>
  <c r="L114" i="21"/>
  <c r="M114" i="21" s="1"/>
  <c r="L115" i="21"/>
  <c r="M115" i="21" s="1"/>
  <c r="L116" i="21"/>
  <c r="M116" i="21" s="1"/>
  <c r="L117" i="21"/>
  <c r="M117" i="21" s="1"/>
  <c r="L118" i="21"/>
  <c r="M118" i="21" s="1"/>
  <c r="L119" i="21"/>
  <c r="M119" i="21" s="1"/>
  <c r="L120" i="21"/>
  <c r="M120" i="21" s="1"/>
  <c r="L121" i="21"/>
  <c r="M121" i="21" s="1"/>
  <c r="L122" i="21"/>
  <c r="M122" i="21" s="1"/>
  <c r="L123" i="21"/>
  <c r="M123" i="21" s="1"/>
  <c r="L124" i="21"/>
  <c r="M124" i="21" s="1"/>
  <c r="L125" i="21"/>
  <c r="M125" i="21" s="1"/>
  <c r="L126" i="21"/>
  <c r="M126" i="21" s="1"/>
  <c r="L127" i="21"/>
  <c r="M127" i="21" s="1"/>
  <c r="L128" i="21"/>
  <c r="M128" i="21" s="1"/>
  <c r="L129" i="21"/>
  <c r="M129" i="21" s="1"/>
  <c r="L130" i="21"/>
  <c r="M130" i="21" s="1"/>
  <c r="L131" i="21"/>
  <c r="M131" i="21" s="1"/>
  <c r="L132" i="21"/>
  <c r="M132" i="21" s="1"/>
  <c r="L133" i="21"/>
  <c r="M133" i="21" s="1"/>
  <c r="L134" i="21"/>
  <c r="M134" i="21" s="1"/>
  <c r="L135" i="21"/>
  <c r="M135" i="21" s="1"/>
  <c r="L136" i="21"/>
  <c r="M136" i="21" s="1"/>
  <c r="L137" i="21"/>
  <c r="M137" i="21" s="1"/>
  <c r="L138" i="21"/>
  <c r="M138" i="21" s="1"/>
  <c r="L139" i="21"/>
  <c r="M139" i="21" s="1"/>
  <c r="L140" i="21"/>
  <c r="M140" i="21" s="1"/>
  <c r="L141" i="21"/>
  <c r="M141" i="21" s="1"/>
  <c r="L142" i="21"/>
  <c r="M142" i="21" s="1"/>
  <c r="L143" i="21"/>
  <c r="M143" i="21" s="1"/>
  <c r="L144" i="21"/>
  <c r="M144" i="21" s="1"/>
  <c r="L145" i="21"/>
  <c r="M145" i="21" s="1"/>
  <c r="L146" i="21"/>
  <c r="M146" i="21" s="1"/>
  <c r="L147" i="21"/>
  <c r="M147" i="21" s="1"/>
  <c r="L148" i="21"/>
  <c r="M148" i="21" s="1"/>
  <c r="L149" i="21"/>
  <c r="M149" i="21" s="1"/>
  <c r="L150" i="21"/>
  <c r="M150" i="21" s="1"/>
  <c r="L151" i="21"/>
  <c r="M151" i="21" s="1"/>
  <c r="L152" i="21"/>
  <c r="M152" i="21" s="1"/>
  <c r="L153" i="21"/>
  <c r="M153" i="21" s="1"/>
  <c r="L154" i="21"/>
  <c r="M154" i="21" s="1"/>
  <c r="L155" i="21"/>
  <c r="M155" i="21" s="1"/>
  <c r="L156" i="21"/>
  <c r="M156" i="21" s="1"/>
  <c r="L157" i="21"/>
  <c r="M157" i="21" s="1"/>
  <c r="L158" i="21"/>
  <c r="M158" i="21" s="1"/>
  <c r="L159" i="21"/>
  <c r="M159" i="21" s="1"/>
  <c r="L160" i="21"/>
  <c r="M160" i="21" s="1"/>
  <c r="L161" i="21"/>
  <c r="M161" i="21" s="1"/>
  <c r="L162" i="21"/>
  <c r="M162" i="21" s="1"/>
  <c r="L163" i="21"/>
  <c r="M163" i="21" s="1"/>
  <c r="L164" i="21"/>
  <c r="M164" i="21" s="1"/>
  <c r="L165" i="21"/>
  <c r="M165" i="21" s="1"/>
  <c r="L166" i="21"/>
  <c r="M166" i="21" s="1"/>
  <c r="L167" i="21"/>
  <c r="M167" i="21" s="1"/>
  <c r="L168" i="21"/>
  <c r="M168" i="21" s="1"/>
  <c r="L169" i="21"/>
  <c r="M169" i="21" s="1"/>
  <c r="L170" i="21"/>
  <c r="M170" i="21" s="1"/>
  <c r="L171" i="21"/>
  <c r="M171" i="21" s="1"/>
  <c r="L172" i="21"/>
  <c r="M172" i="21" s="1"/>
  <c r="L173" i="21"/>
  <c r="M173" i="21" s="1"/>
  <c r="L174" i="21"/>
  <c r="M174" i="21" s="1"/>
  <c r="L175" i="21"/>
  <c r="M175" i="21" s="1"/>
  <c r="L176" i="21"/>
  <c r="M176" i="21" s="1"/>
  <c r="L177" i="21"/>
  <c r="M177" i="21" s="1"/>
  <c r="L178" i="21"/>
  <c r="M178" i="21" s="1"/>
  <c r="L179" i="21"/>
  <c r="M179" i="21" s="1"/>
  <c r="L180" i="21"/>
  <c r="M180" i="21" s="1"/>
  <c r="L181" i="21"/>
  <c r="M181" i="21" s="1"/>
  <c r="L182" i="21"/>
  <c r="M182" i="21" s="1"/>
  <c r="L183" i="21"/>
  <c r="M183" i="21" s="1"/>
  <c r="L184" i="21"/>
  <c r="M184" i="21" s="1"/>
  <c r="L185" i="21"/>
  <c r="M185" i="21" s="1"/>
  <c r="L186" i="21"/>
  <c r="M186" i="21" s="1"/>
  <c r="L187" i="21"/>
  <c r="M187" i="21" s="1"/>
  <c r="L188" i="21"/>
  <c r="M188" i="21" s="1"/>
  <c r="L189" i="21"/>
  <c r="M189" i="21" s="1"/>
  <c r="L190" i="21"/>
  <c r="M190" i="21" s="1"/>
  <c r="L191" i="21"/>
  <c r="M191" i="21" s="1"/>
  <c r="L192" i="21"/>
  <c r="M192" i="21" s="1"/>
  <c r="L193" i="21"/>
  <c r="M193" i="21" s="1"/>
  <c r="L194" i="21"/>
  <c r="M194" i="21" s="1"/>
  <c r="L195" i="21"/>
  <c r="M195" i="21" s="1"/>
  <c r="L196" i="21"/>
  <c r="M196" i="21" s="1"/>
  <c r="L197" i="21"/>
  <c r="M197" i="21" s="1"/>
  <c r="L198" i="21"/>
  <c r="M198" i="21" s="1"/>
  <c r="L199" i="21"/>
  <c r="M199" i="21" s="1"/>
  <c r="L200" i="21"/>
  <c r="M200" i="21" s="1"/>
  <c r="L201" i="21"/>
  <c r="M201" i="21" s="1"/>
  <c r="L202" i="21"/>
  <c r="M202" i="21" s="1"/>
  <c r="L203" i="21"/>
  <c r="M203" i="21" s="1"/>
  <c r="L204" i="21"/>
  <c r="M204" i="21" s="1"/>
  <c r="L205" i="21"/>
  <c r="M205" i="21" s="1"/>
  <c r="L206" i="21"/>
  <c r="M206" i="21" s="1"/>
  <c r="L207" i="21"/>
  <c r="M207" i="21" s="1"/>
  <c r="L208" i="21"/>
  <c r="M208" i="21" s="1"/>
  <c r="L209" i="21"/>
  <c r="M209" i="21" s="1"/>
  <c r="L210" i="21"/>
  <c r="M210" i="21" s="1"/>
  <c r="L211" i="21"/>
  <c r="M211" i="21" s="1"/>
  <c r="L212" i="21"/>
  <c r="M212" i="21" s="1"/>
  <c r="L213" i="21"/>
  <c r="M213" i="21" s="1"/>
  <c r="L214" i="21"/>
  <c r="M214" i="21" s="1"/>
  <c r="L215" i="21"/>
  <c r="M215" i="21" s="1"/>
  <c r="L216" i="21"/>
  <c r="M216" i="21" s="1"/>
  <c r="L217" i="21"/>
  <c r="M217" i="21" s="1"/>
  <c r="L218" i="21"/>
  <c r="M218" i="21" s="1"/>
  <c r="L219" i="21"/>
  <c r="M219" i="21" s="1"/>
  <c r="L220" i="21"/>
  <c r="M220" i="21" s="1"/>
  <c r="L221" i="21"/>
  <c r="M221" i="21" s="1"/>
  <c r="L222" i="21"/>
  <c r="M222" i="21" s="1"/>
  <c r="L223" i="21"/>
  <c r="M223" i="21" s="1"/>
  <c r="L224" i="21"/>
  <c r="M224" i="21" s="1"/>
  <c r="L225" i="21"/>
  <c r="M225" i="21" s="1"/>
  <c r="L226" i="21"/>
  <c r="M226" i="21" s="1"/>
  <c r="L227" i="21"/>
  <c r="M227" i="21" s="1"/>
  <c r="L228" i="21"/>
  <c r="M228" i="21" s="1"/>
  <c r="L229" i="21"/>
  <c r="M229" i="21" s="1"/>
  <c r="L230" i="21"/>
  <c r="M230" i="21" s="1"/>
  <c r="L231" i="21"/>
  <c r="M231" i="21" s="1"/>
  <c r="L232" i="21"/>
  <c r="M232" i="21" s="1"/>
  <c r="L233" i="21"/>
  <c r="M233" i="21" s="1"/>
  <c r="L234" i="21"/>
  <c r="M234" i="21" s="1"/>
  <c r="L235" i="21"/>
  <c r="M235" i="21" s="1"/>
  <c r="L236" i="21"/>
  <c r="M236" i="21" s="1"/>
  <c r="L237" i="21"/>
  <c r="M237" i="21" s="1"/>
  <c r="L238" i="21"/>
  <c r="M238" i="21" s="1"/>
  <c r="L239" i="21"/>
  <c r="M239" i="21" s="1"/>
  <c r="L240" i="21"/>
  <c r="M240" i="21" s="1"/>
  <c r="L241" i="21"/>
  <c r="M241" i="21" s="1"/>
  <c r="L242" i="21"/>
  <c r="M242" i="21" s="1"/>
  <c r="L243" i="21"/>
  <c r="M243" i="21" s="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59" i="22" l="1"/>
  <c r="G59" i="22"/>
  <c r="F60" i="22"/>
  <c r="G60" i="22"/>
  <c r="F61" i="22"/>
  <c r="G61" i="22"/>
  <c r="F62" i="22"/>
  <c r="G62" i="22"/>
  <c r="F63" i="22"/>
  <c r="G63" i="22"/>
  <c r="F64" i="22"/>
  <c r="G64" i="22"/>
  <c r="F65" i="22"/>
  <c r="G65" i="22"/>
  <c r="F66" i="22"/>
  <c r="G66" i="22"/>
  <c r="F67" i="22"/>
  <c r="G67" i="22"/>
  <c r="F68" i="22"/>
  <c r="G68" i="22"/>
  <c r="F69" i="22"/>
  <c r="G69" i="22"/>
  <c r="F70" i="22"/>
  <c r="G70" i="22"/>
  <c r="F71" i="22"/>
  <c r="G71" i="22"/>
  <c r="F72" i="22"/>
  <c r="G72" i="22"/>
  <c r="F73" i="22"/>
  <c r="G73" i="22"/>
  <c r="F74" i="22"/>
  <c r="G74" i="22"/>
  <c r="F75" i="22"/>
  <c r="G75" i="22"/>
  <c r="F76" i="22"/>
  <c r="G76" i="22"/>
  <c r="F77" i="22"/>
  <c r="G77" i="22"/>
  <c r="F78" i="22"/>
  <c r="G78" i="22"/>
  <c r="F79" i="22"/>
  <c r="G79" i="22"/>
  <c r="F80" i="22"/>
  <c r="G80" i="22"/>
  <c r="F81" i="22"/>
  <c r="G81" i="22"/>
  <c r="F82" i="22"/>
  <c r="G82" i="22"/>
  <c r="F83" i="22"/>
  <c r="G83" i="22"/>
  <c r="F84" i="22"/>
  <c r="G84" i="22"/>
  <c r="F85" i="22"/>
  <c r="G85" i="22"/>
  <c r="F86" i="22"/>
  <c r="G86" i="22"/>
  <c r="F87" i="22"/>
  <c r="G87" i="22"/>
  <c r="F88" i="22"/>
  <c r="G88" i="22"/>
  <c r="F89" i="22"/>
  <c r="G89" i="22"/>
  <c r="F90" i="22"/>
  <c r="G90" i="22"/>
  <c r="F91" i="22"/>
  <c r="G91" i="22"/>
  <c r="F92" i="22"/>
  <c r="G92" i="22"/>
  <c r="F93" i="22"/>
  <c r="G93" i="22"/>
  <c r="F94" i="22"/>
  <c r="G94" i="22"/>
  <c r="F95" i="22"/>
  <c r="G95" i="22"/>
  <c r="F96" i="22"/>
  <c r="G96" i="22"/>
  <c r="F97" i="22"/>
  <c r="G97" i="22"/>
  <c r="F98" i="22"/>
  <c r="G98" i="22"/>
  <c r="F99" i="22"/>
  <c r="G99" i="22"/>
  <c r="F100" i="22"/>
  <c r="G100" i="22"/>
  <c r="F101" i="22"/>
  <c r="G101" i="22"/>
  <c r="F102" i="22"/>
  <c r="G102" i="22"/>
  <c r="F103" i="22"/>
  <c r="G103" i="22"/>
  <c r="F104" i="22"/>
  <c r="G104" i="22"/>
  <c r="F105" i="22"/>
  <c r="G105" i="22"/>
  <c r="F106" i="22"/>
  <c r="G106" i="22"/>
  <c r="F107" i="22"/>
  <c r="G107" i="22"/>
  <c r="F108" i="22"/>
  <c r="G108" i="22"/>
  <c r="F109" i="22"/>
  <c r="G109" i="22"/>
  <c r="F110" i="22"/>
  <c r="G110" i="22"/>
  <c r="F111" i="22"/>
  <c r="G111" i="22"/>
  <c r="F112" i="22"/>
  <c r="G112" i="22"/>
  <c r="F113" i="22"/>
  <c r="G113" i="22"/>
  <c r="F114" i="22"/>
  <c r="G114" i="22"/>
  <c r="F115" i="22"/>
  <c r="G115" i="22"/>
  <c r="F116" i="22"/>
  <c r="G116" i="22"/>
  <c r="F117" i="22"/>
  <c r="G117" i="22"/>
  <c r="F118" i="22"/>
  <c r="G118" i="22"/>
  <c r="F119" i="22"/>
  <c r="G119" i="22"/>
  <c r="F120" i="22"/>
  <c r="G120" i="22"/>
  <c r="F121" i="22"/>
  <c r="G121" i="22"/>
  <c r="F122" i="22"/>
  <c r="G122" i="22"/>
  <c r="F123" i="22"/>
  <c r="G123" i="22"/>
  <c r="F124" i="22"/>
  <c r="G124" i="22"/>
  <c r="F125" i="22"/>
  <c r="G125" i="22"/>
  <c r="F126" i="22"/>
  <c r="G126" i="22"/>
  <c r="F127" i="22"/>
  <c r="G127" i="22"/>
  <c r="F128" i="22"/>
  <c r="G128" i="22"/>
  <c r="F129" i="22"/>
  <c r="G129" i="22"/>
  <c r="F130" i="22"/>
  <c r="G130" i="22"/>
  <c r="F131" i="22"/>
  <c r="G131" i="22"/>
  <c r="F132" i="22"/>
  <c r="G132" i="22"/>
  <c r="F133" i="22"/>
  <c r="G133" i="22"/>
  <c r="F134" i="22"/>
  <c r="G134" i="22"/>
  <c r="F135" i="22"/>
  <c r="G135" i="22"/>
  <c r="F136" i="22"/>
  <c r="G136" i="22"/>
  <c r="F137" i="22"/>
  <c r="G137" i="22"/>
  <c r="F138" i="22"/>
  <c r="G138" i="22"/>
  <c r="F139" i="22"/>
  <c r="G139" i="22"/>
  <c r="F140" i="22"/>
  <c r="G140" i="22"/>
  <c r="F141" i="22"/>
  <c r="G141" i="22"/>
  <c r="F142" i="22"/>
  <c r="G142" i="22"/>
  <c r="F143" i="22"/>
  <c r="G143" i="22"/>
  <c r="F144" i="22"/>
  <c r="G144" i="22"/>
  <c r="F145" i="22"/>
  <c r="G145" i="22"/>
  <c r="F146" i="22"/>
  <c r="G146" i="22"/>
  <c r="F147" i="22"/>
  <c r="G147" i="22"/>
  <c r="F148" i="22"/>
  <c r="G148" i="22"/>
  <c r="F149" i="22"/>
  <c r="G149" i="22"/>
  <c r="F150" i="22"/>
  <c r="G150" i="22"/>
  <c r="F151" i="22"/>
  <c r="G151" i="22"/>
  <c r="F152" i="22"/>
  <c r="G152" i="22"/>
  <c r="F153" i="22"/>
  <c r="G153" i="22"/>
  <c r="F154" i="22"/>
  <c r="G154" i="22"/>
  <c r="F155" i="22"/>
  <c r="G155" i="22"/>
  <c r="F156" i="22"/>
  <c r="G156" i="22"/>
  <c r="F157" i="22"/>
  <c r="G157" i="22"/>
  <c r="F158" i="22"/>
  <c r="G158" i="22"/>
  <c r="F159" i="22"/>
  <c r="G159" i="22"/>
  <c r="F160" i="22"/>
  <c r="G160" i="22"/>
  <c r="F161" i="22"/>
  <c r="G161" i="22"/>
  <c r="F162" i="22"/>
  <c r="G162" i="22"/>
  <c r="F163" i="22"/>
  <c r="G163" i="22"/>
  <c r="F164" i="22"/>
  <c r="G164" i="22"/>
  <c r="F165" i="22"/>
  <c r="G165" i="22"/>
  <c r="F166" i="22"/>
  <c r="G166" i="22"/>
  <c r="F167" i="22"/>
  <c r="G167" i="22"/>
  <c r="F168" i="22"/>
  <c r="G168" i="22"/>
  <c r="F169" i="22"/>
  <c r="G169" i="22"/>
  <c r="F170" i="22"/>
  <c r="G170" i="22"/>
  <c r="F171" i="22"/>
  <c r="G171" i="22"/>
  <c r="F172" i="22"/>
  <c r="G172" i="22"/>
  <c r="F173" i="22"/>
  <c r="G173" i="22"/>
  <c r="F174" i="22"/>
  <c r="G174" i="22"/>
  <c r="F175" i="22"/>
  <c r="G175" i="22"/>
  <c r="F176" i="22"/>
  <c r="G176" i="22"/>
  <c r="F177" i="22"/>
  <c r="G177" i="22"/>
  <c r="F178" i="22"/>
  <c r="G178" i="22"/>
  <c r="F179" i="22"/>
  <c r="G179" i="22"/>
  <c r="F180" i="22"/>
  <c r="G180" i="22"/>
  <c r="F181" i="22"/>
  <c r="G181" i="22"/>
  <c r="F182" i="22"/>
  <c r="G182" i="22"/>
  <c r="F183" i="22"/>
  <c r="G183" i="22"/>
  <c r="F184" i="22"/>
  <c r="G184" i="22"/>
  <c r="F185" i="22"/>
  <c r="G185" i="22"/>
  <c r="F186" i="22"/>
  <c r="G186" i="22"/>
  <c r="F187" i="22"/>
  <c r="G187" i="22"/>
  <c r="F188" i="22"/>
  <c r="G188" i="22"/>
  <c r="F189" i="22"/>
  <c r="G189" i="22"/>
  <c r="F190" i="22"/>
  <c r="G190" i="22"/>
  <c r="F191" i="22"/>
  <c r="G191" i="22"/>
  <c r="F192" i="22"/>
  <c r="G192" i="22"/>
  <c r="F193" i="22"/>
  <c r="G193" i="22"/>
  <c r="F194" i="22"/>
  <c r="G194" i="22"/>
  <c r="F195" i="22"/>
  <c r="G195" i="22"/>
  <c r="F196" i="22"/>
  <c r="G196" i="22"/>
  <c r="F197" i="22"/>
  <c r="G197" i="22"/>
  <c r="F198" i="22"/>
  <c r="G198" i="22"/>
  <c r="F199" i="22"/>
  <c r="G199" i="22"/>
  <c r="F200" i="22"/>
  <c r="G200" i="22"/>
  <c r="F201" i="22"/>
  <c r="G201" i="22"/>
  <c r="F202" i="22"/>
  <c r="G202" i="22"/>
  <c r="F203" i="22"/>
  <c r="G203" i="22"/>
  <c r="F204" i="22"/>
  <c r="G204" i="22"/>
  <c r="F205" i="22"/>
  <c r="G205" i="22"/>
  <c r="F206" i="22"/>
  <c r="G206" i="22"/>
  <c r="F207" i="22"/>
  <c r="G207" i="22"/>
  <c r="F208" i="22"/>
  <c r="G208" i="22"/>
  <c r="F209" i="22"/>
  <c r="G209" i="22"/>
  <c r="F210" i="22"/>
  <c r="G210" i="22"/>
  <c r="F211" i="22"/>
  <c r="G211" i="22"/>
  <c r="F212" i="22"/>
  <c r="G212" i="22"/>
  <c r="F213" i="22"/>
  <c r="G213" i="22"/>
  <c r="F214" i="22"/>
  <c r="G214" i="22"/>
  <c r="F215" i="22"/>
  <c r="G215" i="22"/>
  <c r="F216" i="22"/>
  <c r="G216" i="22"/>
  <c r="F217" i="22"/>
  <c r="G217" i="22"/>
  <c r="F218" i="22"/>
  <c r="G218" i="22"/>
  <c r="F219" i="22"/>
  <c r="G219" i="22"/>
  <c r="F220" i="22"/>
  <c r="G220" i="22"/>
  <c r="F221" i="22"/>
  <c r="G221" i="22"/>
  <c r="F222" i="22"/>
  <c r="G222" i="22"/>
  <c r="F223" i="22"/>
  <c r="G223" i="22"/>
  <c r="F224" i="22"/>
  <c r="G224" i="22"/>
  <c r="F225" i="22"/>
  <c r="G225" i="22"/>
  <c r="F226" i="22"/>
  <c r="G226" i="22"/>
  <c r="F227" i="22"/>
  <c r="G227" i="22"/>
  <c r="F228" i="22"/>
  <c r="G228" i="22"/>
  <c r="F229" i="22"/>
  <c r="G229" i="22"/>
  <c r="F230" i="22"/>
  <c r="G230" i="22"/>
  <c r="F231" i="22"/>
  <c r="G231" i="22"/>
  <c r="F232" i="22"/>
  <c r="G232" i="22"/>
  <c r="F233" i="22"/>
  <c r="G233" i="22"/>
  <c r="F234" i="22"/>
  <c r="G234" i="22"/>
  <c r="F235" i="22"/>
  <c r="G235" i="22"/>
  <c r="F236" i="22"/>
  <c r="G236" i="22"/>
  <c r="F237" i="22"/>
  <c r="G237" i="22"/>
  <c r="F238" i="22"/>
  <c r="G238" i="22"/>
  <c r="F239" i="22"/>
  <c r="G239" i="22"/>
  <c r="F240" i="22"/>
  <c r="G240" i="22"/>
  <c r="F241" i="22"/>
  <c r="G241" i="22"/>
  <c r="F242" i="22"/>
  <c r="G242" i="22"/>
  <c r="F243" i="22"/>
  <c r="G243" i="22"/>
  <c r="F244" i="22"/>
  <c r="G244" i="22"/>
  <c r="F245" i="22"/>
  <c r="G245" i="22"/>
  <c r="F246" i="22"/>
  <c r="G246" i="22"/>
  <c r="F247" i="22"/>
  <c r="G247" i="22"/>
  <c r="F248" i="22"/>
  <c r="G248" i="22"/>
  <c r="F249" i="22"/>
  <c r="G249" i="22"/>
  <c r="F250" i="22"/>
  <c r="G250" i="22"/>
  <c r="F251" i="22"/>
  <c r="G251" i="22"/>
  <c r="F252" i="22"/>
  <c r="G252" i="22"/>
  <c r="F253" i="22"/>
  <c r="G253" i="22"/>
  <c r="F254" i="22"/>
  <c r="G254" i="22"/>
  <c r="F255" i="22"/>
  <c r="G255" i="22"/>
  <c r="F256" i="22"/>
  <c r="G256" i="22"/>
  <c r="F257" i="22"/>
  <c r="G257" i="22"/>
  <c r="F258" i="22"/>
  <c r="G258" i="22"/>
  <c r="F259" i="22"/>
  <c r="G259" i="22"/>
  <c r="F260" i="22"/>
  <c r="G260" i="22"/>
  <c r="F261" i="22"/>
  <c r="G261" i="22"/>
  <c r="F262" i="22"/>
  <c r="G262" i="22"/>
  <c r="F263" i="22"/>
  <c r="G263" i="22"/>
  <c r="F264" i="22"/>
  <c r="G264" i="22"/>
  <c r="F265" i="22"/>
  <c r="G265" i="22"/>
  <c r="F266" i="22"/>
  <c r="G266" i="22"/>
  <c r="F267" i="22"/>
  <c r="G267" i="22"/>
  <c r="F268" i="22"/>
  <c r="G268" i="22"/>
  <c r="F269" i="22"/>
  <c r="G269" i="22"/>
  <c r="F270" i="22"/>
  <c r="G270" i="22"/>
  <c r="F271" i="22"/>
  <c r="G271" i="22"/>
  <c r="F272" i="22"/>
  <c r="G272" i="22"/>
  <c r="F273" i="22"/>
  <c r="G273" i="22"/>
  <c r="F274" i="22"/>
  <c r="G274" i="22"/>
  <c r="F275" i="22"/>
  <c r="G275" i="22"/>
  <c r="F276" i="22"/>
  <c r="G276" i="22"/>
  <c r="F277" i="22"/>
  <c r="G277" i="22"/>
  <c r="F278" i="22"/>
  <c r="G278" i="22"/>
  <c r="F279" i="22"/>
  <c r="G279" i="22"/>
  <c r="F280" i="22"/>
  <c r="G280" i="22"/>
  <c r="F281" i="22"/>
  <c r="G281" i="22"/>
  <c r="F282" i="22"/>
  <c r="G282" i="22"/>
  <c r="F283" i="22"/>
  <c r="G283" i="22"/>
  <c r="F284" i="22"/>
  <c r="G284" i="22"/>
  <c r="F285" i="22"/>
  <c r="G285" i="22"/>
  <c r="F286" i="22"/>
  <c r="G286" i="22"/>
  <c r="F287" i="22"/>
  <c r="G287" i="22"/>
  <c r="F288" i="22"/>
  <c r="G288" i="22"/>
  <c r="F289" i="22"/>
  <c r="G289" i="22"/>
  <c r="F290" i="22"/>
  <c r="G290" i="22"/>
  <c r="F291" i="22"/>
  <c r="G291" i="22"/>
  <c r="F292" i="22"/>
  <c r="G292" i="22"/>
  <c r="F293" i="22"/>
  <c r="G293" i="22"/>
  <c r="F294" i="22"/>
  <c r="G294" i="22"/>
  <c r="F295" i="22"/>
  <c r="G295" i="22"/>
  <c r="F296" i="22"/>
  <c r="G296" i="22"/>
  <c r="F297" i="22"/>
  <c r="G297" i="22"/>
  <c r="F298" i="22"/>
  <c r="G298" i="22"/>
  <c r="F299" i="22"/>
  <c r="G299" i="22"/>
  <c r="F300" i="22"/>
  <c r="G300" i="22"/>
  <c r="F301" i="22"/>
  <c r="G301" i="22"/>
  <c r="F302" i="22"/>
  <c r="G302" i="22"/>
  <c r="F303" i="22"/>
  <c r="G303" i="22"/>
  <c r="F304" i="22"/>
  <c r="G304" i="22"/>
  <c r="F305" i="22"/>
  <c r="G305" i="22"/>
  <c r="F306" i="22"/>
  <c r="G306" i="22"/>
  <c r="F307" i="22"/>
  <c r="G307" i="22"/>
  <c r="F308" i="22"/>
  <c r="G308" i="22"/>
  <c r="F309" i="22"/>
  <c r="G309" i="22"/>
  <c r="F310" i="22"/>
  <c r="G310" i="22"/>
  <c r="F311" i="22"/>
  <c r="G311" i="22"/>
  <c r="F312" i="22"/>
  <c r="G312" i="22"/>
  <c r="F313" i="22"/>
  <c r="G313" i="22"/>
  <c r="F314" i="22"/>
  <c r="G314" i="22"/>
  <c r="F315" i="22"/>
  <c r="G315" i="22"/>
  <c r="F316" i="22"/>
  <c r="G316" i="22"/>
  <c r="F317" i="22"/>
  <c r="G317" i="22"/>
  <c r="F318" i="22"/>
  <c r="G318" i="22"/>
  <c r="F319" i="22"/>
  <c r="G319" i="22"/>
  <c r="F320" i="22"/>
  <c r="G320" i="22"/>
  <c r="F321" i="22"/>
  <c r="G321" i="22"/>
  <c r="F322" i="22"/>
  <c r="G322" i="22"/>
  <c r="F323" i="22"/>
  <c r="G323" i="22"/>
  <c r="F324" i="22"/>
  <c r="G324" i="22"/>
  <c r="F325" i="22"/>
  <c r="G325" i="22"/>
  <c r="F326" i="22"/>
  <c r="G326" i="22"/>
  <c r="F327" i="22"/>
  <c r="G327" i="22"/>
  <c r="F328" i="22"/>
  <c r="G328" i="22"/>
  <c r="F329" i="22"/>
  <c r="G329" i="22"/>
  <c r="F330" i="22"/>
  <c r="G330" i="22"/>
  <c r="F331" i="22"/>
  <c r="G331" i="22"/>
  <c r="F332" i="22"/>
  <c r="G332" i="22"/>
  <c r="F333" i="22"/>
  <c r="G333" i="22"/>
  <c r="F334" i="22"/>
  <c r="G334" i="22"/>
  <c r="F335" i="22"/>
  <c r="G335" i="22"/>
  <c r="F336" i="22"/>
  <c r="G336" i="22"/>
  <c r="F337" i="22"/>
  <c r="G337" i="22"/>
  <c r="F338" i="22"/>
  <c r="G338" i="22"/>
  <c r="F339" i="22"/>
  <c r="G339" i="22"/>
  <c r="F340" i="22"/>
  <c r="G340" i="22"/>
  <c r="F341" i="22"/>
  <c r="G341" i="22"/>
  <c r="F342" i="22"/>
  <c r="G342" i="22"/>
  <c r="F343" i="22"/>
  <c r="G343" i="22"/>
  <c r="F344" i="22"/>
  <c r="G344" i="22"/>
  <c r="F345" i="22"/>
  <c r="G345" i="22"/>
  <c r="F346" i="22"/>
  <c r="G346" i="22"/>
  <c r="F347" i="22"/>
  <c r="G347" i="22"/>
  <c r="F348" i="22"/>
  <c r="G348" i="22"/>
  <c r="F349" i="22"/>
  <c r="G349" i="22"/>
  <c r="F350" i="22"/>
  <c r="G350" i="22"/>
  <c r="F351" i="22"/>
  <c r="G351" i="22"/>
  <c r="F352" i="22"/>
  <c r="G352" i="22"/>
  <c r="F353" i="22"/>
  <c r="G353" i="22"/>
  <c r="F354" i="22"/>
  <c r="G354" i="22"/>
  <c r="F355" i="22"/>
  <c r="G355" i="22"/>
  <c r="F356" i="22"/>
  <c r="G356" i="22"/>
  <c r="F357" i="22"/>
  <c r="G357" i="22"/>
  <c r="F358" i="22"/>
  <c r="G358" i="22"/>
  <c r="F359" i="22"/>
  <c r="G359" i="22"/>
  <c r="F360" i="22"/>
  <c r="G360" i="22"/>
  <c r="F361" i="22"/>
  <c r="G361" i="22"/>
  <c r="F362" i="22"/>
  <c r="G362" i="22"/>
  <c r="F363" i="22"/>
  <c r="G363" i="22"/>
  <c r="F364" i="22"/>
  <c r="G364" i="22"/>
  <c r="F365" i="22"/>
  <c r="G365" i="22"/>
  <c r="F366" i="22"/>
  <c r="G366" i="22"/>
  <c r="F367" i="22"/>
  <c r="G367" i="22"/>
  <c r="F368" i="22"/>
  <c r="G368" i="22"/>
  <c r="F369" i="22"/>
  <c r="G369" i="22"/>
  <c r="F370" i="22"/>
  <c r="G370" i="22"/>
  <c r="F371" i="22"/>
  <c r="G371" i="22"/>
  <c r="F372" i="22"/>
  <c r="G372" i="22"/>
  <c r="F373" i="22"/>
  <c r="G373" i="22"/>
  <c r="F374" i="22"/>
  <c r="G374" i="22"/>
  <c r="F375" i="22"/>
  <c r="G375" i="22"/>
  <c r="F376" i="22"/>
  <c r="G376" i="22"/>
  <c r="F377" i="22"/>
  <c r="G377" i="22"/>
  <c r="F378" i="22"/>
  <c r="G378" i="22"/>
  <c r="F379" i="22"/>
  <c r="G379" i="22"/>
  <c r="F380" i="22"/>
  <c r="G380" i="22"/>
  <c r="F381" i="22"/>
  <c r="G381" i="22"/>
  <c r="F382" i="22"/>
  <c r="G382" i="22"/>
  <c r="F383" i="22"/>
  <c r="G383" i="22"/>
  <c r="F384" i="22"/>
  <c r="G384" i="22"/>
  <c r="F385" i="22"/>
  <c r="G385" i="22"/>
  <c r="F386" i="22"/>
  <c r="G386" i="22"/>
  <c r="F387" i="22"/>
  <c r="G387" i="22"/>
  <c r="F388" i="22"/>
  <c r="G388" i="22"/>
  <c r="F389" i="22"/>
  <c r="G389" i="22"/>
  <c r="F390" i="22"/>
  <c r="G390" i="22"/>
  <c r="F391" i="22"/>
  <c r="G391" i="22"/>
  <c r="F392" i="22"/>
  <c r="G392" i="22"/>
  <c r="F393" i="22"/>
  <c r="G393" i="22"/>
  <c r="F394" i="22"/>
  <c r="G394" i="22"/>
  <c r="F395" i="22"/>
  <c r="G395" i="22"/>
  <c r="F396" i="22"/>
  <c r="G396" i="22"/>
  <c r="F397" i="22"/>
  <c r="G397" i="22"/>
  <c r="F398" i="22"/>
  <c r="G398" i="22"/>
  <c r="F399" i="22"/>
  <c r="G399" i="22"/>
  <c r="F400" i="22"/>
  <c r="G400" i="22"/>
  <c r="F401" i="22"/>
  <c r="G401" i="22"/>
  <c r="F402" i="22"/>
  <c r="G402" i="22"/>
  <c r="F403" i="22"/>
  <c r="G403" i="22"/>
  <c r="F404" i="22"/>
  <c r="G404" i="22"/>
  <c r="F405" i="22"/>
  <c r="G405" i="22"/>
  <c r="F406" i="22"/>
  <c r="G406" i="22"/>
  <c r="F407" i="22"/>
  <c r="G407" i="22"/>
  <c r="F408" i="22"/>
  <c r="G408" i="22"/>
  <c r="F409" i="22"/>
  <c r="G409" i="22"/>
  <c r="F410" i="22"/>
  <c r="G410" i="22"/>
  <c r="F411" i="22"/>
  <c r="G411" i="22"/>
  <c r="F412" i="22"/>
  <c r="G412" i="22"/>
  <c r="F413" i="22"/>
  <c r="G413" i="22"/>
  <c r="F414" i="22"/>
  <c r="G414" i="22"/>
  <c r="F415" i="22"/>
  <c r="G415" i="22"/>
  <c r="F416" i="22"/>
  <c r="G416" i="22"/>
  <c r="F417" i="22"/>
  <c r="G417" i="22"/>
  <c r="F418" i="22"/>
  <c r="G418" i="22"/>
  <c r="F419" i="22"/>
  <c r="G419" i="22"/>
  <c r="F420" i="22"/>
  <c r="G420" i="22"/>
  <c r="F421" i="22"/>
  <c r="G421" i="22"/>
  <c r="F422" i="22"/>
  <c r="G422" i="22"/>
  <c r="F423" i="22"/>
  <c r="G423" i="22"/>
  <c r="F424" i="22"/>
  <c r="G424" i="22"/>
  <c r="F425" i="22"/>
  <c r="G425" i="22"/>
  <c r="F426" i="22"/>
  <c r="G426" i="22"/>
  <c r="F427" i="22"/>
  <c r="G427" i="22"/>
  <c r="F428" i="22"/>
  <c r="G428" i="22"/>
  <c r="F429" i="22"/>
  <c r="G429" i="22"/>
  <c r="F430" i="22"/>
  <c r="G430" i="22"/>
  <c r="F431" i="22"/>
  <c r="G431" i="22"/>
  <c r="F432" i="22"/>
  <c r="G432" i="22"/>
  <c r="F433" i="22"/>
  <c r="G433" i="22"/>
  <c r="F434" i="22"/>
  <c r="G434" i="22"/>
  <c r="F435" i="22"/>
  <c r="G435" i="22"/>
  <c r="F436" i="22"/>
  <c r="G436" i="22"/>
  <c r="F437" i="22"/>
  <c r="G437" i="22"/>
  <c r="F438" i="22"/>
  <c r="G438" i="22"/>
  <c r="F439" i="22"/>
  <c r="G439" i="22"/>
  <c r="F440" i="22"/>
  <c r="G440" i="22"/>
  <c r="F441" i="22"/>
  <c r="G441" i="22"/>
  <c r="F442" i="22"/>
  <c r="G442" i="22"/>
  <c r="F443" i="22"/>
  <c r="G443" i="22"/>
  <c r="F444" i="22"/>
  <c r="G444" i="22"/>
  <c r="F445" i="22"/>
  <c r="G445" i="22"/>
  <c r="F446" i="22"/>
  <c r="G446" i="22"/>
  <c r="F447" i="22"/>
  <c r="G447" i="22"/>
  <c r="F448" i="22"/>
  <c r="G448" i="22"/>
  <c r="F449" i="22"/>
  <c r="G449" i="22"/>
  <c r="F450" i="22"/>
  <c r="G450" i="22"/>
  <c r="F451" i="22"/>
  <c r="G451" i="22"/>
  <c r="F452" i="22"/>
  <c r="G452" i="22"/>
  <c r="F453" i="22"/>
  <c r="G453" i="22"/>
  <c r="F454" i="22"/>
  <c r="G454" i="22"/>
  <c r="F455" i="22"/>
  <c r="G455" i="22"/>
  <c r="F456" i="22"/>
  <c r="G456" i="22"/>
  <c r="F457" i="22"/>
  <c r="G457" i="22"/>
  <c r="F458" i="22"/>
  <c r="G458" i="22"/>
  <c r="F459" i="22"/>
  <c r="G459" i="22"/>
  <c r="F460" i="22"/>
  <c r="G460" i="22"/>
  <c r="F461" i="22"/>
  <c r="G461" i="22"/>
  <c r="F462" i="22"/>
  <c r="G462" i="22"/>
  <c r="F463" i="22"/>
  <c r="G463" i="22"/>
  <c r="F464" i="22"/>
  <c r="G464" i="22"/>
  <c r="F465" i="22"/>
  <c r="G465" i="22"/>
  <c r="F466" i="22"/>
  <c r="G466" i="22"/>
  <c r="F467" i="22"/>
  <c r="G467" i="22"/>
  <c r="F468" i="22"/>
  <c r="G468" i="22"/>
  <c r="F469" i="22"/>
  <c r="G469" i="22"/>
  <c r="F470" i="22"/>
  <c r="G470" i="22"/>
  <c r="F471" i="22"/>
  <c r="G471" i="22"/>
  <c r="F472" i="22"/>
  <c r="G472" i="22"/>
  <c r="F473" i="22"/>
  <c r="G473" i="22"/>
  <c r="F474" i="22"/>
  <c r="G474" i="22"/>
  <c r="F475" i="22"/>
  <c r="G475" i="22"/>
  <c r="F476" i="22"/>
  <c r="G476" i="22"/>
  <c r="F477" i="22"/>
  <c r="G477" i="22"/>
  <c r="F478" i="22"/>
  <c r="G478" i="22"/>
  <c r="F479" i="22"/>
  <c r="G479" i="22"/>
  <c r="F480" i="22"/>
  <c r="G480" i="22"/>
  <c r="F481" i="22"/>
  <c r="G481" i="22"/>
  <c r="F482" i="22"/>
  <c r="G482" i="22"/>
  <c r="F483" i="22"/>
  <c r="G483" i="22"/>
  <c r="F484" i="22"/>
  <c r="G484" i="22"/>
  <c r="F485" i="22"/>
  <c r="G485" i="22"/>
  <c r="F486" i="22"/>
  <c r="G486" i="22"/>
  <c r="F487" i="22"/>
  <c r="G487" i="22"/>
  <c r="F488" i="22"/>
  <c r="G488" i="22"/>
  <c r="F489" i="22"/>
  <c r="G489" i="22"/>
  <c r="F490" i="22"/>
  <c r="G490" i="22"/>
  <c r="F491" i="22"/>
  <c r="G491" i="22"/>
  <c r="F492" i="22"/>
  <c r="G492" i="22"/>
  <c r="F493" i="22"/>
  <c r="G493" i="22"/>
  <c r="F494" i="22"/>
  <c r="G494" i="22"/>
  <c r="F495" i="22"/>
  <c r="G495" i="22"/>
  <c r="F496" i="22"/>
  <c r="G496" i="22"/>
  <c r="F497" i="22"/>
  <c r="G497" i="22"/>
  <c r="F498" i="22"/>
  <c r="G498" i="22"/>
  <c r="F499" i="22"/>
  <c r="G499" i="22"/>
  <c r="F500" i="22"/>
  <c r="G500" i="22"/>
  <c r="F501" i="22"/>
  <c r="G501" i="22"/>
  <c r="F502" i="22"/>
  <c r="G502" i="22"/>
  <c r="F503" i="22"/>
  <c r="G503" i="22"/>
  <c r="F504" i="22"/>
  <c r="G504" i="22"/>
  <c r="F505" i="22"/>
  <c r="G505" i="22"/>
  <c r="F506" i="22"/>
  <c r="G506" i="22"/>
  <c r="F507" i="22"/>
  <c r="G507" i="22"/>
  <c r="F508" i="22"/>
  <c r="G508" i="22"/>
  <c r="F509" i="22"/>
  <c r="G509" i="22"/>
  <c r="F510" i="22"/>
  <c r="G510" i="22"/>
  <c r="F511" i="22"/>
  <c r="G511" i="22"/>
  <c r="F512" i="22"/>
  <c r="G512" i="22"/>
  <c r="F513" i="22"/>
  <c r="G513" i="22"/>
  <c r="F514" i="22"/>
  <c r="G514" i="22"/>
  <c r="F515" i="22"/>
  <c r="G515" i="22"/>
  <c r="F516" i="22"/>
  <c r="G516" i="22"/>
  <c r="F517" i="22"/>
  <c r="G517" i="22"/>
  <c r="F518" i="22"/>
  <c r="G518" i="22"/>
  <c r="F519" i="22"/>
  <c r="G519" i="22"/>
  <c r="F520" i="22"/>
  <c r="G520" i="22"/>
  <c r="F521" i="22"/>
  <c r="G521" i="22"/>
  <c r="F522" i="22"/>
  <c r="G522" i="22"/>
  <c r="F523" i="22"/>
  <c r="G523" i="22"/>
  <c r="F524" i="22"/>
  <c r="G524" i="22"/>
  <c r="F525" i="22"/>
  <c r="G525" i="22"/>
  <c r="F526" i="22"/>
  <c r="G526" i="22"/>
  <c r="F527" i="22"/>
  <c r="G527" i="22"/>
  <c r="F528" i="22"/>
  <c r="G528" i="22"/>
  <c r="F529" i="22"/>
  <c r="G529" i="22"/>
  <c r="F530" i="22"/>
  <c r="G530" i="22"/>
  <c r="F531" i="22"/>
  <c r="G531" i="22"/>
  <c r="F532" i="22"/>
  <c r="G532" i="22"/>
  <c r="F533" i="22"/>
  <c r="G533" i="22"/>
  <c r="F534" i="22"/>
  <c r="G534" i="22"/>
  <c r="F535" i="22"/>
  <c r="G535" i="22"/>
  <c r="F536" i="22"/>
  <c r="G536" i="22"/>
  <c r="F537" i="22"/>
  <c r="G537" i="22"/>
  <c r="F538" i="22"/>
  <c r="G538" i="22"/>
  <c r="F539" i="22"/>
  <c r="G539" i="22"/>
  <c r="F540" i="22"/>
  <c r="G540" i="22"/>
  <c r="F541" i="22"/>
  <c r="G541" i="22"/>
  <c r="F542" i="22"/>
  <c r="G542" i="22"/>
  <c r="F543" i="22"/>
  <c r="G543" i="22"/>
  <c r="F544" i="22"/>
  <c r="G544" i="22"/>
  <c r="F545" i="22"/>
  <c r="G545" i="22"/>
  <c r="F546" i="22"/>
  <c r="G546" i="22"/>
  <c r="F547" i="22"/>
  <c r="G547" i="22"/>
  <c r="F548" i="22"/>
  <c r="G548" i="22"/>
  <c r="F549" i="22"/>
  <c r="G549" i="22"/>
  <c r="F550" i="22"/>
  <c r="G550" i="22"/>
  <c r="F551" i="22"/>
  <c r="G551" i="22"/>
  <c r="F552" i="22"/>
  <c r="G552" i="22"/>
  <c r="F553" i="22"/>
  <c r="G553" i="22"/>
  <c r="F554" i="22"/>
  <c r="G554" i="22"/>
  <c r="F555" i="22"/>
  <c r="G555" i="22"/>
  <c r="F556" i="22"/>
  <c r="G556" i="22"/>
  <c r="F557" i="22"/>
  <c r="G557" i="22"/>
  <c r="F345" i="32"/>
  <c r="G345" i="32"/>
  <c r="F346" i="32"/>
  <c r="G346" i="32"/>
  <c r="F347" i="32"/>
  <c r="G347" i="32"/>
  <c r="F348" i="32"/>
  <c r="G348" i="32"/>
  <c r="F349" i="32"/>
  <c r="G349" i="32"/>
  <c r="F350" i="32"/>
  <c r="G350" i="32"/>
  <c r="F351" i="32"/>
  <c r="G351" i="32"/>
  <c r="F352" i="32"/>
  <c r="G352" i="32"/>
  <c r="F353" i="32"/>
  <c r="G353" i="32"/>
  <c r="F354" i="32"/>
  <c r="G354" i="32"/>
  <c r="F355" i="32"/>
  <c r="G355" i="32"/>
  <c r="F356" i="32"/>
  <c r="G356" i="32"/>
  <c r="F357" i="32"/>
  <c r="G357" i="32"/>
  <c r="F358" i="32"/>
  <c r="G358" i="32"/>
  <c r="F359" i="32"/>
  <c r="G359" i="32"/>
  <c r="F360" i="32"/>
  <c r="G360" i="32"/>
  <c r="F361" i="32"/>
  <c r="G361" i="32"/>
  <c r="F362" i="32"/>
  <c r="G362" i="32"/>
  <c r="F363" i="32"/>
  <c r="G363" i="32"/>
  <c r="F364" i="32"/>
  <c r="G364" i="32"/>
  <c r="F365" i="32"/>
  <c r="G365" i="32"/>
  <c r="F366" i="32"/>
  <c r="G366" i="32"/>
  <c r="F367" i="32"/>
  <c r="G367" i="32"/>
  <c r="F368" i="32"/>
  <c r="G368" i="32"/>
  <c r="F369" i="32"/>
  <c r="G369" i="32"/>
  <c r="F370" i="32"/>
  <c r="G370" i="32"/>
  <c r="F371" i="32"/>
  <c r="G371" i="32"/>
  <c r="F372" i="32"/>
  <c r="G372" i="32"/>
  <c r="F373" i="32"/>
  <c r="G373" i="32"/>
  <c r="F374" i="32"/>
  <c r="G374" i="32"/>
  <c r="F375" i="32"/>
  <c r="G375" i="32"/>
  <c r="F376" i="32"/>
  <c r="G376" i="32"/>
  <c r="F377" i="32"/>
  <c r="G377" i="32"/>
  <c r="F378" i="32"/>
  <c r="G378" i="32"/>
  <c r="F379" i="32"/>
  <c r="G379" i="32"/>
  <c r="F380" i="32"/>
  <c r="G380" i="32"/>
  <c r="F381" i="32"/>
  <c r="G381" i="32"/>
  <c r="F382" i="32"/>
  <c r="G382" i="32"/>
  <c r="F383" i="32"/>
  <c r="G383" i="32"/>
  <c r="F384" i="32"/>
  <c r="G384" i="32"/>
  <c r="F385" i="32"/>
  <c r="G385" i="32"/>
  <c r="F386" i="32"/>
  <c r="G386" i="32"/>
  <c r="F387" i="32"/>
  <c r="G387" i="32"/>
  <c r="F388" i="32"/>
  <c r="G388" i="32"/>
  <c r="F389" i="32"/>
  <c r="G389" i="32"/>
  <c r="F390" i="32"/>
  <c r="G390" i="32"/>
  <c r="F391" i="32"/>
  <c r="G391" i="32"/>
  <c r="F392" i="32"/>
  <c r="G392" i="32"/>
  <c r="F393" i="32"/>
  <c r="G393" i="32"/>
  <c r="F394" i="32"/>
  <c r="G394" i="32"/>
  <c r="F395" i="32"/>
  <c r="G395" i="32"/>
  <c r="F396" i="32"/>
  <c r="G396" i="32"/>
  <c r="F397" i="32"/>
  <c r="G397" i="32"/>
  <c r="F398" i="32"/>
  <c r="G398" i="32"/>
  <c r="F399" i="32"/>
  <c r="G399" i="32"/>
  <c r="F400" i="32"/>
  <c r="G400" i="32"/>
  <c r="F401" i="32"/>
  <c r="G401" i="32"/>
  <c r="F402" i="32"/>
  <c r="G402" i="32"/>
  <c r="F403" i="32"/>
  <c r="G403" i="32"/>
  <c r="F404" i="32"/>
  <c r="G404" i="32"/>
  <c r="F405" i="32"/>
  <c r="G405" i="32"/>
  <c r="F406" i="32"/>
  <c r="G406" i="32"/>
  <c r="F407" i="32"/>
  <c r="G407" i="32"/>
  <c r="F408" i="32"/>
  <c r="G408" i="32"/>
  <c r="F409" i="32"/>
  <c r="G409" i="32"/>
  <c r="F410" i="32"/>
  <c r="G410" i="32"/>
  <c r="F411" i="32"/>
  <c r="G411" i="32"/>
  <c r="F412" i="32"/>
  <c r="G412" i="32"/>
  <c r="F413" i="32"/>
  <c r="G413" i="32"/>
  <c r="F414" i="32"/>
  <c r="G414" i="32"/>
  <c r="F415" i="32"/>
  <c r="G415" i="32"/>
  <c r="F416" i="32"/>
  <c r="G416" i="32"/>
  <c r="F417" i="32"/>
  <c r="G417" i="32"/>
  <c r="F418" i="32"/>
  <c r="G418" i="32"/>
  <c r="F419" i="32"/>
  <c r="G419" i="32"/>
  <c r="F420" i="32"/>
  <c r="G420" i="32"/>
  <c r="F421" i="32"/>
  <c r="G421" i="32"/>
  <c r="F422" i="32"/>
  <c r="G422" i="32"/>
  <c r="F423" i="32"/>
  <c r="G423" i="32"/>
  <c r="F424" i="32"/>
  <c r="G424" i="32"/>
  <c r="F425" i="32"/>
  <c r="G425" i="32"/>
  <c r="F426" i="32"/>
  <c r="G426" i="32"/>
  <c r="F427" i="32"/>
  <c r="G427" i="32"/>
  <c r="F428" i="32"/>
  <c r="G428" i="32"/>
  <c r="F429" i="32"/>
  <c r="G429" i="32"/>
  <c r="F430" i="32"/>
  <c r="G430" i="32"/>
  <c r="F431" i="32"/>
  <c r="G431" i="32"/>
  <c r="F432" i="32"/>
  <c r="G432" i="32"/>
  <c r="F433" i="32"/>
  <c r="G433" i="32"/>
  <c r="F434" i="32"/>
  <c r="G434" i="32"/>
  <c r="F435" i="32"/>
  <c r="G435" i="32"/>
  <c r="F436" i="32"/>
  <c r="G436" i="32"/>
  <c r="F437" i="32"/>
  <c r="G437" i="32"/>
  <c r="F438" i="32"/>
  <c r="G438" i="32"/>
  <c r="F439" i="32"/>
  <c r="G439" i="32"/>
  <c r="F440" i="32"/>
  <c r="G440" i="32"/>
  <c r="F441" i="32"/>
  <c r="G441" i="32"/>
  <c r="F442" i="32"/>
  <c r="G442" i="32"/>
  <c r="F443" i="32"/>
  <c r="G443" i="32"/>
  <c r="F444" i="32"/>
  <c r="G444" i="32"/>
  <c r="F445" i="32"/>
  <c r="G445" i="32"/>
  <c r="F446" i="32"/>
  <c r="G446" i="32"/>
  <c r="F447" i="32"/>
  <c r="G447" i="32"/>
  <c r="F448" i="32"/>
  <c r="G448" i="32"/>
  <c r="F449" i="32"/>
  <c r="G449" i="32"/>
  <c r="F450" i="32"/>
  <c r="G450" i="32"/>
  <c r="F451" i="32"/>
  <c r="G451" i="32"/>
  <c r="F452" i="32"/>
  <c r="G452" i="32"/>
  <c r="F453" i="32"/>
  <c r="G453" i="32"/>
  <c r="F454" i="32"/>
  <c r="G454" i="32"/>
  <c r="F455" i="32"/>
  <c r="G455" i="32"/>
  <c r="F456" i="32"/>
  <c r="G456" i="32"/>
  <c r="F457" i="32"/>
  <c r="G457" i="32"/>
  <c r="F458" i="32"/>
  <c r="G458" i="32"/>
  <c r="F459" i="32"/>
  <c r="G459" i="32"/>
  <c r="F460" i="32"/>
  <c r="G460" i="32"/>
  <c r="F461" i="32"/>
  <c r="G461" i="32"/>
  <c r="F462" i="32"/>
  <c r="G462" i="32"/>
  <c r="F463" i="32"/>
  <c r="G463" i="32"/>
  <c r="F464" i="32"/>
  <c r="G464" i="32"/>
  <c r="F465" i="32"/>
  <c r="G465" i="32"/>
  <c r="F466" i="32"/>
  <c r="G466" i="32"/>
  <c r="F467" i="32"/>
  <c r="G467" i="32"/>
  <c r="F468" i="32"/>
  <c r="G468" i="32"/>
  <c r="F469" i="32"/>
  <c r="G469" i="32"/>
  <c r="F470" i="32"/>
  <c r="G470" i="32"/>
  <c r="F471" i="32"/>
  <c r="G471" i="32"/>
  <c r="F472" i="32"/>
  <c r="G472" i="32"/>
  <c r="F473" i="32"/>
  <c r="G473" i="32"/>
  <c r="F474" i="32"/>
  <c r="G474" i="32"/>
  <c r="F475" i="32"/>
  <c r="G475" i="32"/>
  <c r="F476" i="32"/>
  <c r="G476" i="32"/>
  <c r="F477" i="32"/>
  <c r="G477" i="32"/>
  <c r="F478" i="32"/>
  <c r="G478" i="32"/>
  <c r="F479" i="32"/>
  <c r="G479" i="32"/>
  <c r="F480" i="32"/>
  <c r="G480" i="32"/>
  <c r="F481" i="32"/>
  <c r="G481" i="32"/>
  <c r="F482" i="32"/>
  <c r="G482" i="32"/>
  <c r="F483" i="32"/>
  <c r="G483" i="32"/>
  <c r="F484" i="32"/>
  <c r="G484" i="32"/>
  <c r="F485" i="32"/>
  <c r="G485" i="32"/>
  <c r="F486" i="32"/>
  <c r="G486" i="32"/>
  <c r="F487" i="32"/>
  <c r="G487" i="32"/>
  <c r="F488" i="32"/>
  <c r="G488" i="32"/>
  <c r="F489" i="32"/>
  <c r="G489" i="32"/>
  <c r="F490" i="32"/>
  <c r="G490" i="32"/>
  <c r="F491" i="32"/>
  <c r="G491" i="32"/>
  <c r="F492" i="32"/>
  <c r="G492" i="32"/>
  <c r="F493" i="32"/>
  <c r="G493" i="32"/>
  <c r="F494" i="32"/>
  <c r="G494" i="32"/>
  <c r="F495" i="32"/>
  <c r="G495" i="32"/>
  <c r="F496" i="32"/>
  <c r="G496" i="32"/>
  <c r="F497" i="32"/>
  <c r="G497" i="32"/>
  <c r="F498" i="32"/>
  <c r="G498" i="32"/>
  <c r="F499" i="32"/>
  <c r="G499" i="32"/>
  <c r="F500" i="32"/>
  <c r="G500" i="32"/>
  <c r="F501" i="32"/>
  <c r="G501" i="32"/>
  <c r="F502" i="32"/>
  <c r="G502" i="32"/>
  <c r="F503" i="32"/>
  <c r="G503" i="32"/>
  <c r="F504" i="32"/>
  <c r="G504" i="32"/>
  <c r="F505" i="32"/>
  <c r="G505" i="32"/>
  <c r="F506" i="32"/>
  <c r="G506" i="32"/>
  <c r="F507" i="32"/>
  <c r="G507" i="32"/>
  <c r="F508" i="32"/>
  <c r="G508" i="32"/>
  <c r="F509" i="32"/>
  <c r="G509" i="32"/>
  <c r="F510" i="32"/>
  <c r="G510" i="32"/>
  <c r="F511" i="32"/>
  <c r="G511" i="32"/>
  <c r="F512" i="32"/>
  <c r="G512" i="32"/>
  <c r="F513" i="32"/>
  <c r="G513" i="32"/>
  <c r="F514" i="32"/>
  <c r="G514" i="32"/>
  <c r="F515" i="32"/>
  <c r="G515" i="32"/>
  <c r="F516" i="32"/>
  <c r="G516" i="32"/>
  <c r="F517" i="32"/>
  <c r="G517" i="32"/>
  <c r="F518" i="32"/>
  <c r="G518" i="32"/>
  <c r="F519" i="32"/>
  <c r="G519" i="32"/>
  <c r="F520" i="32"/>
  <c r="G520" i="32"/>
  <c r="F521" i="32"/>
  <c r="G521" i="32"/>
  <c r="F522" i="32"/>
  <c r="G522" i="32"/>
  <c r="F523" i="32"/>
  <c r="G523" i="32"/>
  <c r="F524" i="32"/>
  <c r="G524" i="32"/>
  <c r="F525" i="32"/>
  <c r="G525" i="32"/>
  <c r="F526" i="32"/>
  <c r="G526" i="32"/>
  <c r="F527" i="32"/>
  <c r="G527" i="32"/>
  <c r="F528" i="32"/>
  <c r="G528" i="32"/>
  <c r="F529" i="32"/>
  <c r="G529" i="32"/>
  <c r="F530" i="32"/>
  <c r="G530" i="32"/>
  <c r="F531" i="32"/>
  <c r="G531" i="32"/>
  <c r="F532" i="32"/>
  <c r="G532" i="32"/>
  <c r="F533" i="32"/>
  <c r="G533" i="32"/>
  <c r="F534" i="32"/>
  <c r="G534" i="32"/>
  <c r="F535" i="32"/>
  <c r="G535" i="32"/>
  <c r="F536" i="32"/>
  <c r="G536" i="32"/>
  <c r="F537" i="32"/>
  <c r="G537" i="32"/>
  <c r="F538" i="32"/>
  <c r="G538" i="32"/>
  <c r="F539" i="32"/>
  <c r="G539" i="32"/>
  <c r="F540" i="32"/>
  <c r="G540" i="32"/>
  <c r="F541" i="32"/>
  <c r="G541" i="32"/>
  <c r="F542" i="32"/>
  <c r="G542" i="32"/>
  <c r="F543" i="32"/>
  <c r="G543" i="32"/>
  <c r="F544" i="32"/>
  <c r="G544" i="32"/>
  <c r="F545" i="32"/>
  <c r="G545" i="32"/>
  <c r="F546" i="32"/>
  <c r="G546" i="32"/>
  <c r="F547" i="32"/>
  <c r="G547" i="32"/>
  <c r="F548" i="32"/>
  <c r="G548" i="32"/>
  <c r="F549" i="32"/>
  <c r="G549" i="32"/>
  <c r="F550" i="32"/>
  <c r="G550" i="32"/>
  <c r="F551" i="32"/>
  <c r="G551" i="32"/>
  <c r="F552" i="32"/>
  <c r="G552" i="32"/>
  <c r="F553" i="32"/>
  <c r="G553" i="32"/>
  <c r="F554" i="32"/>
  <c r="G554" i="32"/>
  <c r="F555" i="32"/>
  <c r="G555" i="32"/>
  <c r="F556" i="32"/>
  <c r="G556" i="32"/>
  <c r="F557" i="32"/>
  <c r="G557" i="32"/>
  <c r="F558" i="32"/>
  <c r="G558" i="32"/>
  <c r="F559" i="32"/>
  <c r="G559" i="32"/>
  <c r="F560" i="32"/>
  <c r="G560" i="32"/>
  <c r="F561" i="32"/>
  <c r="G561" i="32"/>
  <c r="F562" i="32"/>
  <c r="G562" i="32"/>
  <c r="F563" i="32"/>
  <c r="G563" i="32"/>
  <c r="F564" i="32"/>
  <c r="G564" i="32"/>
  <c r="F565" i="32"/>
  <c r="G565" i="32"/>
  <c r="F566" i="32"/>
  <c r="G566" i="32"/>
  <c r="F567" i="32"/>
  <c r="G567" i="32"/>
  <c r="F568" i="32"/>
  <c r="G568" i="32"/>
  <c r="F569" i="32"/>
  <c r="G569" i="32"/>
  <c r="F570" i="32"/>
  <c r="G570" i="32"/>
  <c r="F571" i="32"/>
  <c r="G571" i="32"/>
  <c r="F572" i="32"/>
  <c r="G572" i="32"/>
  <c r="F573" i="32"/>
  <c r="G573" i="32"/>
  <c r="F574" i="32"/>
  <c r="G574" i="32"/>
  <c r="F575" i="32"/>
  <c r="G575" i="32"/>
  <c r="F576" i="32"/>
  <c r="G576" i="32"/>
  <c r="F577" i="32"/>
  <c r="G577" i="32"/>
  <c r="F578" i="32"/>
  <c r="G578" i="32"/>
  <c r="F579" i="32"/>
  <c r="G579" i="32"/>
  <c r="F580" i="32"/>
  <c r="G580" i="32"/>
  <c r="F581" i="32"/>
  <c r="G581" i="32"/>
  <c r="F582" i="32"/>
  <c r="G582" i="32"/>
  <c r="F583" i="32"/>
  <c r="G583" i="32"/>
  <c r="F584" i="32"/>
  <c r="G584" i="32"/>
  <c r="F585" i="32"/>
  <c r="G585" i="32"/>
  <c r="F586" i="32"/>
  <c r="G586" i="32"/>
  <c r="F587" i="32"/>
  <c r="G587" i="32"/>
  <c r="F588" i="32"/>
  <c r="G588" i="32"/>
  <c r="F589" i="32"/>
  <c r="G589" i="32"/>
  <c r="F590" i="32"/>
  <c r="G590" i="32"/>
  <c r="F591" i="32"/>
  <c r="G591" i="32"/>
  <c r="F592" i="32"/>
  <c r="G592" i="32"/>
  <c r="F593" i="32"/>
  <c r="G593" i="32"/>
  <c r="F594" i="32"/>
  <c r="G594" i="32"/>
  <c r="F595" i="32"/>
  <c r="G595" i="32"/>
  <c r="F596" i="32"/>
  <c r="G596" i="32"/>
  <c r="F597" i="32"/>
  <c r="G597" i="32"/>
  <c r="F598" i="32"/>
  <c r="G598" i="32"/>
  <c r="F599" i="32"/>
  <c r="G599" i="32"/>
  <c r="F600" i="32"/>
  <c r="G600" i="32"/>
  <c r="F601" i="32"/>
  <c r="G601" i="32"/>
  <c r="F602" i="32"/>
  <c r="G602" i="32"/>
  <c r="F603" i="32"/>
  <c r="G603" i="32"/>
  <c r="F604" i="32"/>
  <c r="G604" i="32"/>
  <c r="F605" i="32"/>
  <c r="G605" i="32"/>
  <c r="F606" i="32"/>
  <c r="G606" i="32"/>
  <c r="F607" i="32"/>
  <c r="G607" i="32"/>
  <c r="F608" i="32"/>
  <c r="G608" i="32"/>
  <c r="F609" i="32"/>
  <c r="G609" i="32"/>
  <c r="F610" i="32"/>
  <c r="G610" i="32"/>
  <c r="F611" i="32"/>
  <c r="G611" i="32"/>
  <c r="F612" i="32"/>
  <c r="G612" i="32"/>
  <c r="F613" i="32"/>
  <c r="G613" i="32"/>
  <c r="F614" i="32"/>
  <c r="G614" i="32"/>
  <c r="F615" i="32"/>
  <c r="G615" i="32"/>
  <c r="F616" i="32"/>
  <c r="G616" i="32"/>
  <c r="F617" i="32"/>
  <c r="G617" i="32"/>
  <c r="F618" i="32"/>
  <c r="G618" i="32"/>
  <c r="F619" i="32"/>
  <c r="G619" i="32"/>
  <c r="F620" i="32"/>
  <c r="G620" i="32"/>
  <c r="F621" i="32"/>
  <c r="G621" i="32"/>
  <c r="F622" i="32"/>
  <c r="G622" i="32"/>
  <c r="F623" i="32"/>
  <c r="G623" i="32"/>
  <c r="F624" i="32"/>
  <c r="G624" i="32"/>
  <c r="F625" i="32"/>
  <c r="G625" i="32"/>
  <c r="F626" i="32"/>
  <c r="G626" i="32"/>
  <c r="F627" i="32"/>
  <c r="G627" i="32"/>
  <c r="F628" i="32"/>
  <c r="G628" i="32"/>
  <c r="F629" i="32"/>
  <c r="G629" i="32"/>
  <c r="F630" i="32"/>
  <c r="G630" i="32"/>
  <c r="F631" i="32"/>
  <c r="G631" i="32"/>
  <c r="F632" i="32"/>
  <c r="G632" i="32"/>
  <c r="F633" i="32"/>
  <c r="G633" i="32"/>
  <c r="F634" i="32"/>
  <c r="G634" i="32"/>
  <c r="F635" i="32"/>
  <c r="G635" i="32"/>
  <c r="F636" i="32"/>
  <c r="G636" i="32"/>
  <c r="F637" i="32"/>
  <c r="G637" i="32"/>
  <c r="F638" i="32"/>
  <c r="G638" i="32"/>
  <c r="F639" i="32"/>
  <c r="G639" i="32"/>
  <c r="F640" i="32"/>
  <c r="G640" i="32"/>
  <c r="F641" i="32"/>
  <c r="G641" i="32"/>
  <c r="F642" i="32"/>
  <c r="G642" i="32"/>
  <c r="F643" i="32"/>
  <c r="G643" i="32"/>
  <c r="F644" i="32"/>
  <c r="G644" i="32"/>
  <c r="F645" i="32"/>
  <c r="G645" i="32"/>
  <c r="F646" i="32"/>
  <c r="G646" i="32"/>
  <c r="F647" i="32"/>
  <c r="G647" i="32"/>
  <c r="F648" i="32"/>
  <c r="G648" i="32"/>
  <c r="F649" i="32"/>
  <c r="G649" i="32"/>
  <c r="F650" i="32"/>
  <c r="G650" i="32"/>
  <c r="F651" i="32"/>
  <c r="G651" i="32"/>
  <c r="F652" i="32"/>
  <c r="G652" i="32"/>
  <c r="F653" i="32"/>
  <c r="G653" i="32"/>
  <c r="F654" i="32"/>
  <c r="G654" i="32"/>
  <c r="F655" i="32"/>
  <c r="G655" i="32"/>
  <c r="F656" i="32"/>
  <c r="G656" i="32"/>
  <c r="F657" i="32"/>
  <c r="G657" i="32"/>
  <c r="F658" i="32"/>
  <c r="G658" i="32"/>
  <c r="F659" i="32"/>
  <c r="G659" i="32"/>
  <c r="F660" i="32"/>
  <c r="G660" i="32"/>
  <c r="F661" i="32"/>
  <c r="G661" i="32"/>
  <c r="F662" i="32"/>
  <c r="G662" i="32"/>
  <c r="F663" i="32"/>
  <c r="G663" i="32"/>
  <c r="F664" i="32"/>
  <c r="G664" i="32"/>
  <c r="F665" i="32"/>
  <c r="G665" i="32"/>
  <c r="F666" i="32"/>
  <c r="G666" i="32"/>
  <c r="F667" i="32"/>
  <c r="G667" i="32"/>
  <c r="F668" i="32"/>
  <c r="G668" i="32"/>
  <c r="F669" i="32"/>
  <c r="G669" i="32"/>
  <c r="F670" i="32"/>
  <c r="G670" i="32"/>
  <c r="F671" i="32"/>
  <c r="G671" i="32"/>
  <c r="F672" i="32"/>
  <c r="G672" i="32"/>
  <c r="F673" i="32"/>
  <c r="G673" i="32"/>
  <c r="F674" i="32"/>
  <c r="G674" i="32"/>
  <c r="F675" i="32"/>
  <c r="G675" i="32"/>
  <c r="F676" i="32"/>
  <c r="G676" i="32"/>
  <c r="F677" i="32"/>
  <c r="G677" i="32"/>
  <c r="F678" i="32"/>
  <c r="G678" i="32"/>
  <c r="F679" i="32"/>
  <c r="G679" i="32"/>
  <c r="F680" i="32"/>
  <c r="G680" i="32"/>
  <c r="F681" i="32"/>
  <c r="G681" i="32"/>
  <c r="F682" i="32"/>
  <c r="G682" i="32"/>
  <c r="F683" i="32"/>
  <c r="G683" i="32"/>
  <c r="F684" i="32"/>
  <c r="G684" i="32"/>
  <c r="F685" i="32"/>
  <c r="G685" i="32"/>
  <c r="F686" i="32"/>
  <c r="G686" i="32"/>
  <c r="F687" i="32"/>
  <c r="G687" i="32"/>
  <c r="F688" i="32"/>
  <c r="G688" i="32"/>
  <c r="F689" i="32"/>
  <c r="G689" i="32"/>
  <c r="F690" i="32"/>
  <c r="G690" i="32"/>
  <c r="F691" i="32"/>
  <c r="G691" i="32"/>
  <c r="F692" i="32"/>
  <c r="G692" i="32"/>
  <c r="F693" i="32"/>
  <c r="G693" i="32"/>
  <c r="F694" i="32"/>
  <c r="G694" i="32"/>
  <c r="F695" i="32"/>
  <c r="G695" i="32"/>
  <c r="F696" i="32"/>
  <c r="G696" i="32"/>
  <c r="F697" i="32"/>
  <c r="G697" i="32"/>
  <c r="F698" i="32"/>
  <c r="G698" i="32"/>
  <c r="F699" i="32"/>
  <c r="G699" i="32"/>
  <c r="F700" i="32"/>
  <c r="G700" i="32"/>
  <c r="F701" i="32"/>
  <c r="G701" i="32"/>
  <c r="F702" i="32"/>
  <c r="G702" i="32"/>
  <c r="F703" i="32"/>
  <c r="G703" i="32"/>
  <c r="F704" i="32"/>
  <c r="G704" i="32"/>
  <c r="F705" i="32"/>
  <c r="G705" i="32"/>
  <c r="F706" i="32"/>
  <c r="G706" i="32"/>
  <c r="F707" i="32"/>
  <c r="G707" i="32"/>
  <c r="F708" i="32"/>
  <c r="G708" i="32"/>
  <c r="F709" i="32"/>
  <c r="G709" i="32"/>
  <c r="F710" i="32"/>
  <c r="G710" i="32"/>
  <c r="F711" i="32"/>
  <c r="G711" i="32"/>
  <c r="F712" i="32"/>
  <c r="G712" i="32"/>
  <c r="F713" i="32"/>
  <c r="G713" i="32"/>
  <c r="F714" i="32"/>
  <c r="G714" i="32"/>
  <c r="F715" i="32"/>
  <c r="G715" i="32"/>
  <c r="F716" i="32"/>
  <c r="G716" i="32"/>
  <c r="F717" i="32"/>
  <c r="G717" i="32"/>
  <c r="F718" i="32"/>
  <c r="G718" i="32"/>
  <c r="F719" i="32"/>
  <c r="G719" i="32"/>
  <c r="F720" i="32"/>
  <c r="G720" i="32"/>
  <c r="F721" i="32"/>
  <c r="G721" i="32"/>
  <c r="F722" i="32"/>
  <c r="G722" i="32"/>
  <c r="F723" i="32"/>
  <c r="G723" i="32"/>
  <c r="F724" i="32"/>
  <c r="G724" i="32"/>
  <c r="F725" i="32"/>
  <c r="G725" i="32"/>
  <c r="F726" i="32"/>
  <c r="G726" i="32"/>
  <c r="F727" i="32"/>
  <c r="G727" i="32"/>
  <c r="F728" i="32"/>
  <c r="G728" i="32"/>
  <c r="F729" i="32"/>
  <c r="G729" i="32"/>
  <c r="F730" i="32"/>
  <c r="G730" i="32"/>
  <c r="F731" i="32"/>
  <c r="G731" i="32"/>
  <c r="F732" i="32"/>
  <c r="G732" i="32"/>
  <c r="F733" i="32"/>
  <c r="G733" i="32"/>
  <c r="F734" i="32"/>
  <c r="G734" i="32"/>
  <c r="F735" i="32"/>
  <c r="G735" i="32"/>
  <c r="F736" i="32"/>
  <c r="G736" i="32"/>
  <c r="F737" i="32"/>
  <c r="G737" i="32"/>
  <c r="F738" i="32"/>
  <c r="G738" i="32"/>
  <c r="F739" i="32"/>
  <c r="G739" i="32"/>
  <c r="F740" i="32"/>
  <c r="G740" i="32"/>
  <c r="F741" i="32"/>
  <c r="G741" i="32"/>
  <c r="F742" i="32"/>
  <c r="G742" i="32"/>
  <c r="F743" i="32"/>
  <c r="G743" i="32"/>
  <c r="F744" i="32"/>
  <c r="G744" i="32"/>
  <c r="F745" i="32"/>
  <c r="G745" i="32"/>
  <c r="F746" i="32"/>
  <c r="G746" i="32"/>
  <c r="F747" i="32"/>
  <c r="G747" i="32"/>
  <c r="F748" i="32"/>
  <c r="G748" i="32"/>
  <c r="F749" i="32"/>
  <c r="G749" i="32"/>
  <c r="F750" i="32"/>
  <c r="G750" i="32"/>
  <c r="F751" i="32"/>
  <c r="G751" i="32"/>
  <c r="F752" i="32"/>
  <c r="G752" i="32"/>
  <c r="F753" i="32"/>
  <c r="G753" i="32"/>
  <c r="F754" i="32"/>
  <c r="G754" i="32"/>
  <c r="F755" i="32"/>
  <c r="G755" i="32"/>
  <c r="F756" i="32"/>
  <c r="G756" i="32"/>
  <c r="F757" i="32"/>
  <c r="G757" i="32"/>
  <c r="F758" i="32"/>
  <c r="G758" i="32"/>
  <c r="F759" i="32"/>
  <c r="G759" i="32"/>
  <c r="F760" i="32"/>
  <c r="G760" i="32"/>
  <c r="F761" i="32"/>
  <c r="G761" i="32"/>
  <c r="F762" i="32"/>
  <c r="G762" i="32"/>
  <c r="F763" i="32"/>
  <c r="G763" i="32"/>
  <c r="F764" i="32"/>
  <c r="G764" i="32"/>
  <c r="F765" i="32"/>
  <c r="G765" i="32"/>
  <c r="F766" i="32"/>
  <c r="G766" i="32"/>
  <c r="F767" i="32"/>
  <c r="G767" i="32"/>
  <c r="F768" i="32"/>
  <c r="G768" i="32"/>
  <c r="F769" i="32"/>
  <c r="G769" i="32"/>
  <c r="F770" i="32"/>
  <c r="G770" i="32"/>
  <c r="F771" i="32"/>
  <c r="G771" i="32"/>
  <c r="F772" i="32"/>
  <c r="G772" i="32"/>
  <c r="F773" i="32"/>
  <c r="G773" i="32"/>
  <c r="F774" i="32"/>
  <c r="G774" i="32"/>
  <c r="F775" i="32"/>
  <c r="G775" i="32"/>
  <c r="F776" i="32"/>
  <c r="G776" i="32"/>
  <c r="F777" i="32"/>
  <c r="G777" i="32"/>
  <c r="F778" i="32"/>
  <c r="G778" i="32"/>
  <c r="F779" i="32"/>
  <c r="G779" i="32"/>
  <c r="F780" i="32"/>
  <c r="G780" i="32"/>
  <c r="F781" i="32"/>
  <c r="G781" i="32"/>
  <c r="F782" i="32"/>
  <c r="G782" i="32"/>
  <c r="F783" i="32"/>
  <c r="G783" i="32"/>
  <c r="F784" i="32"/>
  <c r="G784" i="32"/>
  <c r="F785" i="32"/>
  <c r="G785" i="32"/>
  <c r="F786" i="32"/>
  <c r="G786" i="32"/>
  <c r="F787" i="32"/>
  <c r="G787" i="32"/>
  <c r="F788" i="32"/>
  <c r="G788" i="32"/>
  <c r="F789" i="32"/>
  <c r="G789" i="32"/>
  <c r="F790" i="32"/>
  <c r="G790" i="32"/>
  <c r="F791" i="32"/>
  <c r="G791" i="32"/>
  <c r="F792" i="32"/>
  <c r="G792" i="32"/>
  <c r="F793" i="32"/>
  <c r="G793" i="32"/>
  <c r="F794" i="32"/>
  <c r="G794" i="32"/>
  <c r="F795" i="32"/>
  <c r="G795" i="32"/>
  <c r="F796" i="32"/>
  <c r="G796" i="32"/>
  <c r="F797" i="32"/>
  <c r="G797" i="32"/>
  <c r="F798" i="32"/>
  <c r="G798" i="32"/>
  <c r="F799" i="32"/>
  <c r="G799" i="32"/>
  <c r="F800" i="32"/>
  <c r="G800" i="32"/>
  <c r="F801" i="32"/>
  <c r="G801" i="32"/>
  <c r="F802" i="32"/>
  <c r="G802" i="32"/>
  <c r="F803" i="32"/>
  <c r="G803" i="32"/>
  <c r="F804" i="32"/>
  <c r="G804" i="32"/>
  <c r="F805" i="32"/>
  <c r="G805" i="32"/>
  <c r="F806" i="32"/>
  <c r="G806" i="32"/>
  <c r="F807" i="32"/>
  <c r="G807" i="32"/>
  <c r="F808" i="32"/>
  <c r="G808" i="32"/>
  <c r="F809" i="32"/>
  <c r="G809" i="32"/>
  <c r="F810" i="32"/>
  <c r="G810" i="32"/>
  <c r="F811" i="32"/>
  <c r="G811" i="32"/>
  <c r="F812" i="32"/>
  <c r="G812" i="32"/>
  <c r="F813" i="32"/>
  <c r="G813" i="32"/>
  <c r="F814" i="32"/>
  <c r="G814" i="32"/>
  <c r="F815" i="32"/>
  <c r="G815" i="32"/>
  <c r="F816" i="32"/>
  <c r="G816" i="32"/>
  <c r="F817" i="32"/>
  <c r="G817" i="32"/>
  <c r="F818" i="32"/>
  <c r="G818" i="32"/>
  <c r="F819" i="32"/>
  <c r="G819" i="32"/>
  <c r="F820" i="32"/>
  <c r="G820" i="32"/>
  <c r="F821" i="32"/>
  <c r="G821" i="32"/>
  <c r="F822" i="32"/>
  <c r="G822" i="32"/>
  <c r="F823" i="32"/>
  <c r="G823" i="32"/>
  <c r="F824" i="32"/>
  <c r="G824" i="32"/>
  <c r="F825" i="32"/>
  <c r="G825" i="32"/>
  <c r="F826" i="32"/>
  <c r="G826" i="32"/>
  <c r="F827" i="32"/>
  <c r="G827" i="32"/>
  <c r="F828" i="32"/>
  <c r="G828" i="32"/>
  <c r="F829" i="32"/>
  <c r="G829" i="32"/>
  <c r="F830" i="32"/>
  <c r="G830" i="32"/>
  <c r="F831" i="32"/>
  <c r="G831" i="32"/>
  <c r="F832" i="32"/>
  <c r="G832" i="32"/>
  <c r="F833" i="32"/>
  <c r="G833" i="32"/>
  <c r="F834" i="32"/>
  <c r="G834" i="32"/>
  <c r="F835" i="32"/>
  <c r="G835" i="32"/>
  <c r="F836" i="32"/>
  <c r="G836" i="32"/>
  <c r="F837" i="32"/>
  <c r="G837" i="32"/>
  <c r="F838" i="32"/>
  <c r="G838" i="32"/>
  <c r="F839" i="32"/>
  <c r="G839" i="32"/>
  <c r="F840" i="32"/>
  <c r="G840" i="32"/>
  <c r="F841" i="32"/>
  <c r="G841" i="32"/>
  <c r="F842" i="32"/>
  <c r="G842" i="32"/>
  <c r="F843" i="32"/>
  <c r="G843" i="32"/>
  <c r="F844" i="32"/>
  <c r="G844" i="32"/>
  <c r="F845" i="32"/>
  <c r="G845" i="32"/>
  <c r="F846" i="32"/>
  <c r="G846" i="32"/>
  <c r="F847" i="32"/>
  <c r="G847" i="32"/>
  <c r="F848" i="32"/>
  <c r="G848" i="32"/>
  <c r="F849" i="32"/>
  <c r="G849" i="32"/>
  <c r="F850" i="32"/>
  <c r="G850" i="32"/>
  <c r="F851" i="32"/>
  <c r="G851" i="32"/>
  <c r="F852" i="32"/>
  <c r="G852" i="32"/>
  <c r="F853" i="32"/>
  <c r="G853" i="32"/>
  <c r="F854" i="32"/>
  <c r="G854" i="32"/>
  <c r="F855" i="32"/>
  <c r="G855" i="32"/>
  <c r="F856" i="32"/>
  <c r="G856" i="32"/>
  <c r="F857" i="32"/>
  <c r="G857" i="32"/>
  <c r="F858" i="32"/>
  <c r="G858" i="32"/>
  <c r="F859" i="32"/>
  <c r="G859" i="32"/>
  <c r="F860" i="32"/>
  <c r="G860" i="32"/>
  <c r="F861" i="32"/>
  <c r="G861" i="32"/>
  <c r="F862" i="32"/>
  <c r="G862" i="32"/>
  <c r="F863" i="32"/>
  <c r="G863" i="32"/>
  <c r="F864" i="32"/>
  <c r="G864" i="32"/>
  <c r="F865" i="32"/>
  <c r="G865" i="32"/>
  <c r="F866" i="32"/>
  <c r="G866" i="32"/>
  <c r="F867" i="32"/>
  <c r="G867" i="32"/>
  <c r="F868" i="32"/>
  <c r="G868" i="32"/>
  <c r="F869" i="32"/>
  <c r="G869" i="32"/>
  <c r="F870" i="32"/>
  <c r="G870" i="32"/>
  <c r="F871" i="32"/>
  <c r="G871" i="32"/>
  <c r="F872" i="32"/>
  <c r="G872" i="32"/>
  <c r="F873" i="32"/>
  <c r="G873" i="32"/>
  <c r="F874" i="32"/>
  <c r="G874" i="32"/>
  <c r="F875" i="32"/>
  <c r="G875" i="32"/>
  <c r="F876" i="32"/>
  <c r="G876" i="32"/>
  <c r="F877" i="32"/>
  <c r="G877" i="32"/>
  <c r="F878" i="32"/>
  <c r="G878" i="32"/>
  <c r="F879" i="32"/>
  <c r="G879" i="32"/>
  <c r="F880" i="32"/>
  <c r="G880" i="32"/>
  <c r="F881" i="32"/>
  <c r="G881" i="32"/>
  <c r="F882" i="32"/>
  <c r="G882" i="32"/>
  <c r="F883" i="32"/>
  <c r="G883" i="32"/>
  <c r="F884" i="32"/>
  <c r="G884" i="32"/>
  <c r="F885" i="32"/>
  <c r="G885" i="32"/>
  <c r="F886" i="32"/>
  <c r="G886" i="32"/>
  <c r="F887" i="32"/>
  <c r="G887" i="32"/>
  <c r="F888" i="32"/>
  <c r="G888" i="32"/>
  <c r="F889" i="32"/>
  <c r="G889" i="32"/>
  <c r="F890" i="32"/>
  <c r="G890" i="32"/>
  <c r="F891" i="32"/>
  <c r="G891" i="32"/>
  <c r="F892" i="32"/>
  <c r="G892" i="32"/>
  <c r="F893" i="32"/>
  <c r="G893" i="32"/>
  <c r="F894" i="32"/>
  <c r="G894" i="32"/>
  <c r="F895" i="32"/>
  <c r="G895" i="32"/>
  <c r="F896" i="32"/>
  <c r="G896" i="32"/>
  <c r="F897" i="32"/>
  <c r="G897" i="32"/>
  <c r="F898" i="32"/>
  <c r="G898" i="32"/>
  <c r="F899" i="32"/>
  <c r="G899" i="32"/>
  <c r="F900" i="32"/>
  <c r="G900" i="32"/>
  <c r="F901" i="32"/>
  <c r="G901" i="32"/>
  <c r="F902" i="32"/>
  <c r="G902" i="32"/>
  <c r="F903" i="32"/>
  <c r="G903" i="32"/>
  <c r="F904" i="32"/>
  <c r="G904" i="32"/>
  <c r="F905" i="32"/>
  <c r="G905" i="32"/>
  <c r="F187" i="32"/>
  <c r="G187" i="32"/>
  <c r="F188" i="32"/>
  <c r="G188" i="32"/>
  <c r="F189" i="32"/>
  <c r="G189" i="32"/>
  <c r="F190" i="32"/>
  <c r="G190" i="32"/>
  <c r="F191" i="32"/>
  <c r="G191" i="32"/>
  <c r="F192" i="32"/>
  <c r="G192" i="32"/>
  <c r="F193" i="32"/>
  <c r="G193" i="32"/>
  <c r="F194" i="32"/>
  <c r="G194" i="32"/>
  <c r="F195" i="32"/>
  <c r="G195" i="32"/>
  <c r="F196" i="32"/>
  <c r="G196" i="32"/>
  <c r="F197" i="32"/>
  <c r="G197" i="32"/>
  <c r="F198" i="32"/>
  <c r="G198" i="32"/>
  <c r="F199" i="32"/>
  <c r="G199" i="32"/>
  <c r="F200" i="32"/>
  <c r="G200" i="32"/>
  <c r="F201" i="32"/>
  <c r="G201" i="32"/>
  <c r="F202" i="32"/>
  <c r="G202" i="32"/>
  <c r="F203" i="32"/>
  <c r="G203" i="32"/>
  <c r="F204" i="32"/>
  <c r="G204" i="32"/>
  <c r="F205" i="32"/>
  <c r="G205" i="32"/>
  <c r="F206" i="32"/>
  <c r="G206" i="32"/>
  <c r="F207" i="32"/>
  <c r="G207" i="32"/>
  <c r="F208" i="32"/>
  <c r="G208" i="32"/>
  <c r="F209" i="32"/>
  <c r="G209" i="32"/>
  <c r="F210" i="32"/>
  <c r="G210" i="32"/>
  <c r="F211" i="32"/>
  <c r="G211" i="32"/>
  <c r="F212" i="32"/>
  <c r="G212" i="32"/>
  <c r="F213" i="32"/>
  <c r="G213" i="32"/>
  <c r="F214" i="32"/>
  <c r="G214" i="32"/>
  <c r="F215" i="32"/>
  <c r="G215" i="32"/>
  <c r="F216" i="32"/>
  <c r="G216" i="32"/>
  <c r="F217" i="32"/>
  <c r="G217" i="32"/>
  <c r="F218" i="32"/>
  <c r="G218" i="32"/>
  <c r="F219" i="32"/>
  <c r="G219" i="32"/>
  <c r="F220" i="32"/>
  <c r="G220" i="32"/>
  <c r="F221" i="32"/>
  <c r="G221" i="32"/>
  <c r="F222" i="32"/>
  <c r="G222" i="32"/>
  <c r="F223" i="32"/>
  <c r="G223" i="32"/>
  <c r="F224" i="32"/>
  <c r="G224" i="32"/>
  <c r="F225" i="32"/>
  <c r="G225" i="32"/>
  <c r="F226" i="32"/>
  <c r="G226" i="32"/>
  <c r="F227" i="32"/>
  <c r="G227" i="32"/>
  <c r="F228" i="32"/>
  <c r="G228" i="32"/>
  <c r="F229" i="32"/>
  <c r="G229" i="32"/>
  <c r="F230" i="32"/>
  <c r="G230" i="32"/>
  <c r="F231" i="32"/>
  <c r="G231" i="32"/>
  <c r="F232" i="32"/>
  <c r="G232" i="32"/>
  <c r="F233" i="32"/>
  <c r="G233" i="32"/>
  <c r="F234" i="32"/>
  <c r="G234" i="32"/>
  <c r="F235" i="32"/>
  <c r="G235" i="32"/>
  <c r="F236" i="32"/>
  <c r="G236" i="32"/>
  <c r="F237" i="32"/>
  <c r="G237" i="32"/>
  <c r="F238" i="32"/>
  <c r="G238" i="32"/>
  <c r="F239" i="32"/>
  <c r="G239" i="32"/>
  <c r="F240" i="32"/>
  <c r="G240" i="32"/>
  <c r="F241" i="32"/>
  <c r="G241" i="32"/>
  <c r="F242" i="32"/>
  <c r="G242" i="32"/>
  <c r="F243" i="32"/>
  <c r="G243" i="32"/>
  <c r="F244" i="32"/>
  <c r="G244" i="32"/>
  <c r="F245" i="32"/>
  <c r="G245" i="32"/>
  <c r="F246" i="32"/>
  <c r="G246" i="32"/>
  <c r="F247" i="32"/>
  <c r="G247" i="32"/>
  <c r="F248" i="32"/>
  <c r="G248" i="32"/>
  <c r="F249" i="32"/>
  <c r="G249" i="32"/>
  <c r="F250" i="32"/>
  <c r="G250" i="32"/>
  <c r="F251" i="32"/>
  <c r="G251" i="32"/>
  <c r="F252" i="32"/>
  <c r="G252" i="32"/>
  <c r="F253" i="32"/>
  <c r="G253" i="32"/>
  <c r="F254" i="32"/>
  <c r="G254" i="32"/>
  <c r="F255" i="32"/>
  <c r="G255" i="32"/>
  <c r="F256" i="32"/>
  <c r="G256" i="32"/>
  <c r="F257" i="32"/>
  <c r="G257" i="32"/>
  <c r="F258" i="32"/>
  <c r="G258" i="32"/>
  <c r="F259" i="32"/>
  <c r="G259" i="32"/>
  <c r="F260" i="32"/>
  <c r="G260" i="32"/>
  <c r="F261" i="32"/>
  <c r="G261" i="32"/>
  <c r="F262" i="32"/>
  <c r="G262" i="32"/>
  <c r="F263" i="32"/>
  <c r="G263" i="32"/>
  <c r="F264" i="32"/>
  <c r="G264" i="32"/>
  <c r="F265" i="32"/>
  <c r="G265" i="32"/>
  <c r="F266" i="32"/>
  <c r="G266" i="32"/>
  <c r="F267" i="32"/>
  <c r="G267" i="32"/>
  <c r="F268" i="32"/>
  <c r="G268" i="32"/>
  <c r="F269" i="32"/>
  <c r="G269" i="32"/>
  <c r="F270" i="32"/>
  <c r="G270" i="32"/>
  <c r="F271" i="32"/>
  <c r="G271" i="32"/>
  <c r="F272" i="32"/>
  <c r="G272" i="32"/>
  <c r="F273" i="32"/>
  <c r="G273" i="32"/>
  <c r="F274" i="32"/>
  <c r="G274" i="32"/>
  <c r="F275" i="32"/>
  <c r="G275" i="32"/>
  <c r="F276" i="32"/>
  <c r="G276" i="32"/>
  <c r="F277" i="32"/>
  <c r="G277" i="32"/>
  <c r="F278" i="32"/>
  <c r="G278" i="32"/>
  <c r="F279" i="32"/>
  <c r="G279" i="32"/>
  <c r="F280" i="32"/>
  <c r="G280" i="32"/>
  <c r="F281" i="32"/>
  <c r="G281" i="32"/>
  <c r="F282" i="32"/>
  <c r="G282" i="32"/>
  <c r="F283" i="32"/>
  <c r="G283" i="32"/>
  <c r="F284" i="32"/>
  <c r="G284" i="32"/>
  <c r="F285" i="32"/>
  <c r="G285" i="32"/>
  <c r="F286" i="32"/>
  <c r="G286" i="32"/>
  <c r="F287" i="32"/>
  <c r="G287" i="32"/>
  <c r="F288" i="32"/>
  <c r="G288" i="32"/>
  <c r="F289" i="32"/>
  <c r="G289" i="32"/>
  <c r="F290" i="32"/>
  <c r="G290" i="32"/>
  <c r="F291" i="32"/>
  <c r="G291" i="32"/>
  <c r="F292" i="32"/>
  <c r="G292" i="32"/>
  <c r="F293" i="32"/>
  <c r="G293" i="32"/>
  <c r="F294" i="32"/>
  <c r="G294" i="32"/>
  <c r="F295" i="32"/>
  <c r="G295" i="32"/>
  <c r="F296" i="32"/>
  <c r="G296" i="32"/>
  <c r="F297" i="32"/>
  <c r="G297" i="32"/>
  <c r="F298" i="32"/>
  <c r="G298" i="32"/>
  <c r="F299" i="32"/>
  <c r="G299" i="32"/>
  <c r="F300" i="32"/>
  <c r="G300" i="32"/>
  <c r="F301" i="32"/>
  <c r="G301" i="32"/>
  <c r="F302" i="32"/>
  <c r="G302" i="32"/>
  <c r="F303" i="32"/>
  <c r="G303" i="32"/>
  <c r="F304" i="32"/>
  <c r="G304" i="32"/>
  <c r="F305" i="32"/>
  <c r="G305" i="32"/>
  <c r="F306" i="32"/>
  <c r="G306" i="32"/>
  <c r="F307" i="32"/>
  <c r="G307" i="32"/>
  <c r="F308" i="32"/>
  <c r="G308" i="32"/>
  <c r="F309" i="32"/>
  <c r="G309" i="32"/>
  <c r="F310" i="32"/>
  <c r="G310" i="32"/>
  <c r="F311" i="32"/>
  <c r="G311" i="32"/>
  <c r="F312" i="32"/>
  <c r="G312" i="32"/>
  <c r="F313" i="32"/>
  <c r="G313" i="32"/>
  <c r="F314" i="32"/>
  <c r="G314" i="32"/>
  <c r="F315" i="32"/>
  <c r="G315" i="32"/>
  <c r="F316" i="32"/>
  <c r="G316" i="32"/>
  <c r="F317" i="32"/>
  <c r="G317" i="32"/>
  <c r="F318" i="32"/>
  <c r="G318" i="32"/>
  <c r="F319" i="32"/>
  <c r="G319" i="32"/>
  <c r="F320" i="32"/>
  <c r="G320" i="32"/>
  <c r="F321" i="32"/>
  <c r="G321" i="32"/>
  <c r="F322" i="32"/>
  <c r="G322" i="32"/>
  <c r="F323" i="32"/>
  <c r="G323" i="32"/>
  <c r="F324" i="32"/>
  <c r="G324" i="32"/>
  <c r="F325" i="32"/>
  <c r="G325" i="32"/>
  <c r="F326" i="32"/>
  <c r="G326" i="32"/>
  <c r="F327" i="32"/>
  <c r="G327" i="32"/>
  <c r="F328" i="32"/>
  <c r="G328" i="32"/>
  <c r="F329" i="32"/>
  <c r="G329" i="32"/>
  <c r="F330" i="32"/>
  <c r="G330" i="32"/>
  <c r="F331" i="32"/>
  <c r="G331" i="32"/>
  <c r="F332" i="32"/>
  <c r="G332" i="32"/>
  <c r="F333" i="32"/>
  <c r="G333" i="32"/>
  <c r="F334" i="32"/>
  <c r="G334" i="32"/>
  <c r="F335" i="32"/>
  <c r="G335" i="32"/>
  <c r="F336" i="32"/>
  <c r="G336" i="32"/>
  <c r="F337" i="32"/>
  <c r="G337" i="32"/>
  <c r="F338" i="32"/>
  <c r="G338" i="32"/>
  <c r="F339" i="32"/>
  <c r="G339" i="32"/>
  <c r="F340" i="32"/>
  <c r="G340" i="32"/>
  <c r="F341" i="32"/>
  <c r="G341" i="32"/>
  <c r="F342" i="32"/>
  <c r="G342" i="32"/>
  <c r="F343" i="32"/>
  <c r="G343" i="32"/>
  <c r="F344" i="32"/>
  <c r="G344" i="32"/>
  <c r="AJ211" i="3" l="1"/>
  <c r="AI211" i="3"/>
  <c r="AH211" i="3"/>
  <c r="AG211" i="3"/>
  <c r="AF211" i="3" a="1"/>
  <c r="AF211" i="3" s="1"/>
  <c r="AE211" i="3" a="1"/>
  <c r="AE211" i="3" s="1"/>
  <c r="AD211" i="3" a="1"/>
  <c r="AD211" i="3" s="1"/>
  <c r="L211" i="3"/>
  <c r="K211" i="3"/>
  <c r="O211" i="3" s="1"/>
  <c r="AJ210" i="3"/>
  <c r="AI210" i="3"/>
  <c r="AH210" i="3"/>
  <c r="AG210" i="3"/>
  <c r="AF210" i="3" a="1"/>
  <c r="AF210" i="3" s="1"/>
  <c r="AE210" i="3" a="1"/>
  <c r="AE210" i="3" s="1"/>
  <c r="AD210" i="3" a="1"/>
  <c r="AD210" i="3" s="1"/>
  <c r="L210" i="3"/>
  <c r="K210" i="3"/>
  <c r="O210" i="3" s="1"/>
  <c r="AJ209" i="3"/>
  <c r="AI209" i="3"/>
  <c r="AH209" i="3"/>
  <c r="AG209" i="3"/>
  <c r="AF209" i="3" a="1"/>
  <c r="AF209" i="3" s="1"/>
  <c r="AE209" i="3" a="1"/>
  <c r="AE209" i="3" s="1"/>
  <c r="AD209" i="3" a="1"/>
  <c r="AD209" i="3" s="1"/>
  <c r="L209" i="3"/>
  <c r="K209" i="3"/>
  <c r="O209" i="3" s="1"/>
  <c r="AJ208" i="3"/>
  <c r="AI208" i="3"/>
  <c r="AH208" i="3"/>
  <c r="AG208" i="3"/>
  <c r="AF208" i="3" a="1"/>
  <c r="AF208" i="3" s="1"/>
  <c r="AE208" i="3" a="1"/>
  <c r="AE208" i="3" s="1"/>
  <c r="AD208" i="3" a="1"/>
  <c r="AD208" i="3" s="1"/>
  <c r="L208" i="3"/>
  <c r="K208" i="3"/>
  <c r="O208" i="3" s="1"/>
  <c r="AJ207" i="3"/>
  <c r="AI207" i="3"/>
  <c r="AH207" i="3"/>
  <c r="AG207" i="3"/>
  <c r="AF207" i="3" a="1"/>
  <c r="AF207" i="3" s="1"/>
  <c r="AE207" i="3" a="1"/>
  <c r="AE207" i="3" s="1"/>
  <c r="AD207" i="3" a="1"/>
  <c r="AD207" i="3" s="1"/>
  <c r="L207" i="3"/>
  <c r="K207" i="3"/>
  <c r="O207" i="3" s="1"/>
  <c r="AJ206" i="3"/>
  <c r="AI206" i="3"/>
  <c r="AH206" i="3"/>
  <c r="AG206" i="3"/>
  <c r="AF206" i="3" a="1"/>
  <c r="AF206" i="3" s="1"/>
  <c r="AE206" i="3" a="1"/>
  <c r="AE206" i="3" s="1"/>
  <c r="AD206" i="3" a="1"/>
  <c r="AD206" i="3" s="1"/>
  <c r="L206" i="3"/>
  <c r="K206" i="3"/>
  <c r="O206" i="3" s="1"/>
  <c r="AJ205" i="3"/>
  <c r="AI205" i="3"/>
  <c r="AH205" i="3"/>
  <c r="AG205" i="3"/>
  <c r="AF205" i="3" a="1"/>
  <c r="AF205" i="3" s="1"/>
  <c r="AE205" i="3" a="1"/>
  <c r="AE205" i="3" s="1"/>
  <c r="AD205" i="3" a="1"/>
  <c r="AD205" i="3" s="1"/>
  <c r="L205" i="3"/>
  <c r="K205" i="3"/>
  <c r="O205" i="3" s="1"/>
  <c r="AJ204" i="3"/>
  <c r="AI204" i="3"/>
  <c r="AH204" i="3"/>
  <c r="AG204" i="3"/>
  <c r="AF204" i="3" a="1"/>
  <c r="AF204" i="3" s="1"/>
  <c r="AE204" i="3" a="1"/>
  <c r="AE204" i="3" s="1"/>
  <c r="AD204" i="3" a="1"/>
  <c r="AD204" i="3" s="1"/>
  <c r="L204" i="3"/>
  <c r="K204" i="3"/>
  <c r="O204" i="3" s="1"/>
  <c r="AJ203" i="3"/>
  <c r="AI203" i="3"/>
  <c r="AH203" i="3"/>
  <c r="AG203" i="3"/>
  <c r="AF203" i="3" a="1"/>
  <c r="AF203" i="3" s="1"/>
  <c r="AE203" i="3" a="1"/>
  <c r="AE203" i="3" s="1"/>
  <c r="AD203" i="3" a="1"/>
  <c r="AD203" i="3" s="1"/>
  <c r="L203" i="3"/>
  <c r="K203" i="3"/>
  <c r="O203" i="3" s="1"/>
  <c r="AJ202" i="3"/>
  <c r="AI202" i="3"/>
  <c r="AH202" i="3"/>
  <c r="AG202" i="3"/>
  <c r="AF202" i="3" a="1"/>
  <c r="AF202" i="3" s="1"/>
  <c r="AE202" i="3" a="1"/>
  <c r="AE202" i="3" s="1"/>
  <c r="AD202" i="3" a="1"/>
  <c r="AD202" i="3" s="1"/>
  <c r="L202" i="3"/>
  <c r="K202" i="3"/>
  <c r="O202" i="3" s="1"/>
  <c r="AJ201" i="3"/>
  <c r="AI201" i="3"/>
  <c r="AH201" i="3"/>
  <c r="AG201" i="3"/>
  <c r="AF201" i="3" a="1"/>
  <c r="AF201" i="3" s="1"/>
  <c r="AE201" i="3" a="1"/>
  <c r="AE201" i="3" s="1"/>
  <c r="AD201" i="3" a="1"/>
  <c r="AD201" i="3" s="1"/>
  <c r="L201" i="3"/>
  <c r="K201" i="3"/>
  <c r="O201" i="3" s="1"/>
  <c r="AJ200" i="3"/>
  <c r="AI200" i="3"/>
  <c r="AH200" i="3"/>
  <c r="AG200" i="3"/>
  <c r="AF200" i="3" a="1"/>
  <c r="AF200" i="3" s="1"/>
  <c r="AE200" i="3" a="1"/>
  <c r="AE200" i="3" s="1"/>
  <c r="AD200" i="3" a="1"/>
  <c r="AD200" i="3" s="1"/>
  <c r="L200" i="3"/>
  <c r="K200" i="3"/>
  <c r="O200" i="3" s="1"/>
  <c r="AJ199" i="3"/>
  <c r="AI199" i="3"/>
  <c r="AH199" i="3"/>
  <c r="AG199" i="3"/>
  <c r="AF199" i="3" a="1"/>
  <c r="AF199" i="3" s="1"/>
  <c r="AE199" i="3" a="1"/>
  <c r="AE199" i="3" s="1"/>
  <c r="AD199" i="3" a="1"/>
  <c r="AD199" i="3" s="1"/>
  <c r="L199" i="3"/>
  <c r="K199" i="3"/>
  <c r="O199" i="3" s="1"/>
  <c r="AJ198" i="3"/>
  <c r="AI198" i="3"/>
  <c r="AH198" i="3"/>
  <c r="AG198" i="3"/>
  <c r="AF198" i="3" a="1"/>
  <c r="AF198" i="3" s="1"/>
  <c r="AE198" i="3" a="1"/>
  <c r="AE198" i="3" s="1"/>
  <c r="AD198" i="3" a="1"/>
  <c r="AD198" i="3" s="1"/>
  <c r="L198" i="3"/>
  <c r="K198" i="3"/>
  <c r="O198" i="3" s="1"/>
  <c r="AJ197" i="3"/>
  <c r="AI197" i="3"/>
  <c r="AH197" i="3"/>
  <c r="AG197" i="3"/>
  <c r="AF197" i="3" a="1"/>
  <c r="AF197" i="3" s="1"/>
  <c r="AE197" i="3" a="1"/>
  <c r="AE197" i="3" s="1"/>
  <c r="AD197" i="3" a="1"/>
  <c r="AD197" i="3" s="1"/>
  <c r="L197" i="3"/>
  <c r="K197" i="3"/>
  <c r="O197" i="3" s="1"/>
  <c r="AJ196" i="3"/>
  <c r="AI196" i="3"/>
  <c r="AH196" i="3"/>
  <c r="AG196" i="3"/>
  <c r="AF196" i="3" a="1"/>
  <c r="AF196" i="3" s="1"/>
  <c r="AE196" i="3" a="1"/>
  <c r="AE196" i="3" s="1"/>
  <c r="AD196" i="3" a="1"/>
  <c r="AD196" i="3" s="1"/>
  <c r="L196" i="3"/>
  <c r="K196" i="3"/>
  <c r="N196" i="3" s="1"/>
  <c r="AJ195" i="3"/>
  <c r="AI195" i="3"/>
  <c r="AH195" i="3"/>
  <c r="AG195" i="3"/>
  <c r="AF195" i="3" a="1"/>
  <c r="AF195" i="3" s="1"/>
  <c r="AE195" i="3" a="1"/>
  <c r="AE195" i="3" s="1"/>
  <c r="AD195" i="3" a="1"/>
  <c r="AD195" i="3" s="1"/>
  <c r="L195" i="3"/>
  <c r="K195" i="3"/>
  <c r="N195" i="3" s="1"/>
  <c r="AJ194" i="3"/>
  <c r="AI194" i="3"/>
  <c r="AH194" i="3"/>
  <c r="AG194" i="3"/>
  <c r="AF194" i="3" a="1"/>
  <c r="AF194" i="3" s="1"/>
  <c r="AE194" i="3" a="1"/>
  <c r="AE194" i="3" s="1"/>
  <c r="AD194" i="3" a="1"/>
  <c r="AD194" i="3" s="1"/>
  <c r="L194" i="3"/>
  <c r="K194" i="3"/>
  <c r="N194" i="3" s="1"/>
  <c r="AJ193" i="3"/>
  <c r="AI193" i="3"/>
  <c r="AH193" i="3"/>
  <c r="AG193" i="3"/>
  <c r="AF193" i="3" a="1"/>
  <c r="AF193" i="3" s="1"/>
  <c r="AE193" i="3" a="1"/>
  <c r="AE193" i="3" s="1"/>
  <c r="AD193" i="3" a="1"/>
  <c r="AD193" i="3" s="1"/>
  <c r="L193" i="3"/>
  <c r="K193" i="3"/>
  <c r="N193" i="3" s="1"/>
  <c r="AJ192" i="3"/>
  <c r="AI192" i="3"/>
  <c r="AH192" i="3"/>
  <c r="AG192" i="3"/>
  <c r="AF192" i="3" a="1"/>
  <c r="AF192" i="3" s="1"/>
  <c r="AE192" i="3" a="1"/>
  <c r="AE192" i="3" s="1"/>
  <c r="AD192" i="3" a="1"/>
  <c r="AD192" i="3" s="1"/>
  <c r="L192" i="3"/>
  <c r="K192" i="3"/>
  <c r="N192" i="3" s="1"/>
  <c r="AJ191" i="3"/>
  <c r="AI191" i="3"/>
  <c r="AH191" i="3"/>
  <c r="AG191" i="3"/>
  <c r="AF191" i="3" a="1"/>
  <c r="AF191" i="3" s="1"/>
  <c r="AE191" i="3" a="1"/>
  <c r="AE191" i="3" s="1"/>
  <c r="AD191" i="3" a="1"/>
  <c r="AD191" i="3" s="1"/>
  <c r="L191" i="3"/>
  <c r="K191" i="3"/>
  <c r="N191" i="3" s="1"/>
  <c r="AJ190" i="3"/>
  <c r="AI190" i="3"/>
  <c r="AH190" i="3"/>
  <c r="AG190" i="3"/>
  <c r="AF190" i="3" a="1"/>
  <c r="AF190" i="3" s="1"/>
  <c r="AE190" i="3" a="1"/>
  <c r="AE190" i="3" s="1"/>
  <c r="AD190" i="3" a="1"/>
  <c r="AD190" i="3" s="1"/>
  <c r="L190" i="3"/>
  <c r="K190" i="3"/>
  <c r="N190" i="3" s="1"/>
  <c r="AJ189" i="3"/>
  <c r="AI189" i="3"/>
  <c r="AH189" i="3"/>
  <c r="AG189" i="3"/>
  <c r="AF189" i="3" a="1"/>
  <c r="AF189" i="3" s="1"/>
  <c r="AE189" i="3" a="1"/>
  <c r="AE189" i="3" s="1"/>
  <c r="AD189" i="3" a="1"/>
  <c r="AD189" i="3" s="1"/>
  <c r="L189" i="3"/>
  <c r="K189" i="3"/>
  <c r="O189" i="3" s="1"/>
  <c r="AJ188" i="3"/>
  <c r="AI188" i="3"/>
  <c r="AH188" i="3"/>
  <c r="AG188" i="3"/>
  <c r="AF188" i="3" a="1"/>
  <c r="AF188" i="3" s="1"/>
  <c r="AE188" i="3" a="1"/>
  <c r="AE188" i="3" s="1"/>
  <c r="AD188" i="3" a="1"/>
  <c r="AD188" i="3" s="1"/>
  <c r="L188" i="3"/>
  <c r="K188" i="3"/>
  <c r="O188" i="3" s="1"/>
  <c r="AJ187" i="3"/>
  <c r="AI187" i="3"/>
  <c r="AH187" i="3"/>
  <c r="AG187" i="3"/>
  <c r="AF187" i="3" a="1"/>
  <c r="AF187" i="3" s="1"/>
  <c r="AE187" i="3" a="1"/>
  <c r="AE187" i="3" s="1"/>
  <c r="AD187" i="3" a="1"/>
  <c r="AD187" i="3" s="1"/>
  <c r="L187" i="3"/>
  <c r="K187" i="3"/>
  <c r="O187" i="3" s="1"/>
  <c r="AJ186" i="3"/>
  <c r="AI186" i="3"/>
  <c r="AH186" i="3"/>
  <c r="AG186" i="3"/>
  <c r="AF186" i="3" a="1"/>
  <c r="AF186" i="3" s="1"/>
  <c r="AE186" i="3" a="1"/>
  <c r="AE186" i="3" s="1"/>
  <c r="AD186" i="3" a="1"/>
  <c r="AD186" i="3" s="1"/>
  <c r="L186" i="3"/>
  <c r="K186" i="3"/>
  <c r="O186" i="3" s="1"/>
  <c r="AJ185" i="3"/>
  <c r="AI185" i="3"/>
  <c r="AH185" i="3"/>
  <c r="AG185" i="3"/>
  <c r="AF185" i="3" a="1"/>
  <c r="AF185" i="3" s="1"/>
  <c r="AE185" i="3" a="1"/>
  <c r="AE185" i="3" s="1"/>
  <c r="AD185" i="3" a="1"/>
  <c r="AD185" i="3" s="1"/>
  <c r="L185" i="3"/>
  <c r="K185" i="3"/>
  <c r="O185" i="3" s="1"/>
  <c r="AJ184" i="3"/>
  <c r="AI184" i="3"/>
  <c r="AH184" i="3"/>
  <c r="AG184" i="3"/>
  <c r="AF184" i="3" a="1"/>
  <c r="AF184" i="3" s="1"/>
  <c r="AE184" i="3" a="1"/>
  <c r="AE184" i="3" s="1"/>
  <c r="AD184" i="3" a="1"/>
  <c r="AD184" i="3" s="1"/>
  <c r="L184" i="3"/>
  <c r="K184" i="3"/>
  <c r="O184" i="3" s="1"/>
  <c r="AJ183" i="3"/>
  <c r="AI183" i="3"/>
  <c r="AH183" i="3"/>
  <c r="AG183" i="3"/>
  <c r="AF183" i="3" a="1"/>
  <c r="AF183" i="3" s="1"/>
  <c r="AE183" i="3" a="1"/>
  <c r="AE183" i="3" s="1"/>
  <c r="AD183" i="3" a="1"/>
  <c r="AD183" i="3" s="1"/>
  <c r="L183" i="3"/>
  <c r="K183" i="3"/>
  <c r="O183" i="3" s="1"/>
  <c r="AJ182" i="3"/>
  <c r="AI182" i="3"/>
  <c r="AH182" i="3"/>
  <c r="AG182" i="3"/>
  <c r="AF182" i="3" a="1"/>
  <c r="AF182" i="3" s="1"/>
  <c r="AE182" i="3" a="1"/>
  <c r="AE182" i="3" s="1"/>
  <c r="AD182" i="3" a="1"/>
  <c r="AD182" i="3" s="1"/>
  <c r="L182" i="3"/>
  <c r="K182" i="3"/>
  <c r="O182" i="3" s="1"/>
  <c r="AJ181" i="3"/>
  <c r="AI181" i="3"/>
  <c r="AH181" i="3"/>
  <c r="AG181" i="3"/>
  <c r="AF181" i="3" a="1"/>
  <c r="AF181" i="3" s="1"/>
  <c r="AE181" i="3" a="1"/>
  <c r="AE181" i="3" s="1"/>
  <c r="AD181" i="3" a="1"/>
  <c r="AD181" i="3" s="1"/>
  <c r="L181" i="3"/>
  <c r="K181" i="3"/>
  <c r="O181" i="3" s="1"/>
  <c r="AJ180" i="3"/>
  <c r="AI180" i="3"/>
  <c r="AH180" i="3"/>
  <c r="AG180" i="3"/>
  <c r="AF180" i="3" a="1"/>
  <c r="AF180" i="3" s="1"/>
  <c r="AE180" i="3" a="1"/>
  <c r="AE180" i="3" s="1"/>
  <c r="AD180" i="3" a="1"/>
  <c r="AD180" i="3" s="1"/>
  <c r="L180" i="3"/>
  <c r="K180" i="3"/>
  <c r="O180" i="3" s="1"/>
  <c r="AJ179" i="3"/>
  <c r="AI179" i="3"/>
  <c r="AH179" i="3"/>
  <c r="AG179" i="3"/>
  <c r="AF179" i="3" a="1"/>
  <c r="AF179" i="3" s="1"/>
  <c r="AE179" i="3" a="1"/>
  <c r="AE179" i="3" s="1"/>
  <c r="AD179" i="3" a="1"/>
  <c r="AD179" i="3" s="1"/>
  <c r="L179" i="3"/>
  <c r="K179" i="3"/>
  <c r="O179" i="3" s="1"/>
  <c r="AJ178" i="3"/>
  <c r="AI178" i="3"/>
  <c r="AH178" i="3"/>
  <c r="AG178" i="3"/>
  <c r="AF178" i="3" a="1"/>
  <c r="AF178" i="3" s="1"/>
  <c r="AE178" i="3" a="1"/>
  <c r="AE178" i="3" s="1"/>
  <c r="AD178" i="3" a="1"/>
  <c r="AD178" i="3" s="1"/>
  <c r="L178" i="3"/>
  <c r="K178" i="3"/>
  <c r="O178" i="3" s="1"/>
  <c r="AJ177" i="3"/>
  <c r="AI177" i="3"/>
  <c r="AH177" i="3"/>
  <c r="AG177" i="3"/>
  <c r="AF177" i="3" a="1"/>
  <c r="AF177" i="3" s="1"/>
  <c r="AE177" i="3" a="1"/>
  <c r="AE177" i="3" s="1"/>
  <c r="AD177" i="3" a="1"/>
  <c r="AD177" i="3" s="1"/>
  <c r="L177" i="3"/>
  <c r="K177" i="3"/>
  <c r="O177" i="3" s="1"/>
  <c r="AJ176" i="3"/>
  <c r="AI176" i="3"/>
  <c r="AH176" i="3"/>
  <c r="AG176" i="3"/>
  <c r="AF176" i="3" a="1"/>
  <c r="AF176" i="3" s="1"/>
  <c r="AE176" i="3" a="1"/>
  <c r="AE176" i="3" s="1"/>
  <c r="AD176" i="3" a="1"/>
  <c r="AD176" i="3" s="1"/>
  <c r="L176" i="3"/>
  <c r="K176" i="3"/>
  <c r="O176" i="3" s="1"/>
  <c r="AJ175" i="3"/>
  <c r="AI175" i="3"/>
  <c r="AH175" i="3"/>
  <c r="AG175" i="3"/>
  <c r="AF175" i="3" a="1"/>
  <c r="AF175" i="3" s="1"/>
  <c r="AE175" i="3" a="1"/>
  <c r="AE175" i="3" s="1"/>
  <c r="AD175" i="3" a="1"/>
  <c r="AD175" i="3" s="1"/>
  <c r="L175" i="3"/>
  <c r="K175" i="3"/>
  <c r="O175" i="3" s="1"/>
  <c r="AJ174" i="3"/>
  <c r="AI174" i="3"/>
  <c r="AH174" i="3"/>
  <c r="AG174" i="3"/>
  <c r="AF174" i="3" a="1"/>
  <c r="AF174" i="3" s="1"/>
  <c r="AE174" i="3" a="1"/>
  <c r="AE174" i="3" s="1"/>
  <c r="AD174" i="3" a="1"/>
  <c r="AD174" i="3" s="1"/>
  <c r="L174" i="3"/>
  <c r="K174" i="3"/>
  <c r="O174" i="3" s="1"/>
  <c r="AJ173" i="3"/>
  <c r="AI173" i="3"/>
  <c r="AH173" i="3"/>
  <c r="AG173" i="3"/>
  <c r="AF173" i="3" a="1"/>
  <c r="AF173" i="3" s="1"/>
  <c r="AE173" i="3" a="1"/>
  <c r="AE173" i="3" s="1"/>
  <c r="AD173" i="3" a="1"/>
  <c r="AD173" i="3" s="1"/>
  <c r="L173" i="3"/>
  <c r="K173" i="3"/>
  <c r="N173" i="3" s="1"/>
  <c r="AJ172" i="3"/>
  <c r="AI172" i="3"/>
  <c r="AH172" i="3"/>
  <c r="AG172" i="3"/>
  <c r="AF172" i="3" a="1"/>
  <c r="AF172" i="3" s="1"/>
  <c r="AE172" i="3" a="1"/>
  <c r="AE172" i="3" s="1"/>
  <c r="AD172" i="3" a="1"/>
  <c r="AD172" i="3" s="1"/>
  <c r="L172" i="3"/>
  <c r="K172" i="3"/>
  <c r="O172" i="3" s="1"/>
  <c r="AJ171" i="3"/>
  <c r="AI171" i="3"/>
  <c r="AH171" i="3"/>
  <c r="AG171" i="3"/>
  <c r="AF171" i="3" a="1"/>
  <c r="AF171" i="3" s="1"/>
  <c r="AE171" i="3" a="1"/>
  <c r="AE171" i="3" s="1"/>
  <c r="AD171" i="3" a="1"/>
  <c r="AD171" i="3" s="1"/>
  <c r="L171" i="3"/>
  <c r="K171" i="3"/>
  <c r="N171" i="3" s="1"/>
  <c r="AJ170" i="3"/>
  <c r="AI170" i="3"/>
  <c r="AH170" i="3"/>
  <c r="AG170" i="3"/>
  <c r="AF170" i="3" a="1"/>
  <c r="AF170" i="3" s="1"/>
  <c r="AE170" i="3" a="1"/>
  <c r="AE170" i="3" s="1"/>
  <c r="AD170" i="3" a="1"/>
  <c r="AD170" i="3" s="1"/>
  <c r="L170" i="3"/>
  <c r="K170" i="3"/>
  <c r="O170" i="3" s="1"/>
  <c r="AJ169" i="3"/>
  <c r="AI169" i="3"/>
  <c r="AH169" i="3"/>
  <c r="AG169" i="3"/>
  <c r="AF169" i="3" a="1"/>
  <c r="AF169" i="3" s="1"/>
  <c r="AE169" i="3" a="1"/>
  <c r="AE169" i="3" s="1"/>
  <c r="AD169" i="3" a="1"/>
  <c r="AD169" i="3" s="1"/>
  <c r="O169" i="3"/>
  <c r="L169" i="3"/>
  <c r="K169" i="3"/>
  <c r="N169" i="3" s="1"/>
  <c r="AJ168" i="3"/>
  <c r="AI168" i="3"/>
  <c r="AH168" i="3"/>
  <c r="AG168" i="3"/>
  <c r="AF168" i="3" a="1"/>
  <c r="AF168" i="3" s="1"/>
  <c r="AE168" i="3" a="1"/>
  <c r="AE168" i="3" s="1"/>
  <c r="AD168" i="3" a="1"/>
  <c r="AD168" i="3" s="1"/>
  <c r="L168" i="3"/>
  <c r="K168" i="3"/>
  <c r="N168" i="3" s="1"/>
  <c r="AJ167" i="3"/>
  <c r="AI167" i="3"/>
  <c r="AH167" i="3"/>
  <c r="AG167" i="3"/>
  <c r="AF167" i="3" a="1"/>
  <c r="AF167" i="3" s="1"/>
  <c r="AE167" i="3" a="1"/>
  <c r="AE167" i="3" s="1"/>
  <c r="AD167" i="3" a="1"/>
  <c r="AD167" i="3" s="1"/>
  <c r="L167" i="3"/>
  <c r="K167" i="3"/>
  <c r="N167" i="3" s="1"/>
  <c r="AJ166" i="3"/>
  <c r="AI166" i="3"/>
  <c r="AH166" i="3"/>
  <c r="AG166" i="3"/>
  <c r="AF166" i="3" a="1"/>
  <c r="AF166" i="3" s="1"/>
  <c r="AE166" i="3" a="1"/>
  <c r="AE166" i="3" s="1"/>
  <c r="AD166" i="3" a="1"/>
  <c r="AD166" i="3" s="1"/>
  <c r="L166" i="3"/>
  <c r="K166" i="3"/>
  <c r="N166" i="3" s="1"/>
  <c r="AJ165" i="3"/>
  <c r="AI165" i="3"/>
  <c r="AH165" i="3"/>
  <c r="AG165" i="3"/>
  <c r="AF165" i="3" a="1"/>
  <c r="AF165" i="3" s="1"/>
  <c r="AE165" i="3" a="1"/>
  <c r="AE165" i="3" s="1"/>
  <c r="AD165" i="3" a="1"/>
  <c r="AD165" i="3" s="1"/>
  <c r="L165" i="3"/>
  <c r="K165" i="3"/>
  <c r="O165" i="3" s="1"/>
  <c r="AJ164" i="3"/>
  <c r="AI164" i="3"/>
  <c r="AH164" i="3"/>
  <c r="AG164" i="3"/>
  <c r="AF164" i="3" a="1"/>
  <c r="AF164" i="3" s="1"/>
  <c r="AE164" i="3" a="1"/>
  <c r="AE164" i="3" s="1"/>
  <c r="AD164" i="3" a="1"/>
  <c r="AD164" i="3" s="1"/>
  <c r="L164" i="3"/>
  <c r="K164" i="3"/>
  <c r="O164" i="3" s="1"/>
  <c r="AJ163" i="3"/>
  <c r="AI163" i="3"/>
  <c r="AH163" i="3"/>
  <c r="AG163" i="3"/>
  <c r="AF163" i="3" a="1"/>
  <c r="AF163" i="3" s="1"/>
  <c r="AE163" i="3" a="1"/>
  <c r="AE163" i="3" s="1"/>
  <c r="AD163" i="3" a="1"/>
  <c r="AD163" i="3" s="1"/>
  <c r="L163" i="3"/>
  <c r="K163" i="3"/>
  <c r="O163" i="3" s="1"/>
  <c r="AJ162" i="3"/>
  <c r="AI162" i="3"/>
  <c r="AH162" i="3"/>
  <c r="AG162" i="3"/>
  <c r="AF162" i="3" a="1"/>
  <c r="AF162" i="3" s="1"/>
  <c r="AE162" i="3" a="1"/>
  <c r="AE162" i="3" s="1"/>
  <c r="AD162" i="3" a="1"/>
  <c r="AD162" i="3" s="1"/>
  <c r="L162" i="3"/>
  <c r="K162" i="3"/>
  <c r="O162" i="3" s="1"/>
  <c r="AJ161" i="3"/>
  <c r="AI161" i="3"/>
  <c r="AH161" i="3"/>
  <c r="AG161" i="3"/>
  <c r="AF161" i="3" a="1"/>
  <c r="AF161" i="3" s="1"/>
  <c r="AE161" i="3" a="1"/>
  <c r="AE161" i="3" s="1"/>
  <c r="AD161" i="3" a="1"/>
  <c r="AD161" i="3" s="1"/>
  <c r="L161" i="3"/>
  <c r="K161" i="3"/>
  <c r="O161" i="3" s="1"/>
  <c r="AJ160" i="3"/>
  <c r="AI160" i="3"/>
  <c r="AH160" i="3"/>
  <c r="AG160" i="3"/>
  <c r="AF160" i="3" a="1"/>
  <c r="AF160" i="3" s="1"/>
  <c r="AE160" i="3" a="1"/>
  <c r="AE160" i="3" s="1"/>
  <c r="AD160" i="3" a="1"/>
  <c r="AD160" i="3" s="1"/>
  <c r="L160" i="3"/>
  <c r="K160" i="3"/>
  <c r="O160" i="3" s="1"/>
  <c r="AJ159" i="3"/>
  <c r="AI159" i="3"/>
  <c r="AH159" i="3"/>
  <c r="AG159" i="3"/>
  <c r="AF159" i="3" a="1"/>
  <c r="AF159" i="3" s="1"/>
  <c r="AE159" i="3" a="1"/>
  <c r="AE159" i="3" s="1"/>
  <c r="AD159" i="3" a="1"/>
  <c r="AD159" i="3" s="1"/>
  <c r="L159" i="3"/>
  <c r="K159" i="3"/>
  <c r="O159" i="3" s="1"/>
  <c r="AJ158" i="3"/>
  <c r="AI158" i="3"/>
  <c r="AH158" i="3"/>
  <c r="AG158" i="3"/>
  <c r="AF158" i="3" a="1"/>
  <c r="AF158" i="3" s="1"/>
  <c r="AE158" i="3" a="1"/>
  <c r="AE158" i="3" s="1"/>
  <c r="AD158" i="3" a="1"/>
  <c r="AD158" i="3" s="1"/>
  <c r="L158" i="3"/>
  <c r="K158" i="3"/>
  <c r="O158" i="3" s="1"/>
  <c r="AJ157" i="3"/>
  <c r="AI157" i="3"/>
  <c r="AH157" i="3"/>
  <c r="AG157" i="3"/>
  <c r="AF157" i="3" a="1"/>
  <c r="AF157" i="3" s="1"/>
  <c r="AE157" i="3" a="1"/>
  <c r="AE157" i="3" s="1"/>
  <c r="AD157" i="3" a="1"/>
  <c r="AD157" i="3" s="1"/>
  <c r="L157" i="3"/>
  <c r="K157" i="3"/>
  <c r="O157" i="3" s="1"/>
  <c r="AJ156" i="3"/>
  <c r="AI156" i="3"/>
  <c r="AH156" i="3"/>
  <c r="AG156" i="3"/>
  <c r="AF156" i="3" a="1"/>
  <c r="AF156" i="3" s="1"/>
  <c r="AE156" i="3" a="1"/>
  <c r="AE156" i="3" s="1"/>
  <c r="AD156" i="3" a="1"/>
  <c r="AD156" i="3" s="1"/>
  <c r="L156" i="3"/>
  <c r="K156" i="3"/>
  <c r="O156" i="3" s="1"/>
  <c r="AJ155" i="3"/>
  <c r="AI155" i="3"/>
  <c r="AH155" i="3"/>
  <c r="AG155" i="3"/>
  <c r="AF155" i="3" a="1"/>
  <c r="AF155" i="3" s="1"/>
  <c r="AE155" i="3" a="1"/>
  <c r="AE155" i="3" s="1"/>
  <c r="AD155" i="3" a="1"/>
  <c r="AD155" i="3" s="1"/>
  <c r="L155" i="3"/>
  <c r="K155" i="3"/>
  <c r="O155" i="3" s="1"/>
  <c r="AJ154" i="3"/>
  <c r="AI154" i="3"/>
  <c r="AH154" i="3"/>
  <c r="AG154" i="3"/>
  <c r="AF154" i="3" a="1"/>
  <c r="AF154" i="3" s="1"/>
  <c r="AE154" i="3" a="1"/>
  <c r="AE154" i="3" s="1"/>
  <c r="AD154" i="3" a="1"/>
  <c r="AD154" i="3" s="1"/>
  <c r="L154" i="3"/>
  <c r="K154" i="3"/>
  <c r="O154" i="3" s="1"/>
  <c r="AJ153" i="3"/>
  <c r="AI153" i="3"/>
  <c r="AH153" i="3"/>
  <c r="AG153" i="3"/>
  <c r="AF153" i="3" a="1"/>
  <c r="AF153" i="3" s="1"/>
  <c r="AE153" i="3" a="1"/>
  <c r="AE153" i="3" s="1"/>
  <c r="AD153" i="3" a="1"/>
  <c r="AD153" i="3" s="1"/>
  <c r="L153" i="3"/>
  <c r="K153" i="3"/>
  <c r="O153" i="3" s="1"/>
  <c r="AJ152" i="3"/>
  <c r="AI152" i="3"/>
  <c r="AH152" i="3"/>
  <c r="AG152" i="3"/>
  <c r="AF152" i="3" a="1"/>
  <c r="AF152" i="3" s="1"/>
  <c r="AE152" i="3" a="1"/>
  <c r="AE152" i="3" s="1"/>
  <c r="AD152" i="3" a="1"/>
  <c r="AD152" i="3" s="1"/>
  <c r="L152" i="3"/>
  <c r="K152" i="3"/>
  <c r="O152" i="3" s="1"/>
  <c r="AJ151" i="3"/>
  <c r="AI151" i="3"/>
  <c r="AH151" i="3"/>
  <c r="AG151" i="3"/>
  <c r="AF151" i="3" a="1"/>
  <c r="AF151" i="3" s="1"/>
  <c r="AE151" i="3" a="1"/>
  <c r="AE151" i="3" s="1"/>
  <c r="AD151" i="3" a="1"/>
  <c r="AD151" i="3" s="1"/>
  <c r="L151" i="3"/>
  <c r="K151" i="3"/>
  <c r="O151" i="3" s="1"/>
  <c r="AJ150" i="3"/>
  <c r="AI150" i="3"/>
  <c r="AH150" i="3"/>
  <c r="AG150" i="3"/>
  <c r="AF150" i="3" a="1"/>
  <c r="AF150" i="3" s="1"/>
  <c r="AE150" i="3" a="1"/>
  <c r="AE150" i="3" s="1"/>
  <c r="AD150" i="3" a="1"/>
  <c r="AD150" i="3" s="1"/>
  <c r="L150" i="3"/>
  <c r="K150" i="3"/>
  <c r="N150" i="3" s="1"/>
  <c r="AJ149" i="3"/>
  <c r="AI149" i="3"/>
  <c r="AH149" i="3"/>
  <c r="AG149" i="3"/>
  <c r="AF149" i="3" a="1"/>
  <c r="AF149" i="3" s="1"/>
  <c r="AE149" i="3" a="1"/>
  <c r="AE149" i="3" s="1"/>
  <c r="AD149" i="3" a="1"/>
  <c r="AD149" i="3" s="1"/>
  <c r="L149" i="3"/>
  <c r="K149" i="3"/>
  <c r="O149" i="3" s="1"/>
  <c r="AJ148" i="3"/>
  <c r="AI148" i="3"/>
  <c r="AH148" i="3"/>
  <c r="AG148" i="3"/>
  <c r="AF148" i="3" a="1"/>
  <c r="AF148" i="3" s="1"/>
  <c r="AE148" i="3" a="1"/>
  <c r="AE148" i="3" s="1"/>
  <c r="AD148" i="3" a="1"/>
  <c r="AD148" i="3" s="1"/>
  <c r="L148" i="3"/>
  <c r="K148" i="3"/>
  <c r="N148" i="3" s="1"/>
  <c r="AJ147" i="3"/>
  <c r="AI147" i="3"/>
  <c r="AH147" i="3"/>
  <c r="AG147" i="3"/>
  <c r="AF147" i="3" a="1"/>
  <c r="AF147" i="3" s="1"/>
  <c r="AE147" i="3" a="1"/>
  <c r="AE147" i="3" s="1"/>
  <c r="AD147" i="3" a="1"/>
  <c r="AD147" i="3" s="1"/>
  <c r="O147" i="3"/>
  <c r="N147" i="3"/>
  <c r="L147" i="3"/>
  <c r="K147" i="3"/>
  <c r="AJ146" i="3"/>
  <c r="AI146" i="3"/>
  <c r="AH146" i="3"/>
  <c r="AG146" i="3"/>
  <c r="AF146" i="3" a="1"/>
  <c r="AF146" i="3" s="1"/>
  <c r="AE146" i="3" a="1"/>
  <c r="AE146" i="3" s="1"/>
  <c r="AD146" i="3" a="1"/>
  <c r="AD146" i="3" s="1"/>
  <c r="O146" i="3"/>
  <c r="L146" i="3"/>
  <c r="K146" i="3"/>
  <c r="N146" i="3" s="1"/>
  <c r="AJ145" i="3"/>
  <c r="AI145" i="3"/>
  <c r="AH145" i="3"/>
  <c r="AG145" i="3"/>
  <c r="AF145" i="3" a="1"/>
  <c r="AF145" i="3" s="1"/>
  <c r="AE145" i="3" a="1"/>
  <c r="AE145" i="3" s="1"/>
  <c r="AD145" i="3" a="1"/>
  <c r="AD145" i="3" s="1"/>
  <c r="L145" i="3"/>
  <c r="K145" i="3"/>
  <c r="O145" i="3" s="1"/>
  <c r="AJ144" i="3"/>
  <c r="AI144" i="3"/>
  <c r="AH144" i="3"/>
  <c r="AG144" i="3"/>
  <c r="AF144" i="3" a="1"/>
  <c r="AF144" i="3" s="1"/>
  <c r="AE144" i="3" a="1"/>
  <c r="AE144" i="3" s="1"/>
  <c r="AD144" i="3" a="1"/>
  <c r="AD144" i="3" s="1"/>
  <c r="L144" i="3"/>
  <c r="K144" i="3"/>
  <c r="N144" i="3" s="1"/>
  <c r="AJ143" i="3"/>
  <c r="AI143" i="3"/>
  <c r="AH143" i="3"/>
  <c r="AG143" i="3"/>
  <c r="AF143" i="3" a="1"/>
  <c r="AF143" i="3" s="1"/>
  <c r="AE143" i="3" a="1"/>
  <c r="AE143" i="3" s="1"/>
  <c r="AD143" i="3" a="1"/>
  <c r="AD143" i="3" s="1"/>
  <c r="L143" i="3"/>
  <c r="K143" i="3"/>
  <c r="N143" i="3" s="1"/>
  <c r="N153" i="3" l="1"/>
  <c r="O191" i="3"/>
  <c r="N159" i="3"/>
  <c r="O166" i="3"/>
  <c r="N178" i="3"/>
  <c r="O196" i="3"/>
  <c r="N176" i="3"/>
  <c r="O194" i="3"/>
  <c r="N211" i="3"/>
  <c r="N161" i="3"/>
  <c r="N209" i="3"/>
  <c r="N145" i="3"/>
  <c r="O144" i="3"/>
  <c r="O143" i="3"/>
  <c r="N149" i="3"/>
  <c r="N151" i="3"/>
  <c r="N157" i="3"/>
  <c r="O168" i="3"/>
  <c r="N186" i="3"/>
  <c r="N189" i="3"/>
  <c r="N184" i="3"/>
  <c r="N203" i="3"/>
  <c r="O193" i="3"/>
  <c r="O195" i="3"/>
  <c r="N201" i="3"/>
  <c r="O148" i="3"/>
  <c r="O150" i="3"/>
  <c r="N165" i="3"/>
  <c r="O167" i="3"/>
  <c r="N170" i="3"/>
  <c r="N172" i="3"/>
  <c r="N174" i="3"/>
  <c r="N182" i="3"/>
  <c r="O192" i="3"/>
  <c r="N199" i="3"/>
  <c r="N207" i="3"/>
  <c r="N155" i="3"/>
  <c r="N163" i="3"/>
  <c r="O171" i="3"/>
  <c r="O173" i="3"/>
  <c r="N180" i="3"/>
  <c r="N188" i="3"/>
  <c r="O190" i="3"/>
  <c r="N197" i="3"/>
  <c r="N205" i="3"/>
  <c r="N198" i="3"/>
  <c r="N200" i="3"/>
  <c r="N202" i="3"/>
  <c r="N204" i="3"/>
  <c r="N206" i="3"/>
  <c r="N208" i="3"/>
  <c r="N210" i="3"/>
  <c r="N175" i="3"/>
  <c r="N177" i="3"/>
  <c r="N179" i="3"/>
  <c r="N181" i="3"/>
  <c r="N183" i="3"/>
  <c r="N185" i="3"/>
  <c r="N187" i="3"/>
  <c r="N152" i="3"/>
  <c r="N154" i="3"/>
  <c r="N156" i="3"/>
  <c r="N158" i="3"/>
  <c r="N160" i="3"/>
  <c r="N162" i="3"/>
  <c r="N164" i="3"/>
  <c r="F3" i="32"/>
  <c r="G3" i="32"/>
  <c r="F4" i="32"/>
  <c r="G4" i="32"/>
  <c r="F5" i="32"/>
  <c r="G5" i="32"/>
  <c r="F6" i="32"/>
  <c r="G6" i="32"/>
  <c r="F7" i="32"/>
  <c r="G7" i="32"/>
  <c r="F8" i="32"/>
  <c r="G8" i="32"/>
  <c r="F9" i="32"/>
  <c r="G9" i="32"/>
  <c r="F10" i="32"/>
  <c r="G10" i="32"/>
  <c r="F11" i="32"/>
  <c r="G11" i="32"/>
  <c r="F12" i="32"/>
  <c r="G12" i="32"/>
  <c r="F13" i="32"/>
  <c r="G13" i="32"/>
  <c r="F14" i="32"/>
  <c r="G14" i="32"/>
  <c r="F15" i="32"/>
  <c r="G15" i="32"/>
  <c r="F16" i="32"/>
  <c r="G16" i="32"/>
  <c r="F17" i="32"/>
  <c r="G17" i="32"/>
  <c r="F18" i="32"/>
  <c r="G18" i="32"/>
  <c r="F19" i="32"/>
  <c r="G19" i="32"/>
  <c r="F20" i="32"/>
  <c r="G20" i="32"/>
  <c r="F21" i="32"/>
  <c r="G21" i="32"/>
  <c r="F22" i="32"/>
  <c r="G22" i="32"/>
  <c r="F23" i="32"/>
  <c r="G23" i="32"/>
  <c r="F24" i="32"/>
  <c r="G24" i="32"/>
  <c r="F25" i="32"/>
  <c r="G25" i="32"/>
  <c r="F26" i="32"/>
  <c r="G26" i="32"/>
  <c r="F27" i="32"/>
  <c r="G27" i="32"/>
  <c r="F28" i="32"/>
  <c r="G28" i="32"/>
  <c r="F29" i="32"/>
  <c r="G29" i="32"/>
  <c r="F30" i="32"/>
  <c r="G30" i="32"/>
  <c r="F31" i="32"/>
  <c r="G31" i="32"/>
  <c r="F32" i="32"/>
  <c r="G32" i="32"/>
  <c r="F33" i="32"/>
  <c r="G33" i="32"/>
  <c r="F34" i="32"/>
  <c r="G34" i="32"/>
  <c r="F35" i="32"/>
  <c r="G35" i="32"/>
  <c r="F36" i="32"/>
  <c r="G36" i="32"/>
  <c r="F37" i="32"/>
  <c r="G37" i="32"/>
  <c r="F38" i="32"/>
  <c r="G38" i="32"/>
  <c r="F39" i="32"/>
  <c r="G39" i="32"/>
  <c r="F40" i="32"/>
  <c r="G40" i="32"/>
  <c r="F41" i="32"/>
  <c r="G41" i="32"/>
  <c r="F42" i="32"/>
  <c r="G42" i="32"/>
  <c r="F43" i="32"/>
  <c r="G43" i="32"/>
  <c r="F44" i="32"/>
  <c r="G44" i="32"/>
  <c r="F45" i="32"/>
  <c r="G45" i="32"/>
  <c r="F46" i="32"/>
  <c r="G46" i="32"/>
  <c r="F47" i="32"/>
  <c r="G47" i="32"/>
  <c r="F48" i="32"/>
  <c r="G48" i="32"/>
  <c r="F49" i="32"/>
  <c r="G49" i="32"/>
  <c r="F50" i="32"/>
  <c r="G50" i="32"/>
  <c r="F51" i="32"/>
  <c r="G51" i="32"/>
  <c r="F52" i="32"/>
  <c r="G52" i="32"/>
  <c r="F53" i="32"/>
  <c r="G53" i="32"/>
  <c r="F54" i="32"/>
  <c r="G54" i="32"/>
  <c r="F55" i="32"/>
  <c r="G55" i="32"/>
  <c r="F56" i="32"/>
  <c r="G56" i="32"/>
  <c r="F57" i="32"/>
  <c r="G57" i="32"/>
  <c r="F58" i="32"/>
  <c r="G58" i="32"/>
  <c r="F59" i="32"/>
  <c r="G59" i="32"/>
  <c r="F60" i="32"/>
  <c r="G60" i="32"/>
  <c r="F61" i="32"/>
  <c r="G61" i="32"/>
  <c r="F62" i="32"/>
  <c r="G62" i="32"/>
  <c r="F63" i="32"/>
  <c r="G63" i="32"/>
  <c r="F64" i="32"/>
  <c r="G64" i="32"/>
  <c r="F65" i="32"/>
  <c r="G65" i="32"/>
  <c r="F66" i="32"/>
  <c r="G66" i="32"/>
  <c r="F67" i="32"/>
  <c r="G67" i="32"/>
  <c r="F68" i="32"/>
  <c r="G68" i="32"/>
  <c r="F69" i="32"/>
  <c r="G69" i="32"/>
  <c r="F70" i="32"/>
  <c r="G70" i="32"/>
  <c r="F71" i="32"/>
  <c r="G71" i="32"/>
  <c r="F72" i="32"/>
  <c r="G72" i="32"/>
  <c r="F73" i="32"/>
  <c r="G73" i="32"/>
  <c r="F74" i="32"/>
  <c r="G74" i="32"/>
  <c r="F75" i="32"/>
  <c r="G75" i="32"/>
  <c r="F76" i="32"/>
  <c r="G76" i="32"/>
  <c r="F77" i="32"/>
  <c r="G77" i="32"/>
  <c r="F78" i="32"/>
  <c r="G78" i="32"/>
  <c r="F79" i="32"/>
  <c r="G79" i="32"/>
  <c r="F80" i="32"/>
  <c r="G80" i="32"/>
  <c r="F81" i="32"/>
  <c r="G81" i="32"/>
  <c r="F82" i="32"/>
  <c r="G82" i="32"/>
  <c r="F83" i="32"/>
  <c r="G83" i="32"/>
  <c r="F84" i="32"/>
  <c r="G84" i="32"/>
  <c r="F85" i="32"/>
  <c r="G85" i="32"/>
  <c r="F86" i="32"/>
  <c r="G86" i="32"/>
  <c r="F87" i="32"/>
  <c r="G87" i="32"/>
  <c r="F88" i="32"/>
  <c r="G88" i="32"/>
  <c r="F89" i="32"/>
  <c r="G89" i="32"/>
  <c r="F90" i="32"/>
  <c r="G90" i="32"/>
  <c r="F91" i="32"/>
  <c r="G91" i="32"/>
  <c r="F92" i="32"/>
  <c r="G92" i="32"/>
  <c r="F93" i="32"/>
  <c r="G93" i="32"/>
  <c r="F94" i="32"/>
  <c r="G94" i="32"/>
  <c r="F95" i="32"/>
  <c r="G95" i="32"/>
  <c r="F96" i="32"/>
  <c r="G96" i="32"/>
  <c r="F97" i="32"/>
  <c r="G97" i="32"/>
  <c r="F98" i="32"/>
  <c r="G98" i="32"/>
  <c r="F99" i="32"/>
  <c r="G99" i="32"/>
  <c r="F100" i="32"/>
  <c r="G100" i="32"/>
  <c r="F101" i="32"/>
  <c r="G101" i="32"/>
  <c r="F102" i="32"/>
  <c r="G102" i="32"/>
  <c r="F103" i="32"/>
  <c r="G103" i="32"/>
  <c r="F104" i="32"/>
  <c r="G104" i="32"/>
  <c r="F105" i="32"/>
  <c r="G105" i="32"/>
  <c r="F106" i="32"/>
  <c r="G106" i="32"/>
  <c r="F107" i="32"/>
  <c r="G107" i="32"/>
  <c r="F108" i="32"/>
  <c r="G108" i="32"/>
  <c r="F109" i="32"/>
  <c r="G109" i="32"/>
  <c r="F110" i="32"/>
  <c r="G110" i="32"/>
  <c r="F111" i="32"/>
  <c r="G111" i="32"/>
  <c r="F112" i="32"/>
  <c r="G112" i="32"/>
  <c r="F113" i="32"/>
  <c r="G113" i="32"/>
  <c r="F114" i="32"/>
  <c r="G114" i="32"/>
  <c r="F115" i="32"/>
  <c r="G115" i="32"/>
  <c r="F116" i="32"/>
  <c r="G116" i="32"/>
  <c r="F117" i="32"/>
  <c r="G117" i="32"/>
  <c r="F118" i="32"/>
  <c r="G118" i="32"/>
  <c r="F119" i="32"/>
  <c r="G119" i="32"/>
  <c r="F120" i="32"/>
  <c r="G120" i="32"/>
  <c r="F121" i="32"/>
  <c r="G121" i="32"/>
  <c r="F122" i="32"/>
  <c r="G122" i="32"/>
  <c r="F123" i="32"/>
  <c r="G123" i="32"/>
  <c r="F124" i="32"/>
  <c r="G124" i="32"/>
  <c r="F125" i="32"/>
  <c r="G125" i="32"/>
  <c r="F126" i="32"/>
  <c r="G126" i="32"/>
  <c r="F127" i="32"/>
  <c r="G127" i="32"/>
  <c r="F128" i="32"/>
  <c r="G128" i="32"/>
  <c r="F129" i="32"/>
  <c r="G129" i="32"/>
  <c r="F130" i="32"/>
  <c r="G130" i="32"/>
  <c r="F131" i="32"/>
  <c r="G131" i="32"/>
  <c r="F132" i="32"/>
  <c r="G132" i="32"/>
  <c r="F133" i="32"/>
  <c r="G133" i="32"/>
  <c r="F134" i="32"/>
  <c r="G134" i="32"/>
  <c r="F135" i="32"/>
  <c r="G135" i="32"/>
  <c r="F136" i="32"/>
  <c r="G136" i="32"/>
  <c r="F137" i="32"/>
  <c r="G137" i="32"/>
  <c r="F138" i="32"/>
  <c r="G138" i="32"/>
  <c r="F139" i="32"/>
  <c r="G139" i="32"/>
  <c r="F140" i="32"/>
  <c r="G140" i="32"/>
  <c r="F141" i="32"/>
  <c r="G141" i="32"/>
  <c r="F142" i="32"/>
  <c r="G142" i="32"/>
  <c r="F143" i="32"/>
  <c r="G143" i="32"/>
  <c r="F144" i="32"/>
  <c r="G144" i="32"/>
  <c r="F145" i="32"/>
  <c r="G145" i="32"/>
  <c r="F146" i="32"/>
  <c r="G146" i="32"/>
  <c r="F147" i="32"/>
  <c r="G147" i="32"/>
  <c r="F148" i="32"/>
  <c r="G148" i="32"/>
  <c r="F149" i="32"/>
  <c r="G149" i="32"/>
  <c r="F150" i="32"/>
  <c r="G150" i="32"/>
  <c r="F151" i="32"/>
  <c r="G151" i="32"/>
  <c r="F152" i="32"/>
  <c r="G152" i="32"/>
  <c r="F153" i="32"/>
  <c r="G153" i="32"/>
  <c r="F154" i="32"/>
  <c r="G154" i="32"/>
  <c r="F155" i="32"/>
  <c r="G155" i="32"/>
  <c r="F156" i="32"/>
  <c r="G156" i="32"/>
  <c r="F157" i="32"/>
  <c r="G157" i="32"/>
  <c r="F158" i="32"/>
  <c r="G158" i="32"/>
  <c r="F159" i="32"/>
  <c r="G159" i="32"/>
  <c r="F160" i="32"/>
  <c r="G160" i="32"/>
  <c r="F161" i="32"/>
  <c r="G161" i="32"/>
  <c r="F162" i="32"/>
  <c r="G162" i="32"/>
  <c r="F163" i="32"/>
  <c r="G163" i="32"/>
  <c r="F164" i="32"/>
  <c r="G164" i="32"/>
  <c r="F165" i="32"/>
  <c r="G165" i="32"/>
  <c r="F166" i="32"/>
  <c r="G166" i="32"/>
  <c r="F167" i="32"/>
  <c r="G167" i="32"/>
  <c r="F168" i="32"/>
  <c r="G168" i="32"/>
  <c r="F169" i="32"/>
  <c r="G169" i="32"/>
  <c r="F170" i="32"/>
  <c r="G170" i="32"/>
  <c r="F171" i="32"/>
  <c r="G171" i="32"/>
  <c r="F172" i="32"/>
  <c r="G172" i="32"/>
  <c r="F173" i="32"/>
  <c r="G173" i="32"/>
  <c r="F174" i="32"/>
  <c r="G174" i="32"/>
  <c r="F175" i="32"/>
  <c r="G175" i="32"/>
  <c r="F176" i="32"/>
  <c r="G176" i="32"/>
  <c r="F177" i="32"/>
  <c r="G177" i="32"/>
  <c r="F178" i="32"/>
  <c r="G178" i="32"/>
  <c r="F179" i="32"/>
  <c r="G179" i="32"/>
  <c r="F180" i="32"/>
  <c r="G180" i="32"/>
  <c r="F181" i="32"/>
  <c r="G181" i="32"/>
  <c r="F182" i="32"/>
  <c r="G182" i="32"/>
  <c r="F183" i="32"/>
  <c r="G183" i="32"/>
  <c r="F184" i="32"/>
  <c r="G184" i="32"/>
  <c r="F185" i="32"/>
  <c r="G185" i="32"/>
  <c r="F186" i="32"/>
  <c r="G186" i="32"/>
  <c r="G2" i="32"/>
  <c r="F2" i="32"/>
  <c r="G3" i="22" l="1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2" i="22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2" i="20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G313" i="19"/>
  <c r="G314" i="19"/>
  <c r="G315" i="19"/>
  <c r="G316" i="19"/>
  <c r="G317" i="19"/>
  <c r="G318" i="19"/>
  <c r="G319" i="19"/>
  <c r="G320" i="19"/>
  <c r="G321" i="19"/>
  <c r="G322" i="19"/>
  <c r="G323" i="19"/>
  <c r="G324" i="19"/>
  <c r="G325" i="19"/>
  <c r="G326" i="19"/>
  <c r="G327" i="19"/>
  <c r="G328" i="19"/>
  <c r="G329" i="19"/>
  <c r="G330" i="19"/>
  <c r="G331" i="19"/>
  <c r="G332" i="19"/>
  <c r="G333" i="19"/>
  <c r="G334" i="19"/>
  <c r="G335" i="19"/>
  <c r="G336" i="19"/>
  <c r="G337" i="19"/>
  <c r="G338" i="19"/>
  <c r="G339" i="19"/>
  <c r="G340" i="19"/>
  <c r="G341" i="19"/>
  <c r="G342" i="19"/>
  <c r="G343" i="19"/>
  <c r="G344" i="19"/>
  <c r="G345" i="19"/>
  <c r="G346" i="19"/>
  <c r="G347" i="19"/>
  <c r="G348" i="19"/>
  <c r="G349" i="19"/>
  <c r="G350" i="19"/>
  <c r="G351" i="19"/>
  <c r="G352" i="19"/>
  <c r="G353" i="19"/>
  <c r="G354" i="19"/>
  <c r="G355" i="19"/>
  <c r="G356" i="19"/>
  <c r="G357" i="19"/>
  <c r="G358" i="19"/>
  <c r="G359" i="19"/>
  <c r="G360" i="19"/>
  <c r="G361" i="19"/>
  <c r="G362" i="19"/>
  <c r="G363" i="19"/>
  <c r="G364" i="19"/>
  <c r="G365" i="19"/>
  <c r="G366" i="19"/>
  <c r="G367" i="19"/>
  <c r="G368" i="19"/>
  <c r="G369" i="19"/>
  <c r="G370" i="19"/>
  <c r="G371" i="19"/>
  <c r="G372" i="19"/>
  <c r="G373" i="19"/>
  <c r="G374" i="19"/>
  <c r="G375" i="19"/>
  <c r="G376" i="19"/>
  <c r="G377" i="19"/>
  <c r="G378" i="19"/>
  <c r="G379" i="19"/>
  <c r="G380" i="19"/>
  <c r="G381" i="19"/>
  <c r="G382" i="19"/>
  <c r="G383" i="19"/>
  <c r="G384" i="19"/>
  <c r="G385" i="19"/>
  <c r="G386" i="19"/>
  <c r="G387" i="19"/>
  <c r="G388" i="19"/>
  <c r="G389" i="19"/>
  <c r="G390" i="19"/>
  <c r="G391" i="19"/>
  <c r="G392" i="19"/>
  <c r="G393" i="19"/>
  <c r="G394" i="19"/>
  <c r="G395" i="19"/>
  <c r="G396" i="19"/>
  <c r="G397" i="19"/>
  <c r="G398" i="19"/>
  <c r="G399" i="19"/>
  <c r="G400" i="19"/>
  <c r="G401" i="19"/>
  <c r="G402" i="19"/>
  <c r="G403" i="19"/>
  <c r="G404" i="19"/>
  <c r="G405" i="19"/>
  <c r="G406" i="19"/>
  <c r="G407" i="19"/>
  <c r="G408" i="19"/>
  <c r="G409" i="19"/>
  <c r="G410" i="19"/>
  <c r="G411" i="19"/>
  <c r="G412" i="19"/>
  <c r="G413" i="19"/>
  <c r="G414" i="19"/>
  <c r="G415" i="19"/>
  <c r="G416" i="19"/>
  <c r="G417" i="19"/>
  <c r="G418" i="19"/>
  <c r="G419" i="19"/>
  <c r="G420" i="19"/>
  <c r="G421" i="19"/>
  <c r="G422" i="19"/>
  <c r="G423" i="19"/>
  <c r="G424" i="19"/>
  <c r="G425" i="19"/>
  <c r="G426" i="19"/>
  <c r="G427" i="19"/>
  <c r="G428" i="19"/>
  <c r="G429" i="19"/>
  <c r="G430" i="19"/>
  <c r="G431" i="19"/>
  <c r="G432" i="19"/>
  <c r="G433" i="19"/>
  <c r="G434" i="19"/>
  <c r="G435" i="19"/>
  <c r="G436" i="19"/>
  <c r="G437" i="19"/>
  <c r="G438" i="19"/>
  <c r="G439" i="19"/>
  <c r="G440" i="19"/>
  <c r="G441" i="19"/>
  <c r="G442" i="19"/>
  <c r="G443" i="19"/>
  <c r="G444" i="19"/>
  <c r="G445" i="19"/>
  <c r="G446" i="19"/>
  <c r="G447" i="19"/>
  <c r="G448" i="19"/>
  <c r="G449" i="19"/>
  <c r="G450" i="19"/>
  <c r="G451" i="19"/>
  <c r="G452" i="19"/>
  <c r="G453" i="19"/>
  <c r="G454" i="19"/>
  <c r="G455" i="19"/>
  <c r="G456" i="19"/>
  <c r="G457" i="19"/>
  <c r="G458" i="19"/>
  <c r="G459" i="19"/>
  <c r="G460" i="19"/>
  <c r="G461" i="19"/>
  <c r="G462" i="19"/>
  <c r="G463" i="19"/>
  <c r="G464" i="19"/>
  <c r="G465" i="19"/>
  <c r="G466" i="19"/>
  <c r="G467" i="19"/>
  <c r="G468" i="19"/>
  <c r="G469" i="19"/>
  <c r="G470" i="19"/>
  <c r="G471" i="19"/>
  <c r="G472" i="19"/>
  <c r="G473" i="19"/>
  <c r="G474" i="19"/>
  <c r="G475" i="19"/>
  <c r="G476" i="19"/>
  <c r="G477" i="19"/>
  <c r="G478" i="19"/>
  <c r="G479" i="19"/>
  <c r="G480" i="19"/>
  <c r="G481" i="19"/>
  <c r="G482" i="19"/>
  <c r="G483" i="19"/>
  <c r="G484" i="19"/>
  <c r="G485" i="19"/>
  <c r="G486" i="19"/>
  <c r="G487" i="19"/>
  <c r="G488" i="19"/>
  <c r="G489" i="19"/>
  <c r="G490" i="19"/>
  <c r="G491" i="19"/>
  <c r="G492" i="19"/>
  <c r="G493" i="19"/>
  <c r="G494" i="19"/>
  <c r="G495" i="19"/>
  <c r="G496" i="19"/>
  <c r="G497" i="19"/>
  <c r="G498" i="19"/>
  <c r="G499" i="19"/>
  <c r="G500" i="19"/>
  <c r="G501" i="19"/>
  <c r="G502" i="19"/>
  <c r="G503" i="19"/>
  <c r="G504" i="19"/>
  <c r="G505" i="19"/>
  <c r="G506" i="19"/>
  <c r="G507" i="19"/>
  <c r="G508" i="19"/>
  <c r="G509" i="19"/>
  <c r="G510" i="19"/>
  <c r="G511" i="19"/>
  <c r="G512" i="19"/>
  <c r="G513" i="19"/>
  <c r="G514" i="19"/>
  <c r="G515" i="19"/>
  <c r="G516" i="19"/>
  <c r="G517" i="19"/>
  <c r="G518" i="19"/>
  <c r="G519" i="19"/>
  <c r="G520" i="19"/>
  <c r="G521" i="19"/>
  <c r="G522" i="19"/>
  <c r="G523" i="19"/>
  <c r="G524" i="19"/>
  <c r="G525" i="19"/>
  <c r="G526" i="19"/>
  <c r="G527" i="19"/>
  <c r="G528" i="19"/>
  <c r="G529" i="19"/>
  <c r="G530" i="19"/>
  <c r="G531" i="19"/>
  <c r="G532" i="19"/>
  <c r="G533" i="19"/>
  <c r="G534" i="19"/>
  <c r="G535" i="19"/>
  <c r="G536" i="19"/>
  <c r="G537" i="19"/>
  <c r="G538" i="19"/>
  <c r="G539" i="19"/>
  <c r="G540" i="19"/>
  <c r="G541" i="19"/>
  <c r="G542" i="19"/>
  <c r="G543" i="19"/>
  <c r="G544" i="19"/>
  <c r="G545" i="19"/>
  <c r="G546" i="19"/>
  <c r="G547" i="19"/>
  <c r="G548" i="19"/>
  <c r="G549" i="19"/>
  <c r="G550" i="19"/>
  <c r="G551" i="19"/>
  <c r="G552" i="19"/>
  <c r="G553" i="19"/>
  <c r="G554" i="19"/>
  <c r="G555" i="19"/>
  <c r="G556" i="19"/>
  <c r="G557" i="19"/>
  <c r="G558" i="19"/>
  <c r="G559" i="19"/>
  <c r="G560" i="19"/>
  <c r="G561" i="19"/>
  <c r="G562" i="19"/>
  <c r="G563" i="19"/>
  <c r="G2" i="19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2" i="18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2" i="17"/>
  <c r="AJ10" i="3" l="1"/>
  <c r="AH11" i="3"/>
  <c r="AI11" i="3"/>
  <c r="AJ11" i="3"/>
  <c r="AH12" i="3"/>
  <c r="AI12" i="3"/>
  <c r="AJ12" i="3"/>
  <c r="AH13" i="3"/>
  <c r="AI13" i="3"/>
  <c r="AJ13" i="3"/>
  <c r="AH14" i="3"/>
  <c r="AI14" i="3"/>
  <c r="AJ14" i="3"/>
  <c r="AH15" i="3"/>
  <c r="AI15" i="3"/>
  <c r="AJ15" i="3"/>
  <c r="AH16" i="3"/>
  <c r="AI16" i="3"/>
  <c r="AJ16" i="3"/>
  <c r="AH17" i="3"/>
  <c r="AI17" i="3"/>
  <c r="AJ17" i="3"/>
  <c r="AH18" i="3"/>
  <c r="AI18" i="3"/>
  <c r="AJ18" i="3"/>
  <c r="AH19" i="3"/>
  <c r="AI19" i="3"/>
  <c r="AJ19" i="3"/>
  <c r="AH20" i="3"/>
  <c r="AI20" i="3"/>
  <c r="AJ20" i="3"/>
  <c r="AH21" i="3"/>
  <c r="AI21" i="3"/>
  <c r="AJ21" i="3"/>
  <c r="AH22" i="3"/>
  <c r="AI22" i="3"/>
  <c r="AJ22" i="3"/>
  <c r="AH23" i="3"/>
  <c r="AI23" i="3"/>
  <c r="AJ23" i="3"/>
  <c r="AH24" i="3"/>
  <c r="AI24" i="3"/>
  <c r="AJ24" i="3"/>
  <c r="AH25" i="3"/>
  <c r="AI25" i="3"/>
  <c r="AJ25" i="3"/>
  <c r="AH26" i="3"/>
  <c r="AI26" i="3"/>
  <c r="AJ26" i="3"/>
  <c r="AH27" i="3"/>
  <c r="AI27" i="3"/>
  <c r="AJ27" i="3"/>
  <c r="AH28" i="3"/>
  <c r="AI28" i="3"/>
  <c r="AJ28" i="3"/>
  <c r="AH29" i="3"/>
  <c r="AI29" i="3"/>
  <c r="AJ29" i="3"/>
  <c r="AH30" i="3"/>
  <c r="AI30" i="3"/>
  <c r="AJ30" i="3"/>
  <c r="AH31" i="3"/>
  <c r="AI31" i="3"/>
  <c r="AJ31" i="3"/>
  <c r="AH32" i="3"/>
  <c r="AI32" i="3"/>
  <c r="AJ32" i="3"/>
  <c r="AH33" i="3"/>
  <c r="AI33" i="3"/>
  <c r="AJ33" i="3"/>
  <c r="AH34" i="3"/>
  <c r="AI34" i="3"/>
  <c r="AJ34" i="3"/>
  <c r="AH35" i="3"/>
  <c r="AI35" i="3"/>
  <c r="AJ35" i="3"/>
  <c r="AH36" i="3"/>
  <c r="AI36" i="3"/>
  <c r="AJ36" i="3"/>
  <c r="AH37" i="3"/>
  <c r="AI37" i="3"/>
  <c r="AJ37" i="3"/>
  <c r="AH38" i="3"/>
  <c r="AI38" i="3"/>
  <c r="AJ38" i="3"/>
  <c r="AH39" i="3"/>
  <c r="AI39" i="3"/>
  <c r="AJ39" i="3"/>
  <c r="AH40" i="3"/>
  <c r="AI40" i="3"/>
  <c r="AJ40" i="3"/>
  <c r="AH41" i="3"/>
  <c r="AI41" i="3"/>
  <c r="AJ41" i="3"/>
  <c r="AH42" i="3"/>
  <c r="AI42" i="3"/>
  <c r="AJ42" i="3"/>
  <c r="AH43" i="3"/>
  <c r="AI43" i="3"/>
  <c r="AJ43" i="3"/>
  <c r="AH44" i="3"/>
  <c r="AI44" i="3"/>
  <c r="AJ44" i="3"/>
  <c r="AH45" i="3"/>
  <c r="AI45" i="3"/>
  <c r="AJ45" i="3"/>
  <c r="AH46" i="3"/>
  <c r="AI46" i="3"/>
  <c r="AJ46" i="3"/>
  <c r="AH47" i="3"/>
  <c r="AI47" i="3"/>
  <c r="AJ47" i="3"/>
  <c r="AH48" i="3"/>
  <c r="AI48" i="3"/>
  <c r="AJ48" i="3"/>
  <c r="AH49" i="3"/>
  <c r="AI49" i="3"/>
  <c r="AJ49" i="3"/>
  <c r="AH50" i="3"/>
  <c r="AI50" i="3"/>
  <c r="AJ50" i="3"/>
  <c r="AH51" i="3"/>
  <c r="AI51" i="3"/>
  <c r="AJ51" i="3"/>
  <c r="AH52" i="3"/>
  <c r="AI52" i="3"/>
  <c r="AJ52" i="3"/>
  <c r="AH53" i="3"/>
  <c r="AI53" i="3"/>
  <c r="AJ53" i="3"/>
  <c r="AH54" i="3"/>
  <c r="AI54" i="3"/>
  <c r="AJ54" i="3"/>
  <c r="AH55" i="3"/>
  <c r="AI55" i="3"/>
  <c r="AJ55" i="3"/>
  <c r="AH56" i="3"/>
  <c r="AI56" i="3"/>
  <c r="AJ56" i="3"/>
  <c r="AH57" i="3"/>
  <c r="AI57" i="3"/>
  <c r="AJ57" i="3"/>
  <c r="AH58" i="3"/>
  <c r="AI58" i="3"/>
  <c r="AJ58" i="3"/>
  <c r="AH59" i="3"/>
  <c r="AI59" i="3"/>
  <c r="AJ59" i="3"/>
  <c r="AH60" i="3"/>
  <c r="AI60" i="3"/>
  <c r="AJ60" i="3"/>
  <c r="AH61" i="3"/>
  <c r="AI61" i="3"/>
  <c r="AJ61" i="3"/>
  <c r="AH62" i="3"/>
  <c r="AI62" i="3"/>
  <c r="AJ62" i="3"/>
  <c r="AH63" i="3"/>
  <c r="AI63" i="3"/>
  <c r="AJ63" i="3"/>
  <c r="AH64" i="3"/>
  <c r="AI64" i="3"/>
  <c r="AJ64" i="3"/>
  <c r="AH65" i="3"/>
  <c r="AI65" i="3"/>
  <c r="AJ65" i="3"/>
  <c r="AH66" i="3"/>
  <c r="AI66" i="3"/>
  <c r="AJ66" i="3"/>
  <c r="AH67" i="3"/>
  <c r="AI67" i="3"/>
  <c r="AJ67" i="3"/>
  <c r="AH68" i="3"/>
  <c r="AI68" i="3"/>
  <c r="AJ68" i="3"/>
  <c r="AH69" i="3"/>
  <c r="AI69" i="3"/>
  <c r="AJ69" i="3"/>
  <c r="AH70" i="3"/>
  <c r="AI70" i="3"/>
  <c r="AJ70" i="3"/>
  <c r="AH71" i="3"/>
  <c r="AI71" i="3"/>
  <c r="AJ71" i="3"/>
  <c r="AH72" i="3"/>
  <c r="AI72" i="3"/>
  <c r="AJ72" i="3"/>
  <c r="AH73" i="3"/>
  <c r="AI73" i="3"/>
  <c r="AJ73" i="3"/>
  <c r="AH74" i="3"/>
  <c r="AI74" i="3"/>
  <c r="AJ74" i="3"/>
  <c r="AH75" i="3"/>
  <c r="AI75" i="3"/>
  <c r="AJ75" i="3"/>
  <c r="AH76" i="3"/>
  <c r="AI76" i="3"/>
  <c r="AJ76" i="3"/>
  <c r="AH77" i="3"/>
  <c r="AI77" i="3"/>
  <c r="AJ77" i="3"/>
  <c r="AH78" i="3"/>
  <c r="AI78" i="3"/>
  <c r="AJ78" i="3"/>
  <c r="AH79" i="3"/>
  <c r="AI79" i="3"/>
  <c r="AJ79" i="3"/>
  <c r="AH80" i="3"/>
  <c r="AI80" i="3"/>
  <c r="AJ80" i="3"/>
  <c r="AH81" i="3"/>
  <c r="AI81" i="3"/>
  <c r="AJ81" i="3"/>
  <c r="AH82" i="3"/>
  <c r="AI82" i="3"/>
  <c r="AJ82" i="3"/>
  <c r="AH83" i="3"/>
  <c r="AI83" i="3"/>
  <c r="AJ83" i="3"/>
  <c r="AH84" i="3"/>
  <c r="AI84" i="3"/>
  <c r="AJ84" i="3"/>
  <c r="AH85" i="3"/>
  <c r="AI85" i="3"/>
  <c r="AJ85" i="3"/>
  <c r="AH86" i="3"/>
  <c r="AI86" i="3"/>
  <c r="AJ86" i="3"/>
  <c r="AH87" i="3"/>
  <c r="AI87" i="3"/>
  <c r="AJ87" i="3"/>
  <c r="AH88" i="3"/>
  <c r="AI88" i="3"/>
  <c r="AJ88" i="3"/>
  <c r="AH89" i="3"/>
  <c r="AI89" i="3"/>
  <c r="AJ89" i="3"/>
  <c r="AH90" i="3"/>
  <c r="AI90" i="3"/>
  <c r="AJ90" i="3"/>
  <c r="AH91" i="3"/>
  <c r="AI91" i="3"/>
  <c r="AJ91" i="3"/>
  <c r="AH92" i="3"/>
  <c r="AI92" i="3"/>
  <c r="AJ92" i="3"/>
  <c r="AH93" i="3"/>
  <c r="AI93" i="3"/>
  <c r="AJ93" i="3"/>
  <c r="AH94" i="3"/>
  <c r="AI94" i="3"/>
  <c r="AJ94" i="3"/>
  <c r="AH95" i="3"/>
  <c r="AI95" i="3"/>
  <c r="AJ95" i="3"/>
  <c r="AH96" i="3"/>
  <c r="AI96" i="3"/>
  <c r="AJ96" i="3"/>
  <c r="AH97" i="3"/>
  <c r="AI97" i="3"/>
  <c r="AJ97" i="3"/>
  <c r="AH98" i="3"/>
  <c r="AI98" i="3"/>
  <c r="AJ98" i="3"/>
  <c r="AH99" i="3"/>
  <c r="AI99" i="3"/>
  <c r="AJ99" i="3"/>
  <c r="AH100" i="3"/>
  <c r="AI100" i="3"/>
  <c r="AJ100" i="3"/>
  <c r="AH101" i="3"/>
  <c r="AI101" i="3"/>
  <c r="AJ101" i="3"/>
  <c r="AH102" i="3"/>
  <c r="AI102" i="3"/>
  <c r="AJ102" i="3"/>
  <c r="AH103" i="3"/>
  <c r="AI103" i="3"/>
  <c r="AJ103" i="3"/>
  <c r="AH104" i="3"/>
  <c r="AI104" i="3"/>
  <c r="AJ104" i="3"/>
  <c r="AH105" i="3"/>
  <c r="AI105" i="3"/>
  <c r="AJ105" i="3"/>
  <c r="AH106" i="3"/>
  <c r="AI106" i="3"/>
  <c r="AJ106" i="3"/>
  <c r="AH107" i="3"/>
  <c r="AI107" i="3"/>
  <c r="AJ107" i="3"/>
  <c r="AH108" i="3"/>
  <c r="AI108" i="3"/>
  <c r="AJ108" i="3"/>
  <c r="AH109" i="3"/>
  <c r="AI109" i="3"/>
  <c r="AJ109" i="3"/>
  <c r="AH110" i="3"/>
  <c r="AI110" i="3"/>
  <c r="AJ110" i="3"/>
  <c r="AH111" i="3"/>
  <c r="AI111" i="3"/>
  <c r="AJ111" i="3"/>
  <c r="AH112" i="3"/>
  <c r="AI112" i="3"/>
  <c r="AJ112" i="3"/>
  <c r="AH113" i="3"/>
  <c r="AI113" i="3"/>
  <c r="AJ113" i="3"/>
  <c r="AH114" i="3"/>
  <c r="AI114" i="3"/>
  <c r="AJ114" i="3"/>
  <c r="AH115" i="3"/>
  <c r="AI115" i="3"/>
  <c r="AJ115" i="3"/>
  <c r="AH116" i="3"/>
  <c r="AI116" i="3"/>
  <c r="AJ116" i="3"/>
  <c r="AH117" i="3"/>
  <c r="AI117" i="3"/>
  <c r="AJ117" i="3"/>
  <c r="AH118" i="3"/>
  <c r="AI118" i="3"/>
  <c r="AJ118" i="3"/>
  <c r="AH119" i="3"/>
  <c r="AI119" i="3"/>
  <c r="AJ119" i="3"/>
  <c r="AH120" i="3"/>
  <c r="AI120" i="3"/>
  <c r="AJ120" i="3"/>
  <c r="AH121" i="3"/>
  <c r="AI121" i="3"/>
  <c r="AJ121" i="3"/>
  <c r="AH122" i="3"/>
  <c r="AI122" i="3"/>
  <c r="AJ122" i="3"/>
  <c r="AH123" i="3"/>
  <c r="AI123" i="3"/>
  <c r="AJ123" i="3"/>
  <c r="AH124" i="3"/>
  <c r="AI124" i="3"/>
  <c r="AJ124" i="3"/>
  <c r="AH125" i="3"/>
  <c r="AI125" i="3"/>
  <c r="AJ125" i="3"/>
  <c r="AH126" i="3"/>
  <c r="AI126" i="3"/>
  <c r="AJ126" i="3"/>
  <c r="AH127" i="3"/>
  <c r="AI127" i="3"/>
  <c r="AJ127" i="3"/>
  <c r="AH128" i="3"/>
  <c r="AI128" i="3"/>
  <c r="AJ128" i="3"/>
  <c r="AH129" i="3"/>
  <c r="AI129" i="3"/>
  <c r="AJ129" i="3"/>
  <c r="AH130" i="3"/>
  <c r="AI130" i="3"/>
  <c r="AJ130" i="3"/>
  <c r="AH131" i="3"/>
  <c r="AI131" i="3"/>
  <c r="AJ131" i="3"/>
  <c r="AH132" i="3"/>
  <c r="AI132" i="3"/>
  <c r="AJ132" i="3"/>
  <c r="AH133" i="3"/>
  <c r="AI133" i="3"/>
  <c r="AJ133" i="3"/>
  <c r="AH134" i="3"/>
  <c r="AI134" i="3"/>
  <c r="AJ134" i="3"/>
  <c r="AH135" i="3"/>
  <c r="AI135" i="3"/>
  <c r="AJ135" i="3"/>
  <c r="AH136" i="3"/>
  <c r="AI136" i="3"/>
  <c r="AJ136" i="3"/>
  <c r="AH137" i="3"/>
  <c r="AI137" i="3"/>
  <c r="AJ137" i="3"/>
  <c r="AH138" i="3"/>
  <c r="AI138" i="3"/>
  <c r="AJ138" i="3"/>
  <c r="AH139" i="3"/>
  <c r="AI139" i="3"/>
  <c r="AJ139" i="3"/>
  <c r="AH140" i="3"/>
  <c r="AI140" i="3"/>
  <c r="AJ140" i="3"/>
  <c r="AH141" i="3"/>
  <c r="AI141" i="3"/>
  <c r="AJ141" i="3"/>
  <c r="AH142" i="3"/>
  <c r="AI142" i="3"/>
  <c r="AJ142" i="3"/>
  <c r="AD10" i="3" a="1"/>
  <c r="AD10" i="3" s="1"/>
  <c r="AE10" i="3" a="1"/>
  <c r="AE10" i="3" s="1"/>
  <c r="AF10" i="3" a="1"/>
  <c r="AF10" i="3" s="1"/>
  <c r="AG10" i="3"/>
  <c r="AD11" i="3" a="1"/>
  <c r="AD11" i="3" s="1"/>
  <c r="AE11" i="3" a="1"/>
  <c r="AE11" i="3" s="1"/>
  <c r="AF11" i="3" a="1"/>
  <c r="AF11" i="3" s="1"/>
  <c r="AG11" i="3"/>
  <c r="AD12" i="3" a="1"/>
  <c r="AD12" i="3" s="1"/>
  <c r="AE12" i="3" a="1"/>
  <c r="AE12" i="3" s="1"/>
  <c r="AF12" i="3" a="1"/>
  <c r="AF12" i="3" s="1"/>
  <c r="AG12" i="3"/>
  <c r="AD13" i="3" a="1"/>
  <c r="AD13" i="3" s="1"/>
  <c r="AE13" i="3" a="1"/>
  <c r="AE13" i="3" s="1"/>
  <c r="AF13" i="3" a="1"/>
  <c r="AF13" i="3" s="1"/>
  <c r="AG13" i="3"/>
  <c r="AD14" i="3" a="1"/>
  <c r="AD14" i="3" s="1"/>
  <c r="AE14" i="3" a="1"/>
  <c r="AE14" i="3" s="1"/>
  <c r="AF14" i="3" a="1"/>
  <c r="AF14" i="3" s="1"/>
  <c r="AG14" i="3"/>
  <c r="AD15" i="3" a="1"/>
  <c r="AD15" i="3" s="1"/>
  <c r="AE15" i="3" a="1"/>
  <c r="AE15" i="3" s="1"/>
  <c r="AF15" i="3" a="1"/>
  <c r="AF15" i="3" s="1"/>
  <c r="AG15" i="3"/>
  <c r="AD16" i="3" a="1"/>
  <c r="AD16" i="3" s="1"/>
  <c r="AE16" i="3" a="1"/>
  <c r="AE16" i="3" s="1"/>
  <c r="AF16" i="3" a="1"/>
  <c r="AF16" i="3" s="1"/>
  <c r="AG16" i="3"/>
  <c r="AD17" i="3" a="1"/>
  <c r="AD17" i="3" s="1"/>
  <c r="AE17" i="3" a="1"/>
  <c r="AE17" i="3" s="1"/>
  <c r="AF17" i="3" a="1"/>
  <c r="AF17" i="3" s="1"/>
  <c r="AG17" i="3"/>
  <c r="AD18" i="3" a="1"/>
  <c r="AD18" i="3" s="1"/>
  <c r="AE18" i="3" a="1"/>
  <c r="AE18" i="3" s="1"/>
  <c r="AF18" i="3" a="1"/>
  <c r="AF18" i="3" s="1"/>
  <c r="AG18" i="3"/>
  <c r="AD19" i="3" a="1"/>
  <c r="AD19" i="3" s="1"/>
  <c r="AE19" i="3" a="1"/>
  <c r="AE19" i="3" s="1"/>
  <c r="AF19" i="3" a="1"/>
  <c r="AF19" i="3" s="1"/>
  <c r="AG19" i="3"/>
  <c r="AD20" i="3" a="1"/>
  <c r="AD20" i="3" s="1"/>
  <c r="AE20" i="3" a="1"/>
  <c r="AE20" i="3" s="1"/>
  <c r="AF20" i="3" a="1"/>
  <c r="AF20" i="3" s="1"/>
  <c r="AG20" i="3"/>
  <c r="AD21" i="3" a="1"/>
  <c r="AD21" i="3" s="1"/>
  <c r="AE21" i="3" a="1"/>
  <c r="AE21" i="3" s="1"/>
  <c r="AF21" i="3" a="1"/>
  <c r="AF21" i="3" s="1"/>
  <c r="AG21" i="3"/>
  <c r="AD22" i="3" a="1"/>
  <c r="AD22" i="3" s="1"/>
  <c r="AE22" i="3" a="1"/>
  <c r="AE22" i="3" s="1"/>
  <c r="AF22" i="3" a="1"/>
  <c r="AF22" i="3" s="1"/>
  <c r="AG22" i="3"/>
  <c r="AD23" i="3" a="1"/>
  <c r="AD23" i="3" s="1"/>
  <c r="AE23" i="3" a="1"/>
  <c r="AE23" i="3" s="1"/>
  <c r="AF23" i="3" a="1"/>
  <c r="AF23" i="3" s="1"/>
  <c r="AG23" i="3"/>
  <c r="AD24" i="3" a="1"/>
  <c r="AD24" i="3" s="1"/>
  <c r="AE24" i="3" a="1"/>
  <c r="AE24" i="3" s="1"/>
  <c r="AF24" i="3" a="1"/>
  <c r="AF24" i="3" s="1"/>
  <c r="AG24" i="3"/>
  <c r="AD25" i="3" a="1"/>
  <c r="AD25" i="3" s="1"/>
  <c r="AE25" i="3" a="1"/>
  <c r="AE25" i="3" s="1"/>
  <c r="AF25" i="3" a="1"/>
  <c r="AF25" i="3" s="1"/>
  <c r="AG25" i="3"/>
  <c r="AD26" i="3" a="1"/>
  <c r="AD26" i="3" s="1"/>
  <c r="AE26" i="3" a="1"/>
  <c r="AE26" i="3" s="1"/>
  <c r="AF26" i="3" a="1"/>
  <c r="AF26" i="3" s="1"/>
  <c r="AG26" i="3"/>
  <c r="AD27" i="3" a="1"/>
  <c r="AD27" i="3" s="1"/>
  <c r="AE27" i="3" a="1"/>
  <c r="AE27" i="3" s="1"/>
  <c r="AF27" i="3" a="1"/>
  <c r="AF27" i="3" s="1"/>
  <c r="AG27" i="3"/>
  <c r="AD28" i="3" a="1"/>
  <c r="AD28" i="3" s="1"/>
  <c r="AE28" i="3" a="1"/>
  <c r="AE28" i="3" s="1"/>
  <c r="AF28" i="3" a="1"/>
  <c r="AF28" i="3" s="1"/>
  <c r="AG28" i="3"/>
  <c r="AD29" i="3" a="1"/>
  <c r="AD29" i="3" s="1"/>
  <c r="AE29" i="3" a="1"/>
  <c r="AE29" i="3" s="1"/>
  <c r="AF29" i="3" a="1"/>
  <c r="AF29" i="3" s="1"/>
  <c r="AG29" i="3"/>
  <c r="AD30" i="3" a="1"/>
  <c r="AD30" i="3" s="1"/>
  <c r="AE30" i="3" a="1"/>
  <c r="AE30" i="3" s="1"/>
  <c r="AF30" i="3" a="1"/>
  <c r="AF30" i="3" s="1"/>
  <c r="AG30" i="3"/>
  <c r="AD31" i="3" a="1"/>
  <c r="AD31" i="3" s="1"/>
  <c r="AE31" i="3" a="1"/>
  <c r="AE31" i="3" s="1"/>
  <c r="AF31" i="3" a="1"/>
  <c r="AF31" i="3" s="1"/>
  <c r="AG31" i="3"/>
  <c r="AD32" i="3" a="1"/>
  <c r="AD32" i="3" s="1"/>
  <c r="AE32" i="3" a="1"/>
  <c r="AE32" i="3" s="1"/>
  <c r="AF32" i="3" a="1"/>
  <c r="AF32" i="3" s="1"/>
  <c r="AG32" i="3"/>
  <c r="AD33" i="3" a="1"/>
  <c r="AD33" i="3" s="1"/>
  <c r="AE33" i="3" a="1"/>
  <c r="AE33" i="3" s="1"/>
  <c r="AF33" i="3" a="1"/>
  <c r="AF33" i="3" s="1"/>
  <c r="AG33" i="3"/>
  <c r="AD34" i="3" a="1"/>
  <c r="AD34" i="3" s="1"/>
  <c r="AE34" i="3" a="1"/>
  <c r="AE34" i="3" s="1"/>
  <c r="AF34" i="3" a="1"/>
  <c r="AF34" i="3" s="1"/>
  <c r="AG34" i="3"/>
  <c r="AD35" i="3" a="1"/>
  <c r="AD35" i="3" s="1"/>
  <c r="AE35" i="3" a="1"/>
  <c r="AE35" i="3" s="1"/>
  <c r="AF35" i="3" a="1"/>
  <c r="AF35" i="3" s="1"/>
  <c r="AG35" i="3"/>
  <c r="AD36" i="3" a="1"/>
  <c r="AD36" i="3" s="1"/>
  <c r="AE36" i="3" a="1"/>
  <c r="AE36" i="3" s="1"/>
  <c r="AF36" i="3" a="1"/>
  <c r="AF36" i="3" s="1"/>
  <c r="AG36" i="3"/>
  <c r="AD37" i="3" a="1"/>
  <c r="AD37" i="3" s="1"/>
  <c r="AE37" i="3" a="1"/>
  <c r="AE37" i="3" s="1"/>
  <c r="AF37" i="3" a="1"/>
  <c r="AF37" i="3" s="1"/>
  <c r="AG37" i="3"/>
  <c r="AD38" i="3" a="1"/>
  <c r="AD38" i="3" s="1"/>
  <c r="AE38" i="3" a="1"/>
  <c r="AE38" i="3" s="1"/>
  <c r="AF38" i="3" a="1"/>
  <c r="AF38" i="3" s="1"/>
  <c r="AG38" i="3"/>
  <c r="AD39" i="3" a="1"/>
  <c r="AD39" i="3" s="1"/>
  <c r="AE39" i="3" a="1"/>
  <c r="AE39" i="3" s="1"/>
  <c r="AF39" i="3" a="1"/>
  <c r="AF39" i="3" s="1"/>
  <c r="AG39" i="3"/>
  <c r="AD40" i="3" a="1"/>
  <c r="AD40" i="3" s="1"/>
  <c r="AE40" i="3" a="1"/>
  <c r="AE40" i="3" s="1"/>
  <c r="AF40" i="3" a="1"/>
  <c r="AF40" i="3" s="1"/>
  <c r="AG40" i="3"/>
  <c r="AD41" i="3" a="1"/>
  <c r="AD41" i="3" s="1"/>
  <c r="AE41" i="3" a="1"/>
  <c r="AE41" i="3" s="1"/>
  <c r="AF41" i="3" a="1"/>
  <c r="AF41" i="3" s="1"/>
  <c r="AG41" i="3"/>
  <c r="AD42" i="3" a="1"/>
  <c r="AD42" i="3" s="1"/>
  <c r="AE42" i="3" a="1"/>
  <c r="AE42" i="3" s="1"/>
  <c r="AF42" i="3" a="1"/>
  <c r="AF42" i="3" s="1"/>
  <c r="AG42" i="3"/>
  <c r="AD43" i="3" a="1"/>
  <c r="AD43" i="3" s="1"/>
  <c r="AE43" i="3" a="1"/>
  <c r="AE43" i="3" s="1"/>
  <c r="AF43" i="3" a="1"/>
  <c r="AF43" i="3" s="1"/>
  <c r="AG43" i="3"/>
  <c r="AD44" i="3" a="1"/>
  <c r="AD44" i="3" s="1"/>
  <c r="AE44" i="3" a="1"/>
  <c r="AE44" i="3" s="1"/>
  <c r="AF44" i="3" a="1"/>
  <c r="AF44" i="3" s="1"/>
  <c r="AG44" i="3"/>
  <c r="AD45" i="3" a="1"/>
  <c r="AD45" i="3" s="1"/>
  <c r="AE45" i="3" a="1"/>
  <c r="AE45" i="3" s="1"/>
  <c r="AF45" i="3" a="1"/>
  <c r="AF45" i="3" s="1"/>
  <c r="AG45" i="3"/>
  <c r="AD46" i="3" a="1"/>
  <c r="AD46" i="3" s="1"/>
  <c r="AE46" i="3" a="1"/>
  <c r="AE46" i="3" s="1"/>
  <c r="AF46" i="3" a="1"/>
  <c r="AF46" i="3" s="1"/>
  <c r="AG46" i="3"/>
  <c r="AD47" i="3" a="1"/>
  <c r="AD47" i="3" s="1"/>
  <c r="AE47" i="3" a="1"/>
  <c r="AE47" i="3" s="1"/>
  <c r="AF47" i="3" a="1"/>
  <c r="AF47" i="3" s="1"/>
  <c r="AG47" i="3"/>
  <c r="AD48" i="3" a="1"/>
  <c r="AD48" i="3" s="1"/>
  <c r="AE48" i="3" a="1"/>
  <c r="AE48" i="3" s="1"/>
  <c r="AF48" i="3" a="1"/>
  <c r="AF48" i="3" s="1"/>
  <c r="AG48" i="3"/>
  <c r="AD49" i="3" a="1"/>
  <c r="AD49" i="3" s="1"/>
  <c r="AE49" i="3" a="1"/>
  <c r="AE49" i="3" s="1"/>
  <c r="AF49" i="3" a="1"/>
  <c r="AF49" i="3" s="1"/>
  <c r="AG49" i="3"/>
  <c r="AD50" i="3" a="1"/>
  <c r="AD50" i="3" s="1"/>
  <c r="AE50" i="3" a="1"/>
  <c r="AE50" i="3" s="1"/>
  <c r="AF50" i="3" a="1"/>
  <c r="AF50" i="3" s="1"/>
  <c r="AG50" i="3"/>
  <c r="AD51" i="3" a="1"/>
  <c r="AD51" i="3" s="1"/>
  <c r="AE51" i="3" a="1"/>
  <c r="AE51" i="3" s="1"/>
  <c r="AF51" i="3" a="1"/>
  <c r="AF51" i="3" s="1"/>
  <c r="AG51" i="3"/>
  <c r="AD52" i="3" a="1"/>
  <c r="AD52" i="3" s="1"/>
  <c r="AE52" i="3" a="1"/>
  <c r="AE52" i="3" s="1"/>
  <c r="AF52" i="3" a="1"/>
  <c r="AF52" i="3" s="1"/>
  <c r="AG52" i="3"/>
  <c r="AD53" i="3" a="1"/>
  <c r="AD53" i="3" s="1"/>
  <c r="AE53" i="3" a="1"/>
  <c r="AE53" i="3" s="1"/>
  <c r="AF53" i="3" a="1"/>
  <c r="AF53" i="3" s="1"/>
  <c r="AG53" i="3"/>
  <c r="AD54" i="3" a="1"/>
  <c r="AD54" i="3" s="1"/>
  <c r="AE54" i="3" a="1"/>
  <c r="AE54" i="3" s="1"/>
  <c r="AF54" i="3" a="1"/>
  <c r="AF54" i="3" s="1"/>
  <c r="AG54" i="3"/>
  <c r="AD55" i="3" a="1"/>
  <c r="AD55" i="3" s="1"/>
  <c r="AE55" i="3" a="1"/>
  <c r="AE55" i="3" s="1"/>
  <c r="AF55" i="3" a="1"/>
  <c r="AF55" i="3" s="1"/>
  <c r="AG55" i="3"/>
  <c r="AD56" i="3" a="1"/>
  <c r="AD56" i="3" s="1"/>
  <c r="AE56" i="3" a="1"/>
  <c r="AE56" i="3" s="1"/>
  <c r="AF56" i="3" a="1"/>
  <c r="AF56" i="3" s="1"/>
  <c r="AG56" i="3"/>
  <c r="AD57" i="3" a="1"/>
  <c r="AD57" i="3" s="1"/>
  <c r="AE57" i="3" a="1"/>
  <c r="AE57" i="3" s="1"/>
  <c r="AF57" i="3" a="1"/>
  <c r="AF57" i="3" s="1"/>
  <c r="AG57" i="3"/>
  <c r="AD58" i="3" a="1"/>
  <c r="AD58" i="3" s="1"/>
  <c r="AE58" i="3" a="1"/>
  <c r="AE58" i="3" s="1"/>
  <c r="AF58" i="3" a="1"/>
  <c r="AF58" i="3" s="1"/>
  <c r="AG58" i="3"/>
  <c r="AD59" i="3" a="1"/>
  <c r="AD59" i="3" s="1"/>
  <c r="AE59" i="3" a="1"/>
  <c r="AE59" i="3" s="1"/>
  <c r="AF59" i="3" a="1"/>
  <c r="AF59" i="3" s="1"/>
  <c r="AG59" i="3"/>
  <c r="AD60" i="3" a="1"/>
  <c r="AD60" i="3" s="1"/>
  <c r="AE60" i="3" a="1"/>
  <c r="AE60" i="3" s="1"/>
  <c r="AF60" i="3" a="1"/>
  <c r="AF60" i="3" s="1"/>
  <c r="AG60" i="3"/>
  <c r="AD61" i="3" a="1"/>
  <c r="AD61" i="3" s="1"/>
  <c r="AE61" i="3" a="1"/>
  <c r="AE61" i="3" s="1"/>
  <c r="AF61" i="3" a="1"/>
  <c r="AF61" i="3" s="1"/>
  <c r="AG61" i="3"/>
  <c r="AD62" i="3" a="1"/>
  <c r="AD62" i="3" s="1"/>
  <c r="AE62" i="3" a="1"/>
  <c r="AE62" i="3" s="1"/>
  <c r="AF62" i="3" a="1"/>
  <c r="AF62" i="3" s="1"/>
  <c r="AG62" i="3"/>
  <c r="AD63" i="3" a="1"/>
  <c r="AD63" i="3" s="1"/>
  <c r="AE63" i="3" a="1"/>
  <c r="AE63" i="3" s="1"/>
  <c r="AF63" i="3" a="1"/>
  <c r="AF63" i="3" s="1"/>
  <c r="AG63" i="3"/>
  <c r="AD64" i="3" a="1"/>
  <c r="AD64" i="3" s="1"/>
  <c r="AE64" i="3" a="1"/>
  <c r="AE64" i="3" s="1"/>
  <c r="AF64" i="3" a="1"/>
  <c r="AF64" i="3" s="1"/>
  <c r="AG64" i="3"/>
  <c r="AD65" i="3" a="1"/>
  <c r="AD65" i="3" s="1"/>
  <c r="AE65" i="3" a="1"/>
  <c r="AE65" i="3" s="1"/>
  <c r="AF65" i="3" a="1"/>
  <c r="AF65" i="3" s="1"/>
  <c r="AG65" i="3"/>
  <c r="AD66" i="3" a="1"/>
  <c r="AD66" i="3" s="1"/>
  <c r="AE66" i="3" a="1"/>
  <c r="AE66" i="3" s="1"/>
  <c r="AF66" i="3" a="1"/>
  <c r="AF66" i="3" s="1"/>
  <c r="AG66" i="3"/>
  <c r="AD67" i="3" a="1"/>
  <c r="AD67" i="3" s="1"/>
  <c r="AE67" i="3" a="1"/>
  <c r="AE67" i="3" s="1"/>
  <c r="AF67" i="3" a="1"/>
  <c r="AF67" i="3" s="1"/>
  <c r="AG67" i="3"/>
  <c r="AD68" i="3" a="1"/>
  <c r="AD68" i="3" s="1"/>
  <c r="AE68" i="3" a="1"/>
  <c r="AE68" i="3" s="1"/>
  <c r="AF68" i="3" a="1"/>
  <c r="AF68" i="3" s="1"/>
  <c r="AG68" i="3"/>
  <c r="AD69" i="3" a="1"/>
  <c r="AD69" i="3" s="1"/>
  <c r="AE69" i="3" a="1"/>
  <c r="AE69" i="3" s="1"/>
  <c r="AF69" i="3" a="1"/>
  <c r="AF69" i="3" s="1"/>
  <c r="AG69" i="3"/>
  <c r="AD70" i="3" a="1"/>
  <c r="AD70" i="3" s="1"/>
  <c r="AE70" i="3" a="1"/>
  <c r="AE70" i="3" s="1"/>
  <c r="AF70" i="3" a="1"/>
  <c r="AF70" i="3" s="1"/>
  <c r="AG70" i="3"/>
  <c r="AD71" i="3" a="1"/>
  <c r="AD71" i="3" s="1"/>
  <c r="AE71" i="3" a="1"/>
  <c r="AE71" i="3" s="1"/>
  <c r="AF71" i="3" a="1"/>
  <c r="AF71" i="3" s="1"/>
  <c r="AG71" i="3"/>
  <c r="AD72" i="3" a="1"/>
  <c r="AD72" i="3" s="1"/>
  <c r="AE72" i="3" a="1"/>
  <c r="AE72" i="3" s="1"/>
  <c r="AF72" i="3" a="1"/>
  <c r="AF72" i="3" s="1"/>
  <c r="AG72" i="3"/>
  <c r="AD73" i="3" a="1"/>
  <c r="AD73" i="3" s="1"/>
  <c r="AE73" i="3" a="1"/>
  <c r="AE73" i="3" s="1"/>
  <c r="AF73" i="3" a="1"/>
  <c r="AF73" i="3" s="1"/>
  <c r="AG73" i="3"/>
  <c r="AD74" i="3" a="1"/>
  <c r="AD74" i="3" s="1"/>
  <c r="AE74" i="3" a="1"/>
  <c r="AE74" i="3" s="1"/>
  <c r="AF74" i="3" a="1"/>
  <c r="AF74" i="3" s="1"/>
  <c r="AG74" i="3"/>
  <c r="AD75" i="3" a="1"/>
  <c r="AD75" i="3" s="1"/>
  <c r="AE75" i="3" a="1"/>
  <c r="AE75" i="3" s="1"/>
  <c r="AF75" i="3" a="1"/>
  <c r="AF75" i="3" s="1"/>
  <c r="AG75" i="3"/>
  <c r="AD76" i="3" a="1"/>
  <c r="AD76" i="3" s="1"/>
  <c r="AE76" i="3" a="1"/>
  <c r="AE76" i="3" s="1"/>
  <c r="AF76" i="3" a="1"/>
  <c r="AF76" i="3" s="1"/>
  <c r="AG76" i="3"/>
  <c r="AD77" i="3" a="1"/>
  <c r="AD77" i="3" s="1"/>
  <c r="AE77" i="3" a="1"/>
  <c r="AE77" i="3" s="1"/>
  <c r="AF77" i="3" a="1"/>
  <c r="AF77" i="3" s="1"/>
  <c r="AG77" i="3"/>
  <c r="AD78" i="3" a="1"/>
  <c r="AD78" i="3" s="1"/>
  <c r="AE78" i="3" a="1"/>
  <c r="AE78" i="3" s="1"/>
  <c r="AF78" i="3" a="1"/>
  <c r="AF78" i="3" s="1"/>
  <c r="AG78" i="3"/>
  <c r="AD79" i="3" a="1"/>
  <c r="AD79" i="3" s="1"/>
  <c r="AE79" i="3" a="1"/>
  <c r="AE79" i="3" s="1"/>
  <c r="AF79" i="3" a="1"/>
  <c r="AF79" i="3" s="1"/>
  <c r="AG79" i="3"/>
  <c r="AD80" i="3" a="1"/>
  <c r="AD80" i="3" s="1"/>
  <c r="AE80" i="3" a="1"/>
  <c r="AE80" i="3" s="1"/>
  <c r="AF80" i="3" a="1"/>
  <c r="AF80" i="3" s="1"/>
  <c r="AG80" i="3"/>
  <c r="AD81" i="3" a="1"/>
  <c r="AD81" i="3" s="1"/>
  <c r="AE81" i="3" a="1"/>
  <c r="AE81" i="3" s="1"/>
  <c r="AF81" i="3" a="1"/>
  <c r="AF81" i="3" s="1"/>
  <c r="AG81" i="3"/>
  <c r="AD82" i="3" a="1"/>
  <c r="AD82" i="3" s="1"/>
  <c r="AE82" i="3" a="1"/>
  <c r="AE82" i="3" s="1"/>
  <c r="AF82" i="3" a="1"/>
  <c r="AF82" i="3" s="1"/>
  <c r="AG82" i="3"/>
  <c r="AD83" i="3" a="1"/>
  <c r="AD83" i="3" s="1"/>
  <c r="AE83" i="3" a="1"/>
  <c r="AE83" i="3" s="1"/>
  <c r="AF83" i="3" a="1"/>
  <c r="AF83" i="3" s="1"/>
  <c r="AG83" i="3"/>
  <c r="AD84" i="3" a="1"/>
  <c r="AD84" i="3" s="1"/>
  <c r="AE84" i="3" a="1"/>
  <c r="AE84" i="3" s="1"/>
  <c r="AF84" i="3" a="1"/>
  <c r="AF84" i="3" s="1"/>
  <c r="AG84" i="3"/>
  <c r="AD85" i="3" a="1"/>
  <c r="AD85" i="3" s="1"/>
  <c r="AE85" i="3" a="1"/>
  <c r="AE85" i="3" s="1"/>
  <c r="AF85" i="3" a="1"/>
  <c r="AF85" i="3" s="1"/>
  <c r="AG85" i="3"/>
  <c r="AD86" i="3" a="1"/>
  <c r="AD86" i="3" s="1"/>
  <c r="AE86" i="3" a="1"/>
  <c r="AE86" i="3" s="1"/>
  <c r="AF86" i="3" a="1"/>
  <c r="AF86" i="3" s="1"/>
  <c r="AG86" i="3"/>
  <c r="AD87" i="3" a="1"/>
  <c r="AD87" i="3" s="1"/>
  <c r="AE87" i="3" a="1"/>
  <c r="AE87" i="3" s="1"/>
  <c r="AF87" i="3" a="1"/>
  <c r="AF87" i="3" s="1"/>
  <c r="AG87" i="3"/>
  <c r="AD88" i="3" a="1"/>
  <c r="AD88" i="3" s="1"/>
  <c r="AE88" i="3" a="1"/>
  <c r="AE88" i="3" s="1"/>
  <c r="AF88" i="3" a="1"/>
  <c r="AF88" i="3" s="1"/>
  <c r="AG88" i="3"/>
  <c r="AD89" i="3" a="1"/>
  <c r="AD89" i="3" s="1"/>
  <c r="AE89" i="3" a="1"/>
  <c r="AE89" i="3" s="1"/>
  <c r="AF89" i="3" a="1"/>
  <c r="AF89" i="3" s="1"/>
  <c r="AG89" i="3"/>
  <c r="AD90" i="3" a="1"/>
  <c r="AD90" i="3" s="1"/>
  <c r="AE90" i="3" a="1"/>
  <c r="AE90" i="3" s="1"/>
  <c r="AF90" i="3" a="1"/>
  <c r="AF90" i="3" s="1"/>
  <c r="AG90" i="3"/>
  <c r="AD91" i="3" a="1"/>
  <c r="AD91" i="3" s="1"/>
  <c r="AE91" i="3" a="1"/>
  <c r="AE91" i="3" s="1"/>
  <c r="AF91" i="3" a="1"/>
  <c r="AF91" i="3" s="1"/>
  <c r="AG91" i="3"/>
  <c r="AD92" i="3" a="1"/>
  <c r="AD92" i="3" s="1"/>
  <c r="AE92" i="3" a="1"/>
  <c r="AE92" i="3" s="1"/>
  <c r="AF92" i="3" a="1"/>
  <c r="AF92" i="3" s="1"/>
  <c r="AG92" i="3"/>
  <c r="AD93" i="3" a="1"/>
  <c r="AD93" i="3" s="1"/>
  <c r="AE93" i="3" a="1"/>
  <c r="AE93" i="3" s="1"/>
  <c r="AF93" i="3" a="1"/>
  <c r="AF93" i="3" s="1"/>
  <c r="AG93" i="3"/>
  <c r="AD94" i="3" a="1"/>
  <c r="AD94" i="3" s="1"/>
  <c r="AE94" i="3" a="1"/>
  <c r="AE94" i="3" s="1"/>
  <c r="AF94" i="3" a="1"/>
  <c r="AF94" i="3" s="1"/>
  <c r="AG94" i="3"/>
  <c r="AD95" i="3" a="1"/>
  <c r="AD95" i="3" s="1"/>
  <c r="AE95" i="3" a="1"/>
  <c r="AE95" i="3" s="1"/>
  <c r="AF95" i="3" a="1"/>
  <c r="AF95" i="3" s="1"/>
  <c r="AG95" i="3"/>
  <c r="AD96" i="3" a="1"/>
  <c r="AD96" i="3" s="1"/>
  <c r="AE96" i="3" a="1"/>
  <c r="AE96" i="3" s="1"/>
  <c r="AF96" i="3" a="1"/>
  <c r="AF96" i="3" s="1"/>
  <c r="AG96" i="3"/>
  <c r="AD97" i="3" a="1"/>
  <c r="AD97" i="3" s="1"/>
  <c r="AE97" i="3" a="1"/>
  <c r="AE97" i="3" s="1"/>
  <c r="AF97" i="3" a="1"/>
  <c r="AF97" i="3" s="1"/>
  <c r="AG97" i="3"/>
  <c r="AD98" i="3" a="1"/>
  <c r="AD98" i="3" s="1"/>
  <c r="AE98" i="3" a="1"/>
  <c r="AE98" i="3" s="1"/>
  <c r="AF98" i="3" a="1"/>
  <c r="AF98" i="3" s="1"/>
  <c r="AG98" i="3"/>
  <c r="AD99" i="3" a="1"/>
  <c r="AD99" i="3" s="1"/>
  <c r="AE99" i="3" a="1"/>
  <c r="AE99" i="3" s="1"/>
  <c r="AF99" i="3" a="1"/>
  <c r="AF99" i="3" s="1"/>
  <c r="AG99" i="3"/>
  <c r="AD100" i="3" a="1"/>
  <c r="AD100" i="3" s="1"/>
  <c r="AE100" i="3" a="1"/>
  <c r="AE100" i="3" s="1"/>
  <c r="AF100" i="3" a="1"/>
  <c r="AF100" i="3" s="1"/>
  <c r="AG100" i="3"/>
  <c r="AD101" i="3" a="1"/>
  <c r="AD101" i="3" s="1"/>
  <c r="AE101" i="3" a="1"/>
  <c r="AE101" i="3" s="1"/>
  <c r="AF101" i="3" a="1"/>
  <c r="AF101" i="3" s="1"/>
  <c r="AG101" i="3"/>
  <c r="AD102" i="3" a="1"/>
  <c r="AD102" i="3" s="1"/>
  <c r="AE102" i="3" a="1"/>
  <c r="AE102" i="3" s="1"/>
  <c r="AF102" i="3" a="1"/>
  <c r="AF102" i="3" s="1"/>
  <c r="AG102" i="3"/>
  <c r="AD103" i="3" a="1"/>
  <c r="AD103" i="3" s="1"/>
  <c r="AE103" i="3" a="1"/>
  <c r="AE103" i="3" s="1"/>
  <c r="AF103" i="3" a="1"/>
  <c r="AF103" i="3" s="1"/>
  <c r="AG103" i="3"/>
  <c r="AD104" i="3" a="1"/>
  <c r="AD104" i="3" s="1"/>
  <c r="AE104" i="3" a="1"/>
  <c r="AE104" i="3" s="1"/>
  <c r="AF104" i="3" a="1"/>
  <c r="AF104" i="3" s="1"/>
  <c r="AG104" i="3"/>
  <c r="AD105" i="3" a="1"/>
  <c r="AD105" i="3" s="1"/>
  <c r="AE105" i="3" a="1"/>
  <c r="AE105" i="3" s="1"/>
  <c r="AF105" i="3" a="1"/>
  <c r="AF105" i="3" s="1"/>
  <c r="AG105" i="3"/>
  <c r="AD106" i="3" a="1"/>
  <c r="AD106" i="3" s="1"/>
  <c r="AE106" i="3" a="1"/>
  <c r="AE106" i="3" s="1"/>
  <c r="AF106" i="3" a="1"/>
  <c r="AF106" i="3" s="1"/>
  <c r="AG106" i="3"/>
  <c r="AD107" i="3" a="1"/>
  <c r="AD107" i="3" s="1"/>
  <c r="AE107" i="3" a="1"/>
  <c r="AE107" i="3" s="1"/>
  <c r="AF107" i="3" a="1"/>
  <c r="AF107" i="3" s="1"/>
  <c r="AG107" i="3"/>
  <c r="AD108" i="3" a="1"/>
  <c r="AD108" i="3" s="1"/>
  <c r="AE108" i="3" a="1"/>
  <c r="AE108" i="3" s="1"/>
  <c r="AF108" i="3" a="1"/>
  <c r="AF108" i="3" s="1"/>
  <c r="AG108" i="3"/>
  <c r="AD109" i="3" a="1"/>
  <c r="AD109" i="3" s="1"/>
  <c r="AE109" i="3" a="1"/>
  <c r="AE109" i="3" s="1"/>
  <c r="AF109" i="3" a="1"/>
  <c r="AF109" i="3" s="1"/>
  <c r="AG109" i="3"/>
  <c r="AD110" i="3" a="1"/>
  <c r="AD110" i="3" s="1"/>
  <c r="AE110" i="3" a="1"/>
  <c r="AE110" i="3" s="1"/>
  <c r="AF110" i="3" a="1"/>
  <c r="AF110" i="3" s="1"/>
  <c r="AG110" i="3"/>
  <c r="AD111" i="3" a="1"/>
  <c r="AD111" i="3" s="1"/>
  <c r="AE111" i="3" a="1"/>
  <c r="AE111" i="3" s="1"/>
  <c r="AF111" i="3" a="1"/>
  <c r="AF111" i="3" s="1"/>
  <c r="AG111" i="3"/>
  <c r="AD112" i="3" a="1"/>
  <c r="AD112" i="3" s="1"/>
  <c r="AE112" i="3" a="1"/>
  <c r="AE112" i="3" s="1"/>
  <c r="AF112" i="3" a="1"/>
  <c r="AF112" i="3" s="1"/>
  <c r="AG112" i="3"/>
  <c r="AD113" i="3" a="1"/>
  <c r="AD113" i="3" s="1"/>
  <c r="AE113" i="3" a="1"/>
  <c r="AE113" i="3" s="1"/>
  <c r="AF113" i="3" a="1"/>
  <c r="AF113" i="3" s="1"/>
  <c r="AG113" i="3"/>
  <c r="AD114" i="3" a="1"/>
  <c r="AD114" i="3" s="1"/>
  <c r="AE114" i="3" a="1"/>
  <c r="AE114" i="3" s="1"/>
  <c r="AF114" i="3" a="1"/>
  <c r="AF114" i="3" s="1"/>
  <c r="AG114" i="3"/>
  <c r="AD115" i="3" a="1"/>
  <c r="AD115" i="3" s="1"/>
  <c r="AE115" i="3" a="1"/>
  <c r="AE115" i="3" s="1"/>
  <c r="AF115" i="3" a="1"/>
  <c r="AF115" i="3" s="1"/>
  <c r="AG115" i="3"/>
  <c r="AD116" i="3" a="1"/>
  <c r="AD116" i="3" s="1"/>
  <c r="AE116" i="3" a="1"/>
  <c r="AE116" i="3" s="1"/>
  <c r="AF116" i="3" a="1"/>
  <c r="AF116" i="3" s="1"/>
  <c r="AG116" i="3"/>
  <c r="AD117" i="3" a="1"/>
  <c r="AD117" i="3" s="1"/>
  <c r="AE117" i="3" a="1"/>
  <c r="AE117" i="3" s="1"/>
  <c r="AF117" i="3" a="1"/>
  <c r="AF117" i="3" s="1"/>
  <c r="AG117" i="3"/>
  <c r="AD118" i="3" a="1"/>
  <c r="AD118" i="3" s="1"/>
  <c r="AE118" i="3" a="1"/>
  <c r="AE118" i="3" s="1"/>
  <c r="AF118" i="3" a="1"/>
  <c r="AF118" i="3" s="1"/>
  <c r="AG118" i="3"/>
  <c r="AD119" i="3" a="1"/>
  <c r="AD119" i="3" s="1"/>
  <c r="AE119" i="3" a="1"/>
  <c r="AE119" i="3" s="1"/>
  <c r="AF119" i="3" a="1"/>
  <c r="AF119" i="3" s="1"/>
  <c r="AG119" i="3"/>
  <c r="AD120" i="3" a="1"/>
  <c r="AD120" i="3" s="1"/>
  <c r="AE120" i="3" a="1"/>
  <c r="AE120" i="3" s="1"/>
  <c r="AF120" i="3" a="1"/>
  <c r="AF120" i="3" s="1"/>
  <c r="AG120" i="3"/>
  <c r="AD121" i="3" a="1"/>
  <c r="AD121" i="3" s="1"/>
  <c r="AE121" i="3" a="1"/>
  <c r="AE121" i="3" s="1"/>
  <c r="AF121" i="3" a="1"/>
  <c r="AF121" i="3" s="1"/>
  <c r="AG121" i="3"/>
  <c r="AD122" i="3" a="1"/>
  <c r="AD122" i="3" s="1"/>
  <c r="AE122" i="3" a="1"/>
  <c r="AE122" i="3" s="1"/>
  <c r="AF122" i="3" a="1"/>
  <c r="AF122" i="3" s="1"/>
  <c r="AG122" i="3"/>
  <c r="AD123" i="3" a="1"/>
  <c r="AD123" i="3" s="1"/>
  <c r="AE123" i="3" a="1"/>
  <c r="AE123" i="3" s="1"/>
  <c r="AF123" i="3" a="1"/>
  <c r="AF123" i="3" s="1"/>
  <c r="AG123" i="3"/>
  <c r="AD124" i="3" a="1"/>
  <c r="AD124" i="3" s="1"/>
  <c r="AE124" i="3" a="1"/>
  <c r="AE124" i="3" s="1"/>
  <c r="AF124" i="3" a="1"/>
  <c r="AF124" i="3" s="1"/>
  <c r="AG124" i="3"/>
  <c r="AD125" i="3" a="1"/>
  <c r="AD125" i="3" s="1"/>
  <c r="AE125" i="3" a="1"/>
  <c r="AE125" i="3" s="1"/>
  <c r="AF125" i="3" a="1"/>
  <c r="AF125" i="3" s="1"/>
  <c r="AG125" i="3"/>
  <c r="AD126" i="3" a="1"/>
  <c r="AD126" i="3" s="1"/>
  <c r="AE126" i="3" a="1"/>
  <c r="AE126" i="3" s="1"/>
  <c r="AF126" i="3" a="1"/>
  <c r="AF126" i="3" s="1"/>
  <c r="AG126" i="3"/>
  <c r="AD127" i="3" a="1"/>
  <c r="AD127" i="3" s="1"/>
  <c r="AE127" i="3" a="1"/>
  <c r="AE127" i="3" s="1"/>
  <c r="AF127" i="3" a="1"/>
  <c r="AF127" i="3" s="1"/>
  <c r="AG127" i="3"/>
  <c r="AD128" i="3" a="1"/>
  <c r="AD128" i="3" s="1"/>
  <c r="AE128" i="3" a="1"/>
  <c r="AE128" i="3" s="1"/>
  <c r="AF128" i="3" a="1"/>
  <c r="AF128" i="3" s="1"/>
  <c r="AG128" i="3"/>
  <c r="AD129" i="3" a="1"/>
  <c r="AD129" i="3" s="1"/>
  <c r="AE129" i="3" a="1"/>
  <c r="AE129" i="3" s="1"/>
  <c r="AF129" i="3" a="1"/>
  <c r="AF129" i="3" s="1"/>
  <c r="AG129" i="3"/>
  <c r="AD130" i="3" a="1"/>
  <c r="AD130" i="3" s="1"/>
  <c r="AE130" i="3" a="1"/>
  <c r="AE130" i="3" s="1"/>
  <c r="AF130" i="3" a="1"/>
  <c r="AF130" i="3" s="1"/>
  <c r="AG130" i="3"/>
  <c r="AD131" i="3" a="1"/>
  <c r="AD131" i="3" s="1"/>
  <c r="AE131" i="3" a="1"/>
  <c r="AE131" i="3" s="1"/>
  <c r="AF131" i="3" a="1"/>
  <c r="AF131" i="3" s="1"/>
  <c r="AG131" i="3"/>
  <c r="AD132" i="3" a="1"/>
  <c r="AD132" i="3" s="1"/>
  <c r="AE132" i="3" a="1"/>
  <c r="AE132" i="3" s="1"/>
  <c r="AF132" i="3" a="1"/>
  <c r="AF132" i="3" s="1"/>
  <c r="AG132" i="3"/>
  <c r="AD133" i="3" a="1"/>
  <c r="AD133" i="3" s="1"/>
  <c r="AE133" i="3" a="1"/>
  <c r="AE133" i="3" s="1"/>
  <c r="AF133" i="3" a="1"/>
  <c r="AF133" i="3" s="1"/>
  <c r="AG133" i="3"/>
  <c r="AD134" i="3" a="1"/>
  <c r="AD134" i="3" s="1"/>
  <c r="AE134" i="3" a="1"/>
  <c r="AE134" i="3" s="1"/>
  <c r="AF134" i="3" a="1"/>
  <c r="AF134" i="3" s="1"/>
  <c r="AG134" i="3"/>
  <c r="AD135" i="3" a="1"/>
  <c r="AD135" i="3" s="1"/>
  <c r="AE135" i="3" a="1"/>
  <c r="AE135" i="3" s="1"/>
  <c r="AF135" i="3" a="1"/>
  <c r="AF135" i="3" s="1"/>
  <c r="AG135" i="3"/>
  <c r="AD136" i="3" a="1"/>
  <c r="AD136" i="3" s="1"/>
  <c r="AE136" i="3" a="1"/>
  <c r="AE136" i="3" s="1"/>
  <c r="AF136" i="3" a="1"/>
  <c r="AF136" i="3" s="1"/>
  <c r="AG136" i="3"/>
  <c r="AD137" i="3" a="1"/>
  <c r="AD137" i="3" s="1"/>
  <c r="AE137" i="3" a="1"/>
  <c r="AE137" i="3" s="1"/>
  <c r="AF137" i="3" a="1"/>
  <c r="AF137" i="3" s="1"/>
  <c r="AG137" i="3"/>
  <c r="AD138" i="3" a="1"/>
  <c r="AD138" i="3" s="1"/>
  <c r="AE138" i="3" a="1"/>
  <c r="AE138" i="3" s="1"/>
  <c r="AF138" i="3" a="1"/>
  <c r="AF138" i="3" s="1"/>
  <c r="AG138" i="3"/>
  <c r="AD139" i="3" a="1"/>
  <c r="AD139" i="3" s="1"/>
  <c r="AE139" i="3" a="1"/>
  <c r="AE139" i="3" s="1"/>
  <c r="AF139" i="3" a="1"/>
  <c r="AF139" i="3" s="1"/>
  <c r="AG139" i="3"/>
  <c r="AD140" i="3" a="1"/>
  <c r="AD140" i="3" s="1"/>
  <c r="AE140" i="3" a="1"/>
  <c r="AE140" i="3" s="1"/>
  <c r="AF140" i="3" a="1"/>
  <c r="AF140" i="3" s="1"/>
  <c r="AG140" i="3"/>
  <c r="AD141" i="3" a="1"/>
  <c r="AD141" i="3" s="1"/>
  <c r="AE141" i="3" a="1"/>
  <c r="AE141" i="3" s="1"/>
  <c r="AF141" i="3" a="1"/>
  <c r="AF141" i="3" s="1"/>
  <c r="AG141" i="3"/>
  <c r="AD142" i="3" a="1"/>
  <c r="AD142" i="3" s="1"/>
  <c r="AE142" i="3" a="1"/>
  <c r="AE142" i="3" s="1"/>
  <c r="AF142" i="3" a="1"/>
  <c r="AF142" i="3" s="1"/>
  <c r="AG142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AJ8" i="3" l="1"/>
  <c r="AE10" i="2" l="1"/>
  <c r="AE11" i="2"/>
  <c r="AE12" i="2"/>
  <c r="AE13" i="2"/>
  <c r="AE14" i="2"/>
  <c r="AE15" i="2"/>
  <c r="AE16" i="2"/>
  <c r="AE17" i="2"/>
  <c r="AE18" i="2"/>
  <c r="AE19" i="2"/>
  <c r="AE20" i="2"/>
  <c r="AE21" i="2"/>
  <c r="AE22" i="2"/>
  <c r="AE24" i="2"/>
  <c r="AE23" i="2"/>
  <c r="AE25" i="2"/>
  <c r="AE26" i="2"/>
  <c r="AE27" i="2"/>
  <c r="AE28" i="2"/>
  <c r="AE29" i="2"/>
  <c r="AE30" i="2"/>
  <c r="AE31" i="2"/>
  <c r="AE32" i="2"/>
  <c r="AE33" i="2"/>
  <c r="AE34" i="2"/>
  <c r="AE35" i="2"/>
  <c r="AE8" i="2" l="1"/>
  <c r="P35" i="2"/>
  <c r="O35" i="2" a="1"/>
  <c r="O35" i="2" s="1"/>
  <c r="N35" i="2" a="1"/>
  <c r="N35" i="2" s="1"/>
  <c r="P34" i="2"/>
  <c r="O34" i="2" a="1"/>
  <c r="O34" i="2" s="1"/>
  <c r="N34" i="2" a="1"/>
  <c r="N34" i="2" s="1"/>
  <c r="P33" i="2"/>
  <c r="O33" i="2" a="1"/>
  <c r="O33" i="2" s="1"/>
  <c r="N33" i="2" a="1"/>
  <c r="N33" i="2" s="1"/>
  <c r="P32" i="2"/>
  <c r="O32" i="2" a="1"/>
  <c r="O32" i="2" s="1"/>
  <c r="N32" i="2" a="1"/>
  <c r="N32" i="2" s="1"/>
  <c r="P31" i="2"/>
  <c r="O31" i="2" a="1"/>
  <c r="O31" i="2" s="1"/>
  <c r="N31" i="2" a="1"/>
  <c r="N31" i="2" s="1"/>
  <c r="P30" i="2"/>
  <c r="O30" i="2" a="1"/>
  <c r="O30" i="2" s="1"/>
  <c r="N30" i="2" a="1"/>
  <c r="N30" i="2" s="1"/>
  <c r="P29" i="2"/>
  <c r="O29" i="2" a="1"/>
  <c r="O29" i="2" s="1"/>
  <c r="N29" i="2" a="1"/>
  <c r="N29" i="2" s="1"/>
  <c r="P28" i="2"/>
  <c r="O28" i="2" a="1"/>
  <c r="O28" i="2" s="1"/>
  <c r="N28" i="2" a="1"/>
  <c r="N28" i="2" s="1"/>
  <c r="P27" i="2"/>
  <c r="O27" i="2" a="1"/>
  <c r="O27" i="2" s="1"/>
  <c r="N27" i="2" a="1"/>
  <c r="N27" i="2" s="1"/>
  <c r="P26" i="2"/>
  <c r="O26" i="2" a="1"/>
  <c r="O26" i="2" s="1"/>
  <c r="N26" i="2" a="1"/>
  <c r="N26" i="2" s="1"/>
  <c r="P25" i="2"/>
  <c r="O25" i="2" a="1"/>
  <c r="O25" i="2" s="1"/>
  <c r="N25" i="2" a="1"/>
  <c r="N25" i="2" s="1"/>
  <c r="O23" i="2" a="1"/>
  <c r="O23" i="2" s="1"/>
  <c r="N23" i="2" a="1"/>
  <c r="N23" i="2" s="1"/>
  <c r="L23" i="2"/>
  <c r="P24" i="2"/>
  <c r="O24" i="2" a="1"/>
  <c r="O24" i="2" s="1"/>
  <c r="N24" i="2" a="1"/>
  <c r="N24" i="2" s="1"/>
  <c r="P22" i="2"/>
  <c r="L22" i="2"/>
  <c r="P21" i="2"/>
  <c r="L21" i="2"/>
  <c r="P20" i="2"/>
  <c r="L20" i="2"/>
  <c r="P19" i="2"/>
  <c r="L19" i="2"/>
  <c r="P18" i="2"/>
  <c r="L18" i="2"/>
  <c r="P17" i="2"/>
  <c r="L17" i="2"/>
  <c r="P16" i="2"/>
  <c r="L16" i="2"/>
  <c r="P15" i="2"/>
  <c r="L15" i="2"/>
  <c r="P14" i="2"/>
  <c r="L14" i="2"/>
  <c r="P13" i="2"/>
  <c r="L13" i="2"/>
  <c r="P12" i="2"/>
  <c r="L12" i="2"/>
  <c r="P11" i="2"/>
  <c r="L11" i="2"/>
  <c r="P10" i="2"/>
  <c r="L10" i="2"/>
  <c r="K563" i="23"/>
  <c r="L563" i="23" s="1"/>
  <c r="K562" i="23"/>
  <c r="L562" i="23" s="1"/>
  <c r="K561" i="23"/>
  <c r="L561" i="23" s="1"/>
  <c r="K560" i="23"/>
  <c r="L560" i="23" s="1"/>
  <c r="K559" i="23"/>
  <c r="L559" i="23" s="1"/>
  <c r="K558" i="23"/>
  <c r="L558" i="23" s="1"/>
  <c r="K557" i="23"/>
  <c r="L557" i="23" s="1"/>
  <c r="K556" i="23"/>
  <c r="L556" i="23" s="1"/>
  <c r="K555" i="23"/>
  <c r="L555" i="23" s="1"/>
  <c r="K554" i="23"/>
  <c r="L554" i="23" s="1"/>
  <c r="K553" i="23"/>
  <c r="L553" i="23" s="1"/>
  <c r="K552" i="23"/>
  <c r="L552" i="23" s="1"/>
  <c r="K551" i="23"/>
  <c r="L551" i="23" s="1"/>
  <c r="K550" i="23"/>
  <c r="L550" i="23" s="1"/>
  <c r="K549" i="23"/>
  <c r="L549" i="23" s="1"/>
  <c r="K548" i="23"/>
  <c r="L548" i="23" s="1"/>
  <c r="K547" i="23"/>
  <c r="L547" i="23" s="1"/>
  <c r="K546" i="23"/>
  <c r="L546" i="23" s="1"/>
  <c r="K545" i="23"/>
  <c r="L545" i="23" s="1"/>
  <c r="K544" i="23"/>
  <c r="L544" i="23" s="1"/>
  <c r="K543" i="23"/>
  <c r="L543" i="23" s="1"/>
  <c r="K542" i="23"/>
  <c r="L542" i="23" s="1"/>
  <c r="K541" i="23"/>
  <c r="L541" i="23" s="1"/>
  <c r="K540" i="23"/>
  <c r="L540" i="23" s="1"/>
  <c r="K539" i="23"/>
  <c r="L539" i="23" s="1"/>
  <c r="K538" i="23"/>
  <c r="L538" i="23" s="1"/>
  <c r="K537" i="23"/>
  <c r="L537" i="23" s="1"/>
  <c r="K536" i="23"/>
  <c r="L536" i="23" s="1"/>
  <c r="K535" i="23"/>
  <c r="L535" i="23" s="1"/>
  <c r="K534" i="23"/>
  <c r="L534" i="23" s="1"/>
  <c r="K533" i="23"/>
  <c r="L533" i="23" s="1"/>
  <c r="K532" i="23"/>
  <c r="L532" i="23" s="1"/>
  <c r="K531" i="23"/>
  <c r="L531" i="23" s="1"/>
  <c r="K530" i="23"/>
  <c r="L530" i="23" s="1"/>
  <c r="K529" i="23"/>
  <c r="L529" i="23" s="1"/>
  <c r="K528" i="23"/>
  <c r="L528" i="23" s="1"/>
  <c r="K527" i="23"/>
  <c r="L527" i="23" s="1"/>
  <c r="K526" i="23"/>
  <c r="L526" i="23" s="1"/>
  <c r="K525" i="23"/>
  <c r="L525" i="23" s="1"/>
  <c r="K524" i="23"/>
  <c r="L524" i="23" s="1"/>
  <c r="K523" i="23"/>
  <c r="L523" i="23" s="1"/>
  <c r="K522" i="23"/>
  <c r="L522" i="23" s="1"/>
  <c r="K521" i="23"/>
  <c r="L521" i="23" s="1"/>
  <c r="K520" i="23"/>
  <c r="L520" i="23" s="1"/>
  <c r="K519" i="23"/>
  <c r="L519" i="23" s="1"/>
  <c r="K518" i="23"/>
  <c r="L518" i="23" s="1"/>
  <c r="K517" i="23"/>
  <c r="L517" i="23" s="1"/>
  <c r="K516" i="23"/>
  <c r="L516" i="23" s="1"/>
  <c r="K515" i="23"/>
  <c r="L515" i="23" s="1"/>
  <c r="K514" i="23"/>
  <c r="L514" i="23" s="1"/>
  <c r="K513" i="23"/>
  <c r="L513" i="23" s="1"/>
  <c r="K512" i="23"/>
  <c r="L512" i="23" s="1"/>
  <c r="K511" i="23"/>
  <c r="L511" i="23" s="1"/>
  <c r="K510" i="23"/>
  <c r="L510" i="23" s="1"/>
  <c r="K509" i="23"/>
  <c r="L509" i="23" s="1"/>
  <c r="K508" i="23"/>
  <c r="L508" i="23" s="1"/>
  <c r="K507" i="23"/>
  <c r="L507" i="23" s="1"/>
  <c r="K506" i="23"/>
  <c r="L506" i="23" s="1"/>
  <c r="K505" i="23"/>
  <c r="L505" i="23" s="1"/>
  <c r="K504" i="23"/>
  <c r="L504" i="23" s="1"/>
  <c r="K503" i="23"/>
  <c r="L503" i="23" s="1"/>
  <c r="K502" i="23"/>
  <c r="L502" i="23" s="1"/>
  <c r="K501" i="23"/>
  <c r="L501" i="23" s="1"/>
  <c r="K500" i="23"/>
  <c r="L500" i="23" s="1"/>
  <c r="K499" i="23"/>
  <c r="L499" i="23" s="1"/>
  <c r="K498" i="23"/>
  <c r="L498" i="23" s="1"/>
  <c r="K497" i="23"/>
  <c r="L497" i="23" s="1"/>
  <c r="K496" i="23"/>
  <c r="L496" i="23" s="1"/>
  <c r="K495" i="23"/>
  <c r="L495" i="23" s="1"/>
  <c r="K494" i="23"/>
  <c r="L494" i="23" s="1"/>
  <c r="K493" i="23"/>
  <c r="L493" i="23" s="1"/>
  <c r="K492" i="23"/>
  <c r="L492" i="23" s="1"/>
  <c r="K491" i="23"/>
  <c r="L491" i="23" s="1"/>
  <c r="K490" i="23"/>
  <c r="L490" i="23" s="1"/>
  <c r="K489" i="23"/>
  <c r="L489" i="23" s="1"/>
  <c r="K488" i="23"/>
  <c r="L488" i="23" s="1"/>
  <c r="K487" i="23"/>
  <c r="L487" i="23" s="1"/>
  <c r="K486" i="23"/>
  <c r="L486" i="23" s="1"/>
  <c r="K485" i="23"/>
  <c r="L485" i="23" s="1"/>
  <c r="K484" i="23"/>
  <c r="L484" i="23" s="1"/>
  <c r="K483" i="23"/>
  <c r="L483" i="23" s="1"/>
  <c r="K482" i="23"/>
  <c r="L482" i="23" s="1"/>
  <c r="K481" i="23"/>
  <c r="L481" i="23" s="1"/>
  <c r="K480" i="23"/>
  <c r="L480" i="23" s="1"/>
  <c r="K479" i="23"/>
  <c r="L479" i="23" s="1"/>
  <c r="K478" i="23"/>
  <c r="L478" i="23" s="1"/>
  <c r="K477" i="23"/>
  <c r="L477" i="23" s="1"/>
  <c r="K476" i="23"/>
  <c r="L476" i="23" s="1"/>
  <c r="K475" i="23"/>
  <c r="L475" i="23" s="1"/>
  <c r="K474" i="23"/>
  <c r="L474" i="23" s="1"/>
  <c r="K473" i="23"/>
  <c r="L473" i="23" s="1"/>
  <c r="K472" i="23"/>
  <c r="L472" i="23" s="1"/>
  <c r="K471" i="23"/>
  <c r="L471" i="23" s="1"/>
  <c r="K470" i="23"/>
  <c r="L470" i="23" s="1"/>
  <c r="K469" i="23"/>
  <c r="L469" i="23" s="1"/>
  <c r="K468" i="23"/>
  <c r="L468" i="23" s="1"/>
  <c r="K467" i="23"/>
  <c r="L467" i="23" s="1"/>
  <c r="K466" i="23"/>
  <c r="L466" i="23" s="1"/>
  <c r="K465" i="23"/>
  <c r="L465" i="23" s="1"/>
  <c r="K464" i="23"/>
  <c r="L464" i="23" s="1"/>
  <c r="K463" i="23"/>
  <c r="L463" i="23" s="1"/>
  <c r="K462" i="23"/>
  <c r="L462" i="23" s="1"/>
  <c r="K461" i="23"/>
  <c r="L461" i="23" s="1"/>
  <c r="K460" i="23"/>
  <c r="L460" i="23" s="1"/>
  <c r="K459" i="23"/>
  <c r="L459" i="23" s="1"/>
  <c r="K458" i="23"/>
  <c r="L458" i="23" s="1"/>
  <c r="K457" i="23"/>
  <c r="L457" i="23" s="1"/>
  <c r="K456" i="23"/>
  <c r="L456" i="23" s="1"/>
  <c r="K455" i="23"/>
  <c r="L455" i="23" s="1"/>
  <c r="K454" i="23"/>
  <c r="L454" i="23" s="1"/>
  <c r="K453" i="23"/>
  <c r="L453" i="23" s="1"/>
  <c r="K452" i="23"/>
  <c r="L452" i="23" s="1"/>
  <c r="K451" i="23"/>
  <c r="L451" i="23" s="1"/>
  <c r="K450" i="23"/>
  <c r="L450" i="23" s="1"/>
  <c r="K449" i="23"/>
  <c r="L449" i="23" s="1"/>
  <c r="K448" i="23"/>
  <c r="L448" i="23" s="1"/>
  <c r="K447" i="23"/>
  <c r="L447" i="23" s="1"/>
  <c r="K446" i="23"/>
  <c r="L446" i="23" s="1"/>
  <c r="K445" i="23"/>
  <c r="L445" i="23" s="1"/>
  <c r="K444" i="23"/>
  <c r="L444" i="23" s="1"/>
  <c r="K443" i="23"/>
  <c r="L443" i="23" s="1"/>
  <c r="K442" i="23"/>
  <c r="L442" i="23" s="1"/>
  <c r="K441" i="23"/>
  <c r="L441" i="23" s="1"/>
  <c r="K440" i="23"/>
  <c r="L440" i="23" s="1"/>
  <c r="K439" i="23"/>
  <c r="L439" i="23" s="1"/>
  <c r="K438" i="23"/>
  <c r="L438" i="23" s="1"/>
  <c r="K437" i="23"/>
  <c r="L437" i="23" s="1"/>
  <c r="K436" i="23"/>
  <c r="L436" i="23" s="1"/>
  <c r="K435" i="23"/>
  <c r="L435" i="23" s="1"/>
  <c r="K434" i="23"/>
  <c r="L434" i="23" s="1"/>
  <c r="K433" i="23"/>
  <c r="L433" i="23" s="1"/>
  <c r="K432" i="23"/>
  <c r="L432" i="23" s="1"/>
  <c r="K431" i="23"/>
  <c r="L431" i="23" s="1"/>
  <c r="K430" i="23"/>
  <c r="L430" i="23" s="1"/>
  <c r="K429" i="23"/>
  <c r="L429" i="23" s="1"/>
  <c r="K428" i="23"/>
  <c r="L428" i="23" s="1"/>
  <c r="K427" i="23"/>
  <c r="L427" i="23" s="1"/>
  <c r="K426" i="23"/>
  <c r="L426" i="23" s="1"/>
  <c r="K425" i="23"/>
  <c r="L425" i="23" s="1"/>
  <c r="K424" i="23"/>
  <c r="L424" i="23" s="1"/>
  <c r="K423" i="23"/>
  <c r="L423" i="23" s="1"/>
  <c r="K422" i="23"/>
  <c r="L422" i="23" s="1"/>
  <c r="K421" i="23"/>
  <c r="L421" i="23" s="1"/>
  <c r="K420" i="23"/>
  <c r="L420" i="23" s="1"/>
  <c r="K419" i="23"/>
  <c r="L419" i="23" s="1"/>
  <c r="K418" i="23"/>
  <c r="L418" i="23" s="1"/>
  <c r="K417" i="23"/>
  <c r="L417" i="23" s="1"/>
  <c r="K416" i="23"/>
  <c r="L416" i="23" s="1"/>
  <c r="K415" i="23"/>
  <c r="L415" i="23" s="1"/>
  <c r="K414" i="23"/>
  <c r="L414" i="23" s="1"/>
  <c r="K413" i="23"/>
  <c r="L413" i="23" s="1"/>
  <c r="K412" i="23"/>
  <c r="L412" i="23" s="1"/>
  <c r="K411" i="23"/>
  <c r="L411" i="23" s="1"/>
  <c r="K410" i="23"/>
  <c r="L410" i="23" s="1"/>
  <c r="K409" i="23"/>
  <c r="L409" i="23" s="1"/>
  <c r="K408" i="23"/>
  <c r="L408" i="23" s="1"/>
  <c r="K407" i="23"/>
  <c r="L407" i="23" s="1"/>
  <c r="K406" i="23"/>
  <c r="L406" i="23" s="1"/>
  <c r="K405" i="23"/>
  <c r="L405" i="23" s="1"/>
  <c r="K404" i="23"/>
  <c r="L404" i="23" s="1"/>
  <c r="K403" i="23"/>
  <c r="L403" i="23" s="1"/>
  <c r="K402" i="23"/>
  <c r="L402" i="23" s="1"/>
  <c r="K401" i="23"/>
  <c r="L401" i="23" s="1"/>
  <c r="K400" i="23"/>
  <c r="L400" i="23" s="1"/>
  <c r="K399" i="23"/>
  <c r="L399" i="23" s="1"/>
  <c r="K398" i="23"/>
  <c r="L398" i="23" s="1"/>
  <c r="K397" i="23"/>
  <c r="L397" i="23" s="1"/>
  <c r="K396" i="23"/>
  <c r="L396" i="23" s="1"/>
  <c r="K395" i="23"/>
  <c r="L395" i="23" s="1"/>
  <c r="K394" i="23"/>
  <c r="L394" i="23" s="1"/>
  <c r="K393" i="23"/>
  <c r="L393" i="23" s="1"/>
  <c r="K392" i="23"/>
  <c r="L392" i="23" s="1"/>
  <c r="K391" i="23"/>
  <c r="L391" i="23" s="1"/>
  <c r="K390" i="23"/>
  <c r="L390" i="23" s="1"/>
  <c r="K389" i="23"/>
  <c r="L389" i="23" s="1"/>
  <c r="K388" i="23"/>
  <c r="L388" i="23" s="1"/>
  <c r="K387" i="23"/>
  <c r="L387" i="23" s="1"/>
  <c r="K386" i="23"/>
  <c r="L386" i="23" s="1"/>
  <c r="K385" i="23"/>
  <c r="L385" i="23" s="1"/>
  <c r="K384" i="23"/>
  <c r="L384" i="23" s="1"/>
  <c r="K383" i="23"/>
  <c r="L383" i="23" s="1"/>
  <c r="K382" i="23"/>
  <c r="L382" i="23" s="1"/>
  <c r="K381" i="23"/>
  <c r="L381" i="23" s="1"/>
  <c r="K380" i="23"/>
  <c r="L380" i="23" s="1"/>
  <c r="K379" i="23"/>
  <c r="L379" i="23" s="1"/>
  <c r="K378" i="23"/>
  <c r="L378" i="23" s="1"/>
  <c r="K377" i="23"/>
  <c r="L377" i="23" s="1"/>
  <c r="K376" i="23"/>
  <c r="L376" i="23" s="1"/>
  <c r="K375" i="23"/>
  <c r="L375" i="23" s="1"/>
  <c r="K374" i="23"/>
  <c r="L374" i="23" s="1"/>
  <c r="K373" i="23"/>
  <c r="L373" i="23" s="1"/>
  <c r="K372" i="23"/>
  <c r="L372" i="23" s="1"/>
  <c r="K371" i="23"/>
  <c r="L371" i="23" s="1"/>
  <c r="K370" i="23"/>
  <c r="L370" i="23" s="1"/>
  <c r="K369" i="23"/>
  <c r="L369" i="23" s="1"/>
  <c r="K368" i="23"/>
  <c r="L368" i="23" s="1"/>
  <c r="K367" i="23"/>
  <c r="L367" i="23" s="1"/>
  <c r="K366" i="23"/>
  <c r="L366" i="23" s="1"/>
  <c r="K365" i="23"/>
  <c r="L365" i="23" s="1"/>
  <c r="K364" i="23"/>
  <c r="L364" i="23" s="1"/>
  <c r="K363" i="23"/>
  <c r="L363" i="23" s="1"/>
  <c r="K362" i="23"/>
  <c r="L362" i="23" s="1"/>
  <c r="K361" i="23"/>
  <c r="L361" i="23" s="1"/>
  <c r="K360" i="23"/>
  <c r="L360" i="23" s="1"/>
  <c r="K359" i="23"/>
  <c r="L359" i="23" s="1"/>
  <c r="K358" i="23"/>
  <c r="L358" i="23" s="1"/>
  <c r="K357" i="23"/>
  <c r="L357" i="23" s="1"/>
  <c r="K356" i="23"/>
  <c r="L356" i="23" s="1"/>
  <c r="K355" i="23"/>
  <c r="L355" i="23" s="1"/>
  <c r="K354" i="23"/>
  <c r="L354" i="23" s="1"/>
  <c r="K353" i="23"/>
  <c r="L353" i="23" s="1"/>
  <c r="K352" i="23"/>
  <c r="L352" i="23" s="1"/>
  <c r="K351" i="23"/>
  <c r="L351" i="23" s="1"/>
  <c r="K350" i="23"/>
  <c r="L350" i="23" s="1"/>
  <c r="K349" i="23"/>
  <c r="L349" i="23" s="1"/>
  <c r="K348" i="23"/>
  <c r="L348" i="23" s="1"/>
  <c r="K347" i="23"/>
  <c r="L347" i="23" s="1"/>
  <c r="K346" i="23"/>
  <c r="L346" i="23" s="1"/>
  <c r="K345" i="23"/>
  <c r="L345" i="23" s="1"/>
  <c r="K344" i="23"/>
  <c r="L344" i="23" s="1"/>
  <c r="K343" i="23"/>
  <c r="L343" i="23" s="1"/>
  <c r="K342" i="23"/>
  <c r="L342" i="23" s="1"/>
  <c r="K341" i="23"/>
  <c r="L341" i="23" s="1"/>
  <c r="K340" i="23"/>
  <c r="L340" i="23" s="1"/>
  <c r="K339" i="23"/>
  <c r="L339" i="23" s="1"/>
  <c r="K338" i="23"/>
  <c r="L338" i="23" s="1"/>
  <c r="K337" i="23"/>
  <c r="L337" i="23" s="1"/>
  <c r="K336" i="23"/>
  <c r="L336" i="23" s="1"/>
  <c r="K335" i="23"/>
  <c r="L335" i="23" s="1"/>
  <c r="K334" i="23"/>
  <c r="L334" i="23" s="1"/>
  <c r="K333" i="23"/>
  <c r="L333" i="23" s="1"/>
  <c r="K332" i="23"/>
  <c r="L332" i="23" s="1"/>
  <c r="K331" i="23"/>
  <c r="L331" i="23" s="1"/>
  <c r="K330" i="23"/>
  <c r="L330" i="23" s="1"/>
  <c r="K329" i="23"/>
  <c r="L329" i="23" s="1"/>
  <c r="K328" i="23"/>
  <c r="L328" i="23" s="1"/>
  <c r="K327" i="23"/>
  <c r="L327" i="23" s="1"/>
  <c r="K326" i="23"/>
  <c r="L326" i="23" s="1"/>
  <c r="K325" i="23"/>
  <c r="L325" i="23" s="1"/>
  <c r="K324" i="23"/>
  <c r="L324" i="23" s="1"/>
  <c r="K323" i="23"/>
  <c r="L323" i="23" s="1"/>
  <c r="K322" i="23"/>
  <c r="L322" i="23" s="1"/>
  <c r="K321" i="23"/>
  <c r="L321" i="23" s="1"/>
  <c r="K320" i="23"/>
  <c r="L320" i="23" s="1"/>
  <c r="K319" i="23"/>
  <c r="L319" i="23" s="1"/>
  <c r="K318" i="23"/>
  <c r="L318" i="23" s="1"/>
  <c r="K317" i="23"/>
  <c r="L317" i="23" s="1"/>
  <c r="K316" i="23"/>
  <c r="L316" i="23" s="1"/>
  <c r="K315" i="23"/>
  <c r="L315" i="23" s="1"/>
  <c r="K314" i="23"/>
  <c r="L314" i="23" s="1"/>
  <c r="K313" i="23"/>
  <c r="L313" i="23" s="1"/>
  <c r="K312" i="23"/>
  <c r="L312" i="23" s="1"/>
  <c r="K311" i="23"/>
  <c r="L311" i="23" s="1"/>
  <c r="K310" i="23"/>
  <c r="L310" i="23" s="1"/>
  <c r="K309" i="23"/>
  <c r="L309" i="23" s="1"/>
  <c r="K308" i="23"/>
  <c r="L308" i="23" s="1"/>
  <c r="K307" i="23"/>
  <c r="L307" i="23" s="1"/>
  <c r="K306" i="23"/>
  <c r="L306" i="23" s="1"/>
  <c r="K305" i="23"/>
  <c r="L305" i="23" s="1"/>
  <c r="K304" i="23"/>
  <c r="L304" i="23" s="1"/>
  <c r="K303" i="23"/>
  <c r="L303" i="23" s="1"/>
  <c r="K302" i="23"/>
  <c r="L302" i="23" s="1"/>
  <c r="K301" i="23"/>
  <c r="L301" i="23" s="1"/>
  <c r="K300" i="23"/>
  <c r="L300" i="23" s="1"/>
  <c r="K299" i="23"/>
  <c r="L299" i="23" s="1"/>
  <c r="K298" i="23"/>
  <c r="L298" i="23" s="1"/>
  <c r="K297" i="23"/>
  <c r="L297" i="23" s="1"/>
  <c r="J296" i="23"/>
  <c r="K296" i="23" s="1"/>
  <c r="J295" i="23"/>
  <c r="K295" i="23" s="1"/>
  <c r="J294" i="23"/>
  <c r="K294" i="23" s="1"/>
  <c r="J293" i="23"/>
  <c r="K293" i="23" s="1"/>
  <c r="J292" i="23"/>
  <c r="K292" i="23" s="1"/>
  <c r="J291" i="23"/>
  <c r="K291" i="23" s="1"/>
  <c r="J290" i="23"/>
  <c r="K290" i="23" s="1"/>
  <c r="J289" i="23"/>
  <c r="K289" i="23" s="1"/>
  <c r="J288" i="23"/>
  <c r="K288" i="23" s="1"/>
  <c r="J287" i="23"/>
  <c r="K287" i="23" s="1"/>
  <c r="J286" i="23"/>
  <c r="K286" i="23" s="1"/>
  <c r="J285" i="23"/>
  <c r="K285" i="23" s="1"/>
  <c r="J284" i="23"/>
  <c r="K284" i="23" s="1"/>
  <c r="J283" i="23"/>
  <c r="K283" i="23" s="1"/>
  <c r="J282" i="23"/>
  <c r="K282" i="23" s="1"/>
  <c r="J281" i="23"/>
  <c r="K281" i="23" s="1"/>
  <c r="J280" i="23"/>
  <c r="K280" i="23" s="1"/>
  <c r="J279" i="23"/>
  <c r="K279" i="23" s="1"/>
  <c r="J278" i="23"/>
  <c r="K278" i="23" s="1"/>
  <c r="J277" i="23"/>
  <c r="K277" i="23" s="1"/>
  <c r="J276" i="23"/>
  <c r="K276" i="23" s="1"/>
  <c r="J275" i="23"/>
  <c r="K275" i="23" s="1"/>
  <c r="J274" i="23"/>
  <c r="K274" i="23" s="1"/>
  <c r="J273" i="23"/>
  <c r="K273" i="23" s="1"/>
  <c r="J272" i="23"/>
  <c r="K272" i="23" s="1"/>
  <c r="J271" i="23"/>
  <c r="K271" i="23" s="1"/>
  <c r="J270" i="23"/>
  <c r="K270" i="23" s="1"/>
  <c r="J269" i="23"/>
  <c r="K269" i="23" s="1"/>
  <c r="J268" i="23"/>
  <c r="K268" i="23" s="1"/>
  <c r="J267" i="23"/>
  <c r="K267" i="23" s="1"/>
  <c r="J266" i="23"/>
  <c r="K266" i="23" s="1"/>
  <c r="J265" i="23"/>
  <c r="K265" i="23" s="1"/>
  <c r="J264" i="23"/>
  <c r="K264" i="23" s="1"/>
  <c r="J263" i="23"/>
  <c r="K263" i="23" s="1"/>
  <c r="J262" i="23"/>
  <c r="K262" i="23" s="1"/>
  <c r="J261" i="23"/>
  <c r="K261" i="23" s="1"/>
  <c r="J260" i="23"/>
  <c r="K260" i="23" s="1"/>
  <c r="J259" i="23"/>
  <c r="K259" i="23" s="1"/>
  <c r="J258" i="23"/>
  <c r="K258" i="23" s="1"/>
  <c r="J257" i="23"/>
  <c r="K257" i="23" s="1"/>
  <c r="J256" i="23"/>
  <c r="K256" i="23" s="1"/>
  <c r="J255" i="23"/>
  <c r="K255" i="23" s="1"/>
  <c r="J254" i="23"/>
  <c r="K254" i="23" s="1"/>
  <c r="J253" i="23"/>
  <c r="K253" i="23" s="1"/>
  <c r="J252" i="23"/>
  <c r="K252" i="23" s="1"/>
  <c r="J251" i="23"/>
  <c r="K251" i="23" s="1"/>
  <c r="J250" i="23"/>
  <c r="K250" i="23" s="1"/>
  <c r="J249" i="23"/>
  <c r="K249" i="23" s="1"/>
  <c r="J248" i="23"/>
  <c r="K248" i="23" s="1"/>
  <c r="J247" i="23"/>
  <c r="K247" i="23" s="1"/>
  <c r="J246" i="23"/>
  <c r="K246" i="23" s="1"/>
  <c r="J245" i="23"/>
  <c r="K245" i="23" s="1"/>
  <c r="J244" i="23"/>
  <c r="K244" i="23" s="1"/>
  <c r="J243" i="23"/>
  <c r="K243" i="23" s="1"/>
  <c r="J242" i="23"/>
  <c r="K242" i="23" s="1"/>
  <c r="J241" i="23"/>
  <c r="K241" i="23" s="1"/>
  <c r="J240" i="23"/>
  <c r="K240" i="23" s="1"/>
  <c r="J239" i="23"/>
  <c r="K239" i="23" s="1"/>
  <c r="J238" i="23"/>
  <c r="K238" i="23" s="1"/>
  <c r="J237" i="23"/>
  <c r="K237" i="23" s="1"/>
  <c r="J236" i="23"/>
  <c r="K236" i="23" s="1"/>
  <c r="J235" i="23"/>
  <c r="K235" i="23" s="1"/>
  <c r="J234" i="23"/>
  <c r="K234" i="23" s="1"/>
  <c r="J233" i="23"/>
  <c r="K233" i="23" s="1"/>
  <c r="J232" i="23"/>
  <c r="K232" i="23" s="1"/>
  <c r="J231" i="23"/>
  <c r="K231" i="23" s="1"/>
  <c r="J230" i="23"/>
  <c r="K230" i="23" s="1"/>
  <c r="J229" i="23"/>
  <c r="K229" i="23" s="1"/>
  <c r="J228" i="23"/>
  <c r="K228" i="23" s="1"/>
  <c r="J227" i="23"/>
  <c r="K227" i="23" s="1"/>
  <c r="J226" i="23"/>
  <c r="K226" i="23" s="1"/>
  <c r="J225" i="23"/>
  <c r="K225" i="23" s="1"/>
  <c r="J224" i="23"/>
  <c r="K224" i="23" s="1"/>
  <c r="J223" i="23"/>
  <c r="K223" i="23" s="1"/>
  <c r="J222" i="23"/>
  <c r="K222" i="23" s="1"/>
  <c r="J221" i="23"/>
  <c r="K221" i="23" s="1"/>
  <c r="J220" i="23"/>
  <c r="K220" i="23" s="1"/>
  <c r="J219" i="23"/>
  <c r="K219" i="23" s="1"/>
  <c r="J218" i="23"/>
  <c r="K218" i="23" s="1"/>
  <c r="J217" i="23"/>
  <c r="K217" i="23" s="1"/>
  <c r="J216" i="23"/>
  <c r="K216" i="23" s="1"/>
  <c r="J215" i="23"/>
  <c r="K215" i="23" s="1"/>
  <c r="J214" i="23"/>
  <c r="K214" i="23" s="1"/>
  <c r="J213" i="23"/>
  <c r="K213" i="23" s="1"/>
  <c r="J212" i="23"/>
  <c r="K212" i="23" s="1"/>
  <c r="J211" i="23"/>
  <c r="K211" i="23" s="1"/>
  <c r="J210" i="23"/>
  <c r="K210" i="23" s="1"/>
  <c r="J209" i="23"/>
  <c r="K209" i="23" s="1"/>
  <c r="J208" i="23"/>
  <c r="K208" i="23" s="1"/>
  <c r="J207" i="23"/>
  <c r="K207" i="23" s="1"/>
  <c r="J206" i="23"/>
  <c r="K206" i="23" s="1"/>
  <c r="J205" i="23"/>
  <c r="K205" i="23" s="1"/>
  <c r="J204" i="23"/>
  <c r="K204" i="23" s="1"/>
  <c r="J203" i="23"/>
  <c r="K203" i="23" s="1"/>
  <c r="J202" i="23"/>
  <c r="K202" i="23" s="1"/>
  <c r="J201" i="23"/>
  <c r="K201" i="23" s="1"/>
  <c r="J200" i="23"/>
  <c r="K200" i="23" s="1"/>
  <c r="J199" i="23"/>
  <c r="K199" i="23" s="1"/>
  <c r="J198" i="23"/>
  <c r="K198" i="23" s="1"/>
  <c r="J197" i="23"/>
  <c r="K197" i="23" s="1"/>
  <c r="J196" i="23"/>
  <c r="K196" i="23" s="1"/>
  <c r="J195" i="23"/>
  <c r="K195" i="23" s="1"/>
  <c r="J194" i="23"/>
  <c r="K194" i="23" s="1"/>
  <c r="J193" i="23"/>
  <c r="K193" i="23" s="1"/>
  <c r="J192" i="23"/>
  <c r="K192" i="23" s="1"/>
  <c r="J191" i="23"/>
  <c r="K191" i="23" s="1"/>
  <c r="J190" i="23"/>
  <c r="K190" i="23" s="1"/>
  <c r="J189" i="23"/>
  <c r="K189" i="23" s="1"/>
  <c r="J188" i="23"/>
  <c r="K188" i="23" s="1"/>
  <c r="J187" i="23"/>
  <c r="K187" i="23" s="1"/>
  <c r="J186" i="23"/>
  <c r="K186" i="23" s="1"/>
  <c r="J185" i="23"/>
  <c r="K185" i="23" s="1"/>
  <c r="J184" i="23"/>
  <c r="K184" i="23" s="1"/>
  <c r="J183" i="23"/>
  <c r="K183" i="23" s="1"/>
  <c r="J182" i="23"/>
  <c r="K182" i="23" s="1"/>
  <c r="J181" i="23"/>
  <c r="K181" i="23" s="1"/>
  <c r="J180" i="23"/>
  <c r="K180" i="23" s="1"/>
  <c r="J179" i="23"/>
  <c r="K179" i="23" s="1"/>
  <c r="J178" i="23"/>
  <c r="K178" i="23" s="1"/>
  <c r="J177" i="23"/>
  <c r="K177" i="23" s="1"/>
  <c r="J176" i="23"/>
  <c r="K176" i="23" s="1"/>
  <c r="J175" i="23"/>
  <c r="K175" i="23" s="1"/>
  <c r="J174" i="23"/>
  <c r="K174" i="23" s="1"/>
  <c r="J173" i="23"/>
  <c r="K173" i="23" s="1"/>
  <c r="J172" i="23"/>
  <c r="K172" i="23" s="1"/>
  <c r="J171" i="23"/>
  <c r="K171" i="23" s="1"/>
  <c r="J170" i="23"/>
  <c r="K170" i="23" s="1"/>
  <c r="J169" i="23"/>
  <c r="K169" i="23" s="1"/>
  <c r="J168" i="23"/>
  <c r="K168" i="23" s="1"/>
  <c r="J167" i="23"/>
  <c r="K167" i="23" s="1"/>
  <c r="J166" i="23"/>
  <c r="K166" i="23" s="1"/>
  <c r="J165" i="23"/>
  <c r="K165" i="23" s="1"/>
  <c r="J164" i="23"/>
  <c r="K164" i="23" s="1"/>
  <c r="J163" i="23"/>
  <c r="K163" i="23" s="1"/>
  <c r="J162" i="23"/>
  <c r="K162" i="23" s="1"/>
  <c r="J161" i="23"/>
  <c r="K161" i="23" s="1"/>
  <c r="J160" i="23"/>
  <c r="K160" i="23" s="1"/>
  <c r="J159" i="23"/>
  <c r="K159" i="23" s="1"/>
  <c r="J158" i="23"/>
  <c r="K158" i="23" s="1"/>
  <c r="J157" i="23"/>
  <c r="K157" i="23" s="1"/>
  <c r="J156" i="23"/>
  <c r="K156" i="23" s="1"/>
  <c r="J155" i="23"/>
  <c r="K155" i="23" s="1"/>
  <c r="J154" i="23"/>
  <c r="K154" i="23" s="1"/>
  <c r="J153" i="23"/>
  <c r="K153" i="23" s="1"/>
  <c r="J152" i="23"/>
  <c r="K152" i="23" s="1"/>
  <c r="J151" i="23"/>
  <c r="K151" i="23" s="1"/>
  <c r="J150" i="23"/>
  <c r="K150" i="23" s="1"/>
  <c r="J149" i="23"/>
  <c r="K149" i="23" s="1"/>
  <c r="J148" i="23"/>
  <c r="K148" i="23" s="1"/>
  <c r="J147" i="23"/>
  <c r="K147" i="23" s="1"/>
  <c r="J146" i="23"/>
  <c r="K146" i="23" s="1"/>
  <c r="J145" i="23"/>
  <c r="K145" i="23" s="1"/>
  <c r="J144" i="23"/>
  <c r="K144" i="23" s="1"/>
  <c r="J143" i="23"/>
  <c r="K143" i="23" s="1"/>
  <c r="J142" i="23"/>
  <c r="K142" i="23" s="1"/>
  <c r="J141" i="23"/>
  <c r="K141" i="23" s="1"/>
  <c r="J140" i="23"/>
  <c r="K140" i="23" s="1"/>
  <c r="J139" i="23"/>
  <c r="K139" i="23" s="1"/>
  <c r="J138" i="23"/>
  <c r="K138" i="23" s="1"/>
  <c r="J137" i="23"/>
  <c r="K137" i="23" s="1"/>
  <c r="J136" i="23"/>
  <c r="K136" i="23" s="1"/>
  <c r="J135" i="23"/>
  <c r="K135" i="23" s="1"/>
  <c r="J134" i="23"/>
  <c r="K134" i="23" s="1"/>
  <c r="J133" i="23"/>
  <c r="K133" i="23" s="1"/>
  <c r="J132" i="23"/>
  <c r="K132" i="23" s="1"/>
  <c r="G1" i="20"/>
  <c r="I2" i="19"/>
  <c r="I563" i="22"/>
  <c r="J563" i="22" s="1"/>
  <c r="I562" i="22"/>
  <c r="J562" i="22" s="1"/>
  <c r="I561" i="22"/>
  <c r="J561" i="22" s="1"/>
  <c r="I560" i="22"/>
  <c r="J560" i="22" s="1"/>
  <c r="I559" i="22"/>
  <c r="J559" i="22" s="1"/>
  <c r="I558" i="22"/>
  <c r="J558" i="22" s="1"/>
  <c r="I557" i="22"/>
  <c r="J557" i="22" s="1"/>
  <c r="I556" i="22"/>
  <c r="J556" i="22" s="1"/>
  <c r="I555" i="22"/>
  <c r="J555" i="22" s="1"/>
  <c r="I554" i="22"/>
  <c r="J554" i="22" s="1"/>
  <c r="I553" i="22"/>
  <c r="J553" i="22" s="1"/>
  <c r="I552" i="22"/>
  <c r="J552" i="22" s="1"/>
  <c r="I551" i="22"/>
  <c r="J551" i="22" s="1"/>
  <c r="I550" i="22"/>
  <c r="J550" i="22" s="1"/>
  <c r="I549" i="22"/>
  <c r="J549" i="22" s="1"/>
  <c r="I548" i="22"/>
  <c r="J548" i="22" s="1"/>
  <c r="I547" i="22"/>
  <c r="J547" i="22" s="1"/>
  <c r="I546" i="22"/>
  <c r="J546" i="22" s="1"/>
  <c r="I545" i="22"/>
  <c r="J545" i="22" s="1"/>
  <c r="I544" i="22"/>
  <c r="J544" i="22" s="1"/>
  <c r="I543" i="22"/>
  <c r="J543" i="22" s="1"/>
  <c r="I542" i="22"/>
  <c r="J542" i="22" s="1"/>
  <c r="I541" i="22"/>
  <c r="J541" i="22" s="1"/>
  <c r="I540" i="22"/>
  <c r="J540" i="22" s="1"/>
  <c r="I539" i="22"/>
  <c r="J539" i="22" s="1"/>
  <c r="I538" i="22"/>
  <c r="J538" i="22" s="1"/>
  <c r="I537" i="22"/>
  <c r="J537" i="22" s="1"/>
  <c r="I536" i="22"/>
  <c r="J536" i="22" s="1"/>
  <c r="I535" i="22"/>
  <c r="J535" i="22" s="1"/>
  <c r="I534" i="22"/>
  <c r="J534" i="22" s="1"/>
  <c r="I533" i="22"/>
  <c r="J533" i="22" s="1"/>
  <c r="I532" i="22"/>
  <c r="J532" i="22" s="1"/>
  <c r="I531" i="22"/>
  <c r="J531" i="22" s="1"/>
  <c r="I530" i="22"/>
  <c r="J530" i="22" s="1"/>
  <c r="I529" i="22"/>
  <c r="J529" i="22" s="1"/>
  <c r="I528" i="22"/>
  <c r="J528" i="22" s="1"/>
  <c r="I527" i="22"/>
  <c r="J527" i="22" s="1"/>
  <c r="I526" i="22"/>
  <c r="J526" i="22" s="1"/>
  <c r="I525" i="22"/>
  <c r="J525" i="22" s="1"/>
  <c r="I524" i="22"/>
  <c r="J524" i="22" s="1"/>
  <c r="I523" i="22"/>
  <c r="J523" i="22" s="1"/>
  <c r="I522" i="22"/>
  <c r="J522" i="22" s="1"/>
  <c r="I521" i="22"/>
  <c r="J521" i="22" s="1"/>
  <c r="I520" i="22"/>
  <c r="J520" i="22" s="1"/>
  <c r="I519" i="22"/>
  <c r="J519" i="22" s="1"/>
  <c r="I518" i="22"/>
  <c r="J518" i="22" s="1"/>
  <c r="I517" i="22"/>
  <c r="J517" i="22" s="1"/>
  <c r="I516" i="22"/>
  <c r="J516" i="22" s="1"/>
  <c r="I515" i="22"/>
  <c r="J515" i="22" s="1"/>
  <c r="I514" i="22"/>
  <c r="J514" i="22" s="1"/>
  <c r="I513" i="22"/>
  <c r="J513" i="22" s="1"/>
  <c r="I512" i="22"/>
  <c r="J512" i="22" s="1"/>
  <c r="I511" i="22"/>
  <c r="J511" i="22" s="1"/>
  <c r="I510" i="22"/>
  <c r="J510" i="22" s="1"/>
  <c r="I509" i="22"/>
  <c r="J509" i="22" s="1"/>
  <c r="I508" i="22"/>
  <c r="J508" i="22" s="1"/>
  <c r="I507" i="22"/>
  <c r="J507" i="22" s="1"/>
  <c r="I506" i="22"/>
  <c r="J506" i="22" s="1"/>
  <c r="I505" i="22"/>
  <c r="J505" i="22" s="1"/>
  <c r="I504" i="22"/>
  <c r="J504" i="22" s="1"/>
  <c r="I503" i="22"/>
  <c r="J503" i="22" s="1"/>
  <c r="I502" i="22"/>
  <c r="J502" i="22" s="1"/>
  <c r="I501" i="22"/>
  <c r="J501" i="22" s="1"/>
  <c r="I500" i="22"/>
  <c r="J500" i="22" s="1"/>
  <c r="I499" i="22"/>
  <c r="J499" i="22" s="1"/>
  <c r="I498" i="22"/>
  <c r="J498" i="22" s="1"/>
  <c r="I497" i="22"/>
  <c r="J497" i="22" s="1"/>
  <c r="I496" i="22"/>
  <c r="J496" i="22" s="1"/>
  <c r="I495" i="22"/>
  <c r="J495" i="22" s="1"/>
  <c r="I494" i="22"/>
  <c r="J494" i="22" s="1"/>
  <c r="I493" i="22"/>
  <c r="J493" i="22" s="1"/>
  <c r="I492" i="22"/>
  <c r="J492" i="22" s="1"/>
  <c r="I491" i="22"/>
  <c r="J491" i="22" s="1"/>
  <c r="I490" i="22"/>
  <c r="J490" i="22" s="1"/>
  <c r="I489" i="22"/>
  <c r="J489" i="22" s="1"/>
  <c r="I488" i="22"/>
  <c r="J488" i="22" s="1"/>
  <c r="I487" i="22"/>
  <c r="J487" i="22" s="1"/>
  <c r="I486" i="22"/>
  <c r="J486" i="22" s="1"/>
  <c r="I485" i="22"/>
  <c r="J485" i="22" s="1"/>
  <c r="I484" i="22"/>
  <c r="J484" i="22" s="1"/>
  <c r="I483" i="22"/>
  <c r="J483" i="22" s="1"/>
  <c r="I482" i="22"/>
  <c r="J482" i="22" s="1"/>
  <c r="I481" i="22"/>
  <c r="J481" i="22" s="1"/>
  <c r="I480" i="22"/>
  <c r="J480" i="22" s="1"/>
  <c r="I479" i="22"/>
  <c r="J479" i="22" s="1"/>
  <c r="I478" i="22"/>
  <c r="J478" i="22" s="1"/>
  <c r="I477" i="22"/>
  <c r="J477" i="22" s="1"/>
  <c r="I476" i="22"/>
  <c r="J476" i="22" s="1"/>
  <c r="I475" i="22"/>
  <c r="J475" i="22" s="1"/>
  <c r="I474" i="22"/>
  <c r="J474" i="22" s="1"/>
  <c r="I473" i="22"/>
  <c r="J473" i="22" s="1"/>
  <c r="I472" i="22"/>
  <c r="J472" i="22" s="1"/>
  <c r="I471" i="22"/>
  <c r="J471" i="22" s="1"/>
  <c r="I470" i="22"/>
  <c r="J470" i="22" s="1"/>
  <c r="I469" i="22"/>
  <c r="J469" i="22" s="1"/>
  <c r="I468" i="22"/>
  <c r="J468" i="22" s="1"/>
  <c r="I467" i="22"/>
  <c r="J467" i="22" s="1"/>
  <c r="I466" i="22"/>
  <c r="J466" i="22" s="1"/>
  <c r="I465" i="22"/>
  <c r="J465" i="22" s="1"/>
  <c r="I464" i="22"/>
  <c r="J464" i="22" s="1"/>
  <c r="I463" i="22"/>
  <c r="J463" i="22" s="1"/>
  <c r="I462" i="22"/>
  <c r="J462" i="22" s="1"/>
  <c r="I461" i="22"/>
  <c r="J461" i="22" s="1"/>
  <c r="I460" i="22"/>
  <c r="J460" i="22" s="1"/>
  <c r="I459" i="22"/>
  <c r="J459" i="22" s="1"/>
  <c r="I458" i="22"/>
  <c r="J458" i="22" s="1"/>
  <c r="I457" i="22"/>
  <c r="J457" i="22" s="1"/>
  <c r="I456" i="22"/>
  <c r="J456" i="22" s="1"/>
  <c r="I455" i="22"/>
  <c r="J455" i="22" s="1"/>
  <c r="I454" i="22"/>
  <c r="J454" i="22" s="1"/>
  <c r="I453" i="22"/>
  <c r="J453" i="22" s="1"/>
  <c r="I452" i="22"/>
  <c r="J452" i="22" s="1"/>
  <c r="I451" i="22"/>
  <c r="J451" i="22" s="1"/>
  <c r="I450" i="22"/>
  <c r="J450" i="22" s="1"/>
  <c r="I449" i="22"/>
  <c r="J449" i="22" s="1"/>
  <c r="I448" i="22"/>
  <c r="J448" i="22" s="1"/>
  <c r="I447" i="22"/>
  <c r="J447" i="22" s="1"/>
  <c r="I446" i="22"/>
  <c r="J446" i="22" s="1"/>
  <c r="I445" i="22"/>
  <c r="J445" i="22" s="1"/>
  <c r="I444" i="22"/>
  <c r="J444" i="22" s="1"/>
  <c r="I443" i="22"/>
  <c r="J443" i="22" s="1"/>
  <c r="I442" i="22"/>
  <c r="J442" i="22" s="1"/>
  <c r="I441" i="22"/>
  <c r="J441" i="22" s="1"/>
  <c r="I440" i="22"/>
  <c r="J440" i="22" s="1"/>
  <c r="I439" i="22"/>
  <c r="J439" i="22" s="1"/>
  <c r="I438" i="22"/>
  <c r="J438" i="22" s="1"/>
  <c r="I437" i="22"/>
  <c r="J437" i="22" s="1"/>
  <c r="I436" i="22"/>
  <c r="J436" i="22" s="1"/>
  <c r="I435" i="22"/>
  <c r="J435" i="22" s="1"/>
  <c r="I434" i="22"/>
  <c r="J434" i="22" s="1"/>
  <c r="I433" i="22"/>
  <c r="J433" i="22" s="1"/>
  <c r="I432" i="22"/>
  <c r="J432" i="22" s="1"/>
  <c r="I431" i="22"/>
  <c r="J431" i="22" s="1"/>
  <c r="I430" i="22"/>
  <c r="J430" i="22" s="1"/>
  <c r="I429" i="22"/>
  <c r="J429" i="22" s="1"/>
  <c r="I428" i="22"/>
  <c r="J428" i="22" s="1"/>
  <c r="I427" i="22"/>
  <c r="J427" i="22" s="1"/>
  <c r="I426" i="22"/>
  <c r="J426" i="22" s="1"/>
  <c r="I425" i="22"/>
  <c r="J425" i="22" s="1"/>
  <c r="I424" i="22"/>
  <c r="J424" i="22" s="1"/>
  <c r="I423" i="22"/>
  <c r="J423" i="22" s="1"/>
  <c r="I422" i="22"/>
  <c r="J422" i="22" s="1"/>
  <c r="I421" i="22"/>
  <c r="J421" i="22" s="1"/>
  <c r="I420" i="22"/>
  <c r="J420" i="22" s="1"/>
  <c r="I419" i="22"/>
  <c r="J419" i="22" s="1"/>
  <c r="I418" i="22"/>
  <c r="J418" i="22" s="1"/>
  <c r="I417" i="22"/>
  <c r="J417" i="22" s="1"/>
  <c r="I416" i="22"/>
  <c r="J416" i="22" s="1"/>
  <c r="I415" i="22"/>
  <c r="J415" i="22" s="1"/>
  <c r="I414" i="22"/>
  <c r="J414" i="22" s="1"/>
  <c r="I413" i="22"/>
  <c r="J413" i="22" s="1"/>
  <c r="I412" i="22"/>
  <c r="J412" i="22" s="1"/>
  <c r="I411" i="22"/>
  <c r="J411" i="22" s="1"/>
  <c r="I410" i="22"/>
  <c r="J410" i="22" s="1"/>
  <c r="I409" i="22"/>
  <c r="J409" i="22" s="1"/>
  <c r="I408" i="22"/>
  <c r="J408" i="22" s="1"/>
  <c r="I407" i="22"/>
  <c r="J407" i="22" s="1"/>
  <c r="I406" i="22"/>
  <c r="J406" i="22" s="1"/>
  <c r="I405" i="22"/>
  <c r="J405" i="22" s="1"/>
  <c r="I404" i="22"/>
  <c r="J404" i="22" s="1"/>
  <c r="I403" i="22"/>
  <c r="J403" i="22" s="1"/>
  <c r="I402" i="22"/>
  <c r="J402" i="22" s="1"/>
  <c r="I401" i="22"/>
  <c r="J401" i="22" s="1"/>
  <c r="I400" i="22"/>
  <c r="J400" i="22" s="1"/>
  <c r="I399" i="22"/>
  <c r="J399" i="22" s="1"/>
  <c r="I398" i="22"/>
  <c r="J398" i="22" s="1"/>
  <c r="I397" i="22"/>
  <c r="J397" i="22" s="1"/>
  <c r="I396" i="22"/>
  <c r="J396" i="22" s="1"/>
  <c r="I395" i="22"/>
  <c r="J395" i="22" s="1"/>
  <c r="I394" i="22"/>
  <c r="J394" i="22" s="1"/>
  <c r="I393" i="22"/>
  <c r="J393" i="22" s="1"/>
  <c r="I392" i="22"/>
  <c r="J392" i="22" s="1"/>
  <c r="I391" i="22"/>
  <c r="J391" i="22" s="1"/>
  <c r="I390" i="22"/>
  <c r="J390" i="22" s="1"/>
  <c r="I389" i="22"/>
  <c r="J389" i="22" s="1"/>
  <c r="I388" i="22"/>
  <c r="J388" i="22" s="1"/>
  <c r="I387" i="22"/>
  <c r="J387" i="22" s="1"/>
  <c r="I386" i="22"/>
  <c r="J386" i="22" s="1"/>
  <c r="I385" i="22"/>
  <c r="J385" i="22" s="1"/>
  <c r="I384" i="22"/>
  <c r="J384" i="22" s="1"/>
  <c r="I383" i="22"/>
  <c r="J383" i="22" s="1"/>
  <c r="I382" i="22"/>
  <c r="J382" i="22" s="1"/>
  <c r="I381" i="22"/>
  <c r="J381" i="22" s="1"/>
  <c r="I380" i="22"/>
  <c r="J380" i="22" s="1"/>
  <c r="I379" i="22"/>
  <c r="J379" i="22" s="1"/>
  <c r="I378" i="22"/>
  <c r="J378" i="22" s="1"/>
  <c r="I377" i="22"/>
  <c r="J377" i="22" s="1"/>
  <c r="I376" i="22"/>
  <c r="J376" i="22" s="1"/>
  <c r="I375" i="22"/>
  <c r="J375" i="22" s="1"/>
  <c r="I374" i="22"/>
  <c r="J374" i="22" s="1"/>
  <c r="I373" i="22"/>
  <c r="J373" i="22" s="1"/>
  <c r="I372" i="22"/>
  <c r="J372" i="22" s="1"/>
  <c r="I371" i="22"/>
  <c r="J371" i="22" s="1"/>
  <c r="I370" i="22"/>
  <c r="J370" i="22" s="1"/>
  <c r="I369" i="22"/>
  <c r="J369" i="22" s="1"/>
  <c r="I368" i="22"/>
  <c r="J368" i="22" s="1"/>
  <c r="I367" i="22"/>
  <c r="J367" i="22" s="1"/>
  <c r="I366" i="22"/>
  <c r="J366" i="22" s="1"/>
  <c r="I365" i="22"/>
  <c r="J365" i="22" s="1"/>
  <c r="I364" i="22"/>
  <c r="J364" i="22" s="1"/>
  <c r="I363" i="22"/>
  <c r="J363" i="22" s="1"/>
  <c r="I362" i="22"/>
  <c r="J362" i="22" s="1"/>
  <c r="I361" i="22"/>
  <c r="J361" i="22" s="1"/>
  <c r="I360" i="22"/>
  <c r="J360" i="22" s="1"/>
  <c r="I359" i="22"/>
  <c r="J359" i="22" s="1"/>
  <c r="I358" i="22"/>
  <c r="J358" i="22" s="1"/>
  <c r="I357" i="22"/>
  <c r="J357" i="22" s="1"/>
  <c r="I356" i="22"/>
  <c r="J356" i="22" s="1"/>
  <c r="I355" i="22"/>
  <c r="J355" i="22" s="1"/>
  <c r="I354" i="22"/>
  <c r="J354" i="22" s="1"/>
  <c r="I353" i="22"/>
  <c r="J353" i="22" s="1"/>
  <c r="I352" i="22"/>
  <c r="J352" i="22" s="1"/>
  <c r="I351" i="22"/>
  <c r="J351" i="22" s="1"/>
  <c r="I350" i="22"/>
  <c r="J350" i="22" s="1"/>
  <c r="I349" i="22"/>
  <c r="J349" i="22" s="1"/>
  <c r="I348" i="22"/>
  <c r="J348" i="22" s="1"/>
  <c r="I347" i="22"/>
  <c r="J347" i="22" s="1"/>
  <c r="I346" i="22"/>
  <c r="J346" i="22" s="1"/>
  <c r="I345" i="22"/>
  <c r="J345" i="22" s="1"/>
  <c r="I344" i="22"/>
  <c r="J344" i="22" s="1"/>
  <c r="I343" i="22"/>
  <c r="J343" i="22" s="1"/>
  <c r="I342" i="22"/>
  <c r="J342" i="22" s="1"/>
  <c r="I341" i="22"/>
  <c r="J341" i="22" s="1"/>
  <c r="I340" i="22"/>
  <c r="J340" i="22" s="1"/>
  <c r="I339" i="22"/>
  <c r="J339" i="22" s="1"/>
  <c r="I338" i="22"/>
  <c r="J338" i="22" s="1"/>
  <c r="I337" i="22"/>
  <c r="J337" i="22" s="1"/>
  <c r="I336" i="22"/>
  <c r="J336" i="22" s="1"/>
  <c r="I335" i="22"/>
  <c r="J335" i="22" s="1"/>
  <c r="I334" i="22"/>
  <c r="J334" i="22" s="1"/>
  <c r="I333" i="22"/>
  <c r="J333" i="22" s="1"/>
  <c r="I332" i="22"/>
  <c r="J332" i="22" s="1"/>
  <c r="I331" i="22"/>
  <c r="J331" i="22" s="1"/>
  <c r="I330" i="22"/>
  <c r="J330" i="22" s="1"/>
  <c r="I329" i="22"/>
  <c r="J329" i="22" s="1"/>
  <c r="I328" i="22"/>
  <c r="J328" i="22" s="1"/>
  <c r="I327" i="22"/>
  <c r="J327" i="22" s="1"/>
  <c r="I326" i="22"/>
  <c r="J326" i="22" s="1"/>
  <c r="I325" i="22"/>
  <c r="J325" i="22" s="1"/>
  <c r="I324" i="22"/>
  <c r="J324" i="22" s="1"/>
  <c r="I323" i="22"/>
  <c r="J323" i="22" s="1"/>
  <c r="I322" i="22"/>
  <c r="J322" i="22" s="1"/>
  <c r="I321" i="22"/>
  <c r="J321" i="22" s="1"/>
  <c r="I320" i="22"/>
  <c r="J320" i="22" s="1"/>
  <c r="I319" i="22"/>
  <c r="J319" i="22" s="1"/>
  <c r="I318" i="22"/>
  <c r="J318" i="22" s="1"/>
  <c r="I317" i="22"/>
  <c r="J317" i="22" s="1"/>
  <c r="I316" i="22"/>
  <c r="J316" i="22" s="1"/>
  <c r="I315" i="22"/>
  <c r="J315" i="22" s="1"/>
  <c r="I314" i="22"/>
  <c r="J314" i="22" s="1"/>
  <c r="I313" i="22"/>
  <c r="J313" i="22" s="1"/>
  <c r="I312" i="22"/>
  <c r="J312" i="22" s="1"/>
  <c r="I311" i="22"/>
  <c r="J311" i="22" s="1"/>
  <c r="I310" i="22"/>
  <c r="J310" i="22" s="1"/>
  <c r="I309" i="22"/>
  <c r="J309" i="22" s="1"/>
  <c r="I308" i="22"/>
  <c r="J308" i="22" s="1"/>
  <c r="I307" i="22"/>
  <c r="J307" i="22" s="1"/>
  <c r="I306" i="22"/>
  <c r="J306" i="22" s="1"/>
  <c r="I305" i="22"/>
  <c r="J305" i="22" s="1"/>
  <c r="I304" i="22"/>
  <c r="J304" i="22" s="1"/>
  <c r="I303" i="22"/>
  <c r="J303" i="22" s="1"/>
  <c r="I302" i="22"/>
  <c r="J302" i="22" s="1"/>
  <c r="I301" i="22"/>
  <c r="J301" i="22" s="1"/>
  <c r="I300" i="22"/>
  <c r="J300" i="22" s="1"/>
  <c r="I299" i="22"/>
  <c r="J299" i="22" s="1"/>
  <c r="I298" i="22"/>
  <c r="J298" i="22" s="1"/>
  <c r="I297" i="22"/>
  <c r="J297" i="22" s="1"/>
  <c r="H296" i="22"/>
  <c r="I296" i="22" s="1"/>
  <c r="H295" i="22"/>
  <c r="I295" i="22" s="1"/>
  <c r="H294" i="22"/>
  <c r="I294" i="22" s="1"/>
  <c r="H293" i="22"/>
  <c r="I293" i="22" s="1"/>
  <c r="H292" i="22"/>
  <c r="I292" i="22" s="1"/>
  <c r="H291" i="22"/>
  <c r="I291" i="22" s="1"/>
  <c r="H290" i="22"/>
  <c r="I290" i="22" s="1"/>
  <c r="H289" i="22"/>
  <c r="I289" i="22" s="1"/>
  <c r="H288" i="22"/>
  <c r="I288" i="22" s="1"/>
  <c r="H287" i="22"/>
  <c r="I287" i="22" s="1"/>
  <c r="H286" i="22"/>
  <c r="I286" i="22" s="1"/>
  <c r="H285" i="22"/>
  <c r="I285" i="22" s="1"/>
  <c r="H284" i="22"/>
  <c r="I284" i="22" s="1"/>
  <c r="H283" i="22"/>
  <c r="I283" i="22" s="1"/>
  <c r="H282" i="22"/>
  <c r="I282" i="22" s="1"/>
  <c r="H281" i="22"/>
  <c r="I281" i="22" s="1"/>
  <c r="H280" i="22"/>
  <c r="I280" i="22" s="1"/>
  <c r="H279" i="22"/>
  <c r="I279" i="22" s="1"/>
  <c r="H278" i="22"/>
  <c r="I278" i="22" s="1"/>
  <c r="H277" i="22"/>
  <c r="I277" i="22" s="1"/>
  <c r="H276" i="22"/>
  <c r="I276" i="22" s="1"/>
  <c r="H275" i="22"/>
  <c r="I275" i="22" s="1"/>
  <c r="H274" i="22"/>
  <c r="I274" i="22" s="1"/>
  <c r="H273" i="22"/>
  <c r="I273" i="22" s="1"/>
  <c r="H272" i="22"/>
  <c r="I272" i="22" s="1"/>
  <c r="H271" i="22"/>
  <c r="I271" i="22" s="1"/>
  <c r="H270" i="22"/>
  <c r="I270" i="22" s="1"/>
  <c r="H269" i="22"/>
  <c r="I269" i="22" s="1"/>
  <c r="H268" i="22"/>
  <c r="I268" i="22" s="1"/>
  <c r="H267" i="22"/>
  <c r="I267" i="22" s="1"/>
  <c r="H266" i="22"/>
  <c r="I266" i="22" s="1"/>
  <c r="H265" i="22"/>
  <c r="I265" i="22" s="1"/>
  <c r="H264" i="22"/>
  <c r="I264" i="22" s="1"/>
  <c r="H263" i="22"/>
  <c r="I263" i="22" s="1"/>
  <c r="H262" i="22"/>
  <c r="I262" i="22" s="1"/>
  <c r="H261" i="22"/>
  <c r="I261" i="22" s="1"/>
  <c r="H260" i="22"/>
  <c r="I260" i="22" s="1"/>
  <c r="H259" i="22"/>
  <c r="I259" i="22" s="1"/>
  <c r="H258" i="22"/>
  <c r="I258" i="22" s="1"/>
  <c r="H257" i="22"/>
  <c r="I257" i="22" s="1"/>
  <c r="H256" i="22"/>
  <c r="I256" i="22" s="1"/>
  <c r="H255" i="22"/>
  <c r="I255" i="22" s="1"/>
  <c r="H254" i="22"/>
  <c r="I254" i="22" s="1"/>
  <c r="H253" i="22"/>
  <c r="I253" i="22" s="1"/>
  <c r="H252" i="22"/>
  <c r="I252" i="22" s="1"/>
  <c r="H251" i="22"/>
  <c r="I251" i="22" s="1"/>
  <c r="H250" i="22"/>
  <c r="I250" i="22" s="1"/>
  <c r="H249" i="22"/>
  <c r="I249" i="22" s="1"/>
  <c r="H248" i="22"/>
  <c r="I248" i="22" s="1"/>
  <c r="H247" i="22"/>
  <c r="I247" i="22" s="1"/>
  <c r="H246" i="22"/>
  <c r="I246" i="22" s="1"/>
  <c r="H245" i="22"/>
  <c r="I245" i="22" s="1"/>
  <c r="H244" i="22"/>
  <c r="I244" i="22" s="1"/>
  <c r="H243" i="22"/>
  <c r="I243" i="22" s="1"/>
  <c r="H242" i="22"/>
  <c r="I242" i="22" s="1"/>
  <c r="H241" i="22"/>
  <c r="I241" i="22" s="1"/>
  <c r="H240" i="22"/>
  <c r="I240" i="22" s="1"/>
  <c r="H239" i="22"/>
  <c r="I239" i="22" s="1"/>
  <c r="H238" i="22"/>
  <c r="I238" i="22" s="1"/>
  <c r="H237" i="22"/>
  <c r="I237" i="22" s="1"/>
  <c r="H236" i="22"/>
  <c r="I236" i="22" s="1"/>
  <c r="H235" i="22"/>
  <c r="I235" i="22" s="1"/>
  <c r="H234" i="22"/>
  <c r="I234" i="22" s="1"/>
  <c r="H233" i="22"/>
  <c r="I233" i="22" s="1"/>
  <c r="H232" i="22"/>
  <c r="I232" i="22" s="1"/>
  <c r="H231" i="22"/>
  <c r="I231" i="22" s="1"/>
  <c r="H230" i="22"/>
  <c r="I230" i="22" s="1"/>
  <c r="H229" i="22"/>
  <c r="I229" i="22" s="1"/>
  <c r="H228" i="22"/>
  <c r="I228" i="22" s="1"/>
  <c r="H227" i="22"/>
  <c r="I227" i="22" s="1"/>
  <c r="H226" i="22"/>
  <c r="I226" i="22" s="1"/>
  <c r="H225" i="22"/>
  <c r="I225" i="22" s="1"/>
  <c r="H224" i="22"/>
  <c r="I224" i="22" s="1"/>
  <c r="H223" i="22"/>
  <c r="I223" i="22" s="1"/>
  <c r="H222" i="22"/>
  <c r="I222" i="22" s="1"/>
  <c r="H221" i="22"/>
  <c r="I221" i="22" s="1"/>
  <c r="H220" i="22"/>
  <c r="I220" i="22" s="1"/>
  <c r="H219" i="22"/>
  <c r="I219" i="22" s="1"/>
  <c r="H218" i="22"/>
  <c r="I218" i="22" s="1"/>
  <c r="H217" i="22"/>
  <c r="I217" i="22" s="1"/>
  <c r="H216" i="22"/>
  <c r="I216" i="22" s="1"/>
  <c r="H215" i="22"/>
  <c r="I215" i="22" s="1"/>
  <c r="H214" i="22"/>
  <c r="I214" i="22" s="1"/>
  <c r="H213" i="22"/>
  <c r="I213" i="22" s="1"/>
  <c r="H212" i="22"/>
  <c r="I212" i="22" s="1"/>
  <c r="H211" i="22"/>
  <c r="I211" i="22" s="1"/>
  <c r="H210" i="22"/>
  <c r="I210" i="22" s="1"/>
  <c r="H209" i="22"/>
  <c r="I209" i="22" s="1"/>
  <c r="H208" i="22"/>
  <c r="I208" i="22" s="1"/>
  <c r="H207" i="22"/>
  <c r="I207" i="22" s="1"/>
  <c r="H206" i="22"/>
  <c r="I206" i="22" s="1"/>
  <c r="H205" i="22"/>
  <c r="I205" i="22" s="1"/>
  <c r="H204" i="22"/>
  <c r="I204" i="22" s="1"/>
  <c r="H203" i="22"/>
  <c r="I203" i="22" s="1"/>
  <c r="H202" i="22"/>
  <c r="I202" i="22" s="1"/>
  <c r="H201" i="22"/>
  <c r="I201" i="22" s="1"/>
  <c r="H200" i="22"/>
  <c r="I200" i="22" s="1"/>
  <c r="H199" i="22"/>
  <c r="I199" i="22" s="1"/>
  <c r="H198" i="22"/>
  <c r="I198" i="22" s="1"/>
  <c r="H197" i="22"/>
  <c r="I197" i="22" s="1"/>
  <c r="H196" i="22"/>
  <c r="I196" i="22" s="1"/>
  <c r="H195" i="22"/>
  <c r="I195" i="22" s="1"/>
  <c r="H194" i="22"/>
  <c r="I194" i="22" s="1"/>
  <c r="H193" i="22"/>
  <c r="I193" i="22" s="1"/>
  <c r="H192" i="22"/>
  <c r="I192" i="22" s="1"/>
  <c r="H191" i="22"/>
  <c r="I191" i="22" s="1"/>
  <c r="H190" i="22"/>
  <c r="I190" i="22" s="1"/>
  <c r="H189" i="22"/>
  <c r="I189" i="22" s="1"/>
  <c r="H188" i="22"/>
  <c r="I188" i="22" s="1"/>
  <c r="H187" i="22"/>
  <c r="I187" i="22" s="1"/>
  <c r="H186" i="22"/>
  <c r="I186" i="22" s="1"/>
  <c r="H185" i="22"/>
  <c r="I185" i="22" s="1"/>
  <c r="H184" i="22"/>
  <c r="I184" i="22" s="1"/>
  <c r="H183" i="22"/>
  <c r="I183" i="22" s="1"/>
  <c r="H182" i="22"/>
  <c r="I182" i="22" s="1"/>
  <c r="H181" i="22"/>
  <c r="I181" i="22" s="1"/>
  <c r="H180" i="22"/>
  <c r="I180" i="22" s="1"/>
  <c r="H179" i="22"/>
  <c r="I179" i="22" s="1"/>
  <c r="H178" i="22"/>
  <c r="I178" i="22" s="1"/>
  <c r="H177" i="22"/>
  <c r="I177" i="22" s="1"/>
  <c r="H176" i="22"/>
  <c r="I176" i="22" s="1"/>
  <c r="H175" i="22"/>
  <c r="I175" i="22" s="1"/>
  <c r="H174" i="22"/>
  <c r="I174" i="22" s="1"/>
  <c r="H173" i="22"/>
  <c r="I173" i="22" s="1"/>
  <c r="H172" i="22"/>
  <c r="I172" i="22" s="1"/>
  <c r="H171" i="22"/>
  <c r="I171" i="22" s="1"/>
  <c r="H170" i="22"/>
  <c r="I170" i="22" s="1"/>
  <c r="H169" i="22"/>
  <c r="I169" i="22" s="1"/>
  <c r="H168" i="22"/>
  <c r="I168" i="22" s="1"/>
  <c r="H167" i="22"/>
  <c r="I167" i="22" s="1"/>
  <c r="H166" i="22"/>
  <c r="I166" i="22" s="1"/>
  <c r="H165" i="22"/>
  <c r="I165" i="22" s="1"/>
  <c r="H164" i="22"/>
  <c r="I164" i="22" s="1"/>
  <c r="H163" i="22"/>
  <c r="I163" i="22" s="1"/>
  <c r="H162" i="22"/>
  <c r="I162" i="22" s="1"/>
  <c r="H161" i="22"/>
  <c r="I161" i="22" s="1"/>
  <c r="H160" i="22"/>
  <c r="I160" i="22" s="1"/>
  <c r="H159" i="22"/>
  <c r="I159" i="22" s="1"/>
  <c r="H158" i="22"/>
  <c r="I158" i="22" s="1"/>
  <c r="H157" i="22"/>
  <c r="I157" i="22" s="1"/>
  <c r="H156" i="22"/>
  <c r="I156" i="22" s="1"/>
  <c r="H155" i="22"/>
  <c r="I155" i="22" s="1"/>
  <c r="H154" i="22"/>
  <c r="I154" i="22" s="1"/>
  <c r="H153" i="22"/>
  <c r="I153" i="22" s="1"/>
  <c r="H152" i="22"/>
  <c r="I152" i="22" s="1"/>
  <c r="H151" i="22"/>
  <c r="I151" i="22" s="1"/>
  <c r="H150" i="22"/>
  <c r="I150" i="22" s="1"/>
  <c r="H149" i="22"/>
  <c r="I149" i="22" s="1"/>
  <c r="H148" i="22"/>
  <c r="I148" i="22" s="1"/>
  <c r="H147" i="22"/>
  <c r="I147" i="22" s="1"/>
  <c r="H146" i="22"/>
  <c r="I146" i="22" s="1"/>
  <c r="H145" i="22"/>
  <c r="I145" i="22" s="1"/>
  <c r="H144" i="22"/>
  <c r="I144" i="22" s="1"/>
  <c r="H143" i="22"/>
  <c r="I143" i="22" s="1"/>
  <c r="H142" i="22"/>
  <c r="I142" i="22" s="1"/>
  <c r="H141" i="22"/>
  <c r="I141" i="22" s="1"/>
  <c r="H140" i="22"/>
  <c r="I140" i="22" s="1"/>
  <c r="H139" i="22"/>
  <c r="I139" i="22" s="1"/>
  <c r="H138" i="22"/>
  <c r="I138" i="22" s="1"/>
  <c r="H137" i="22"/>
  <c r="I137" i="22" s="1"/>
  <c r="H136" i="22"/>
  <c r="I136" i="22" s="1"/>
  <c r="H135" i="22"/>
  <c r="I135" i="22" s="1"/>
  <c r="H134" i="22"/>
  <c r="I134" i="22" s="1"/>
  <c r="H133" i="22"/>
  <c r="I133" i="22" s="1"/>
  <c r="H132" i="22"/>
  <c r="I132" i="22" s="1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M563" i="21" l="1"/>
  <c r="N563" i="21" s="1"/>
  <c r="M562" i="21"/>
  <c r="N562" i="21" s="1"/>
  <c r="M561" i="21"/>
  <c r="N561" i="21" s="1"/>
  <c r="M560" i="21"/>
  <c r="N560" i="21" s="1"/>
  <c r="M559" i="21"/>
  <c r="N559" i="21" s="1"/>
  <c r="M558" i="21"/>
  <c r="N558" i="21" s="1"/>
  <c r="M557" i="21"/>
  <c r="N557" i="21" s="1"/>
  <c r="M556" i="21"/>
  <c r="N556" i="21" s="1"/>
  <c r="M555" i="21"/>
  <c r="N555" i="21" s="1"/>
  <c r="M554" i="21"/>
  <c r="N554" i="21" s="1"/>
  <c r="M553" i="21"/>
  <c r="N553" i="21" s="1"/>
  <c r="M552" i="21"/>
  <c r="N552" i="21" s="1"/>
  <c r="M551" i="21"/>
  <c r="N551" i="21" s="1"/>
  <c r="M550" i="21"/>
  <c r="N550" i="21" s="1"/>
  <c r="M549" i="21"/>
  <c r="N549" i="21" s="1"/>
  <c r="M548" i="21"/>
  <c r="N548" i="21" s="1"/>
  <c r="M547" i="21"/>
  <c r="N547" i="21" s="1"/>
  <c r="M546" i="21"/>
  <c r="N546" i="21" s="1"/>
  <c r="M545" i="21"/>
  <c r="N545" i="21" s="1"/>
  <c r="M544" i="21"/>
  <c r="N544" i="21" s="1"/>
  <c r="M543" i="21"/>
  <c r="N543" i="21" s="1"/>
  <c r="M542" i="21"/>
  <c r="N542" i="21" s="1"/>
  <c r="M541" i="21"/>
  <c r="N541" i="21" s="1"/>
  <c r="M540" i="21"/>
  <c r="N540" i="21" s="1"/>
  <c r="M539" i="21"/>
  <c r="N539" i="21" s="1"/>
  <c r="M538" i="21"/>
  <c r="N538" i="21" s="1"/>
  <c r="M537" i="21"/>
  <c r="N537" i="21" s="1"/>
  <c r="M536" i="21"/>
  <c r="N536" i="21" s="1"/>
  <c r="M535" i="21"/>
  <c r="N535" i="21" s="1"/>
  <c r="M534" i="21"/>
  <c r="N534" i="21" s="1"/>
  <c r="M533" i="21"/>
  <c r="N533" i="21" s="1"/>
  <c r="M532" i="21"/>
  <c r="N532" i="21" s="1"/>
  <c r="M531" i="21"/>
  <c r="N531" i="21" s="1"/>
  <c r="M530" i="21"/>
  <c r="N530" i="21" s="1"/>
  <c r="M529" i="21"/>
  <c r="N529" i="21" s="1"/>
  <c r="M528" i="21"/>
  <c r="N528" i="21" s="1"/>
  <c r="M527" i="21"/>
  <c r="N527" i="21" s="1"/>
  <c r="M526" i="21"/>
  <c r="N526" i="21" s="1"/>
  <c r="M525" i="21"/>
  <c r="N525" i="21" s="1"/>
  <c r="M524" i="21"/>
  <c r="N524" i="21" s="1"/>
  <c r="M523" i="21"/>
  <c r="N523" i="21" s="1"/>
  <c r="M522" i="21"/>
  <c r="N522" i="21" s="1"/>
  <c r="M521" i="21"/>
  <c r="N521" i="21" s="1"/>
  <c r="M520" i="21"/>
  <c r="N520" i="21" s="1"/>
  <c r="M519" i="21"/>
  <c r="N519" i="21" s="1"/>
  <c r="M518" i="21"/>
  <c r="N518" i="21" s="1"/>
  <c r="M517" i="21"/>
  <c r="N517" i="21" s="1"/>
  <c r="M516" i="21"/>
  <c r="N516" i="21" s="1"/>
  <c r="M515" i="21"/>
  <c r="N515" i="21" s="1"/>
  <c r="M514" i="21"/>
  <c r="N514" i="21" s="1"/>
  <c r="M513" i="21"/>
  <c r="N513" i="21" s="1"/>
  <c r="M512" i="21"/>
  <c r="N512" i="21" s="1"/>
  <c r="M511" i="21"/>
  <c r="N511" i="21" s="1"/>
  <c r="M510" i="21"/>
  <c r="N510" i="21" s="1"/>
  <c r="M509" i="21"/>
  <c r="N509" i="21" s="1"/>
  <c r="M508" i="21"/>
  <c r="N508" i="21" s="1"/>
  <c r="M507" i="21"/>
  <c r="N507" i="21" s="1"/>
  <c r="M506" i="21"/>
  <c r="N506" i="21" s="1"/>
  <c r="M505" i="21"/>
  <c r="N505" i="21" s="1"/>
  <c r="M504" i="21"/>
  <c r="N504" i="21" s="1"/>
  <c r="M503" i="21"/>
  <c r="N503" i="21" s="1"/>
  <c r="M502" i="21"/>
  <c r="N502" i="21" s="1"/>
  <c r="M501" i="21"/>
  <c r="N501" i="21" s="1"/>
  <c r="M500" i="21"/>
  <c r="N500" i="21" s="1"/>
  <c r="M499" i="21"/>
  <c r="N499" i="21" s="1"/>
  <c r="M498" i="21"/>
  <c r="N498" i="21" s="1"/>
  <c r="M497" i="21"/>
  <c r="N497" i="21" s="1"/>
  <c r="M496" i="21"/>
  <c r="N496" i="21" s="1"/>
  <c r="M495" i="21"/>
  <c r="N495" i="21" s="1"/>
  <c r="M494" i="21"/>
  <c r="N494" i="21" s="1"/>
  <c r="M493" i="21"/>
  <c r="N493" i="21" s="1"/>
  <c r="M492" i="21"/>
  <c r="N492" i="21" s="1"/>
  <c r="M491" i="21"/>
  <c r="N491" i="21" s="1"/>
  <c r="M490" i="21"/>
  <c r="N490" i="21" s="1"/>
  <c r="M489" i="21"/>
  <c r="N489" i="21" s="1"/>
  <c r="M488" i="21"/>
  <c r="N488" i="21" s="1"/>
  <c r="M487" i="21"/>
  <c r="N487" i="21" s="1"/>
  <c r="M486" i="21"/>
  <c r="N486" i="21" s="1"/>
  <c r="M485" i="21"/>
  <c r="N485" i="21" s="1"/>
  <c r="M484" i="21"/>
  <c r="N484" i="21" s="1"/>
  <c r="M483" i="21"/>
  <c r="N483" i="21" s="1"/>
  <c r="M482" i="21"/>
  <c r="N482" i="21" s="1"/>
  <c r="M481" i="21"/>
  <c r="N481" i="21" s="1"/>
  <c r="M480" i="21"/>
  <c r="N480" i="21" s="1"/>
  <c r="M479" i="21"/>
  <c r="N479" i="21" s="1"/>
  <c r="M478" i="21"/>
  <c r="N478" i="21" s="1"/>
  <c r="M477" i="21"/>
  <c r="N477" i="21" s="1"/>
  <c r="M476" i="21"/>
  <c r="N476" i="21" s="1"/>
  <c r="M475" i="21"/>
  <c r="N475" i="21" s="1"/>
  <c r="M474" i="21"/>
  <c r="N474" i="21" s="1"/>
  <c r="M473" i="21"/>
  <c r="N473" i="21" s="1"/>
  <c r="M472" i="21"/>
  <c r="N472" i="21" s="1"/>
  <c r="M471" i="21"/>
  <c r="N471" i="21" s="1"/>
  <c r="M470" i="21"/>
  <c r="N470" i="21" s="1"/>
  <c r="M469" i="21"/>
  <c r="N469" i="21" s="1"/>
  <c r="M468" i="21"/>
  <c r="N468" i="21" s="1"/>
  <c r="M467" i="21"/>
  <c r="N467" i="21" s="1"/>
  <c r="M466" i="21"/>
  <c r="N466" i="21" s="1"/>
  <c r="M465" i="21"/>
  <c r="N465" i="21" s="1"/>
  <c r="M464" i="21"/>
  <c r="N464" i="21" s="1"/>
  <c r="M463" i="21"/>
  <c r="N463" i="21" s="1"/>
  <c r="M462" i="21"/>
  <c r="N462" i="21" s="1"/>
  <c r="M461" i="21"/>
  <c r="N461" i="21" s="1"/>
  <c r="M460" i="21"/>
  <c r="N460" i="21" s="1"/>
  <c r="M459" i="21"/>
  <c r="N459" i="21" s="1"/>
  <c r="M458" i="21"/>
  <c r="N458" i="21" s="1"/>
  <c r="M457" i="21"/>
  <c r="N457" i="21" s="1"/>
  <c r="M456" i="21"/>
  <c r="N456" i="21" s="1"/>
  <c r="M455" i="21"/>
  <c r="N455" i="21" s="1"/>
  <c r="M454" i="21"/>
  <c r="N454" i="21" s="1"/>
  <c r="M453" i="21"/>
  <c r="N453" i="21" s="1"/>
  <c r="M452" i="21"/>
  <c r="N452" i="21" s="1"/>
  <c r="M451" i="21"/>
  <c r="N451" i="21" s="1"/>
  <c r="M450" i="21"/>
  <c r="N450" i="21" s="1"/>
  <c r="M449" i="21"/>
  <c r="N449" i="21" s="1"/>
  <c r="M448" i="21"/>
  <c r="N448" i="21" s="1"/>
  <c r="M447" i="21"/>
  <c r="N447" i="21" s="1"/>
  <c r="M446" i="21"/>
  <c r="N446" i="21" s="1"/>
  <c r="M445" i="21"/>
  <c r="N445" i="21" s="1"/>
  <c r="M444" i="21"/>
  <c r="N444" i="21" s="1"/>
  <c r="M443" i="21"/>
  <c r="N443" i="21" s="1"/>
  <c r="M442" i="21"/>
  <c r="N442" i="21" s="1"/>
  <c r="M441" i="21"/>
  <c r="N441" i="21" s="1"/>
  <c r="M440" i="21"/>
  <c r="N440" i="21" s="1"/>
  <c r="M439" i="21"/>
  <c r="N439" i="21" s="1"/>
  <c r="M438" i="21"/>
  <c r="N438" i="21" s="1"/>
  <c r="M437" i="21"/>
  <c r="N437" i="21" s="1"/>
  <c r="M436" i="21"/>
  <c r="N436" i="21" s="1"/>
  <c r="M435" i="21"/>
  <c r="N435" i="21" s="1"/>
  <c r="M434" i="21"/>
  <c r="N434" i="21" s="1"/>
  <c r="M433" i="21"/>
  <c r="N433" i="21" s="1"/>
  <c r="M432" i="21"/>
  <c r="N432" i="21" s="1"/>
  <c r="M431" i="21"/>
  <c r="N431" i="21" s="1"/>
  <c r="M430" i="21"/>
  <c r="N430" i="21" s="1"/>
  <c r="M429" i="21"/>
  <c r="N429" i="21" s="1"/>
  <c r="N428" i="21"/>
  <c r="N427" i="21"/>
  <c r="N426" i="21"/>
  <c r="N425" i="21"/>
  <c r="N424" i="21"/>
  <c r="N423" i="21"/>
  <c r="N422" i="21"/>
  <c r="N421" i="21"/>
  <c r="N420" i="21"/>
  <c r="N419" i="21"/>
  <c r="N418" i="21"/>
  <c r="N417" i="21"/>
  <c r="N416" i="21"/>
  <c r="N415" i="21"/>
  <c r="N414" i="21"/>
  <c r="N413" i="21"/>
  <c r="N412" i="21"/>
  <c r="N411" i="21"/>
  <c r="N410" i="21"/>
  <c r="N409" i="21"/>
  <c r="N408" i="21"/>
  <c r="N407" i="21"/>
  <c r="N406" i="21"/>
  <c r="N405" i="21"/>
  <c r="N404" i="21"/>
  <c r="N403" i="21"/>
  <c r="N402" i="21"/>
  <c r="N401" i="21"/>
  <c r="N400" i="21"/>
  <c r="N399" i="21"/>
  <c r="N398" i="21"/>
  <c r="N397" i="21"/>
  <c r="N396" i="21"/>
  <c r="N395" i="21"/>
  <c r="N394" i="21"/>
  <c r="N393" i="21"/>
  <c r="N392" i="21"/>
  <c r="N391" i="21"/>
  <c r="N390" i="21"/>
  <c r="N389" i="21"/>
  <c r="N388" i="21"/>
  <c r="N387" i="21"/>
  <c r="N386" i="21"/>
  <c r="N385" i="21"/>
  <c r="N384" i="21"/>
  <c r="N383" i="21"/>
  <c r="N382" i="21"/>
  <c r="N381" i="21"/>
  <c r="N380" i="21"/>
  <c r="N379" i="21"/>
  <c r="N378" i="21"/>
  <c r="N377" i="21"/>
  <c r="N376" i="21"/>
  <c r="N375" i="21"/>
  <c r="N374" i="21"/>
  <c r="N373" i="21"/>
  <c r="N372" i="21"/>
  <c r="N371" i="21"/>
  <c r="N370" i="21"/>
  <c r="N369" i="21"/>
  <c r="N368" i="21"/>
  <c r="N367" i="21"/>
  <c r="N366" i="21"/>
  <c r="N365" i="21"/>
  <c r="N364" i="21"/>
  <c r="N363" i="21"/>
  <c r="N362" i="21"/>
  <c r="N361" i="21"/>
  <c r="N360" i="21"/>
  <c r="N359" i="21"/>
  <c r="N358" i="21"/>
  <c r="N357" i="21"/>
  <c r="N356" i="21"/>
  <c r="N355" i="21"/>
  <c r="N354" i="21"/>
  <c r="N353" i="21"/>
  <c r="N352" i="21"/>
  <c r="N351" i="21"/>
  <c r="N350" i="21"/>
  <c r="N349" i="21"/>
  <c r="N348" i="21"/>
  <c r="N347" i="21"/>
  <c r="N346" i="21"/>
  <c r="N345" i="21"/>
  <c r="N344" i="21"/>
  <c r="N343" i="21"/>
  <c r="N342" i="21"/>
  <c r="N341" i="21"/>
  <c r="N340" i="21"/>
  <c r="N339" i="21"/>
  <c r="N338" i="21"/>
  <c r="N337" i="21"/>
  <c r="N336" i="21"/>
  <c r="N335" i="21"/>
  <c r="N334" i="21"/>
  <c r="N333" i="21"/>
  <c r="N332" i="21"/>
  <c r="N331" i="21"/>
  <c r="N330" i="21"/>
  <c r="N329" i="21"/>
  <c r="N328" i="21"/>
  <c r="N327" i="21"/>
  <c r="N326" i="21"/>
  <c r="N325" i="21"/>
  <c r="N324" i="21"/>
  <c r="N323" i="21"/>
  <c r="N322" i="21"/>
  <c r="N321" i="21"/>
  <c r="N320" i="21"/>
  <c r="N319" i="21"/>
  <c r="N318" i="21"/>
  <c r="N317" i="21"/>
  <c r="N316" i="21"/>
  <c r="N315" i="21"/>
  <c r="N314" i="21"/>
  <c r="N313" i="21"/>
  <c r="N312" i="21"/>
  <c r="N311" i="21"/>
  <c r="N310" i="21"/>
  <c r="N309" i="21"/>
  <c r="N308" i="21"/>
  <c r="N307" i="21"/>
  <c r="N306" i="21"/>
  <c r="N305" i="21"/>
  <c r="N304" i="21"/>
  <c r="N303" i="21"/>
  <c r="N302" i="21"/>
  <c r="N301" i="21"/>
  <c r="N300" i="21"/>
  <c r="N299" i="21"/>
  <c r="N298" i="21"/>
  <c r="N297" i="21"/>
  <c r="L245" i="21"/>
  <c r="M245" i="21" s="1"/>
  <c r="L244" i="21"/>
  <c r="M244" i="21" s="1"/>
  <c r="F296" i="20" l="1"/>
  <c r="F295" i="20"/>
  <c r="F294" i="20"/>
  <c r="F293" i="20"/>
  <c r="F292" i="20"/>
  <c r="F291" i="20"/>
  <c r="F290" i="20"/>
  <c r="F289" i="20"/>
  <c r="F288" i="20"/>
  <c r="F287" i="20"/>
  <c r="F286" i="20"/>
  <c r="F285" i="20"/>
  <c r="F284" i="20"/>
  <c r="F283" i="20"/>
  <c r="F282" i="20"/>
  <c r="F281" i="20"/>
  <c r="F280" i="20"/>
  <c r="F279" i="20"/>
  <c r="F278" i="20"/>
  <c r="F277" i="20"/>
  <c r="F276" i="20"/>
  <c r="F275" i="20"/>
  <c r="F274" i="20"/>
  <c r="F273" i="20"/>
  <c r="F272" i="20"/>
  <c r="F271" i="20"/>
  <c r="F270" i="20"/>
  <c r="F269" i="20"/>
  <c r="F268" i="20"/>
  <c r="F267" i="20"/>
  <c r="F266" i="20"/>
  <c r="F265" i="20"/>
  <c r="F264" i="20"/>
  <c r="F263" i="20"/>
  <c r="F262" i="20"/>
  <c r="F261" i="20"/>
  <c r="F260" i="20"/>
  <c r="F259" i="20"/>
  <c r="F258" i="20"/>
  <c r="F257" i="20"/>
  <c r="F256" i="20"/>
  <c r="F255" i="20"/>
  <c r="F254" i="20"/>
  <c r="F253" i="20"/>
  <c r="F252" i="20"/>
  <c r="F251" i="20"/>
  <c r="F250" i="20"/>
  <c r="F249" i="20"/>
  <c r="F248" i="20"/>
  <c r="F247" i="20"/>
  <c r="F246" i="20"/>
  <c r="F245" i="20"/>
  <c r="F244" i="20"/>
  <c r="F243" i="20"/>
  <c r="F242" i="20"/>
  <c r="F241" i="20"/>
  <c r="F240" i="20"/>
  <c r="F239" i="20"/>
  <c r="F238" i="20"/>
  <c r="F237" i="20"/>
  <c r="F236" i="20"/>
  <c r="F235" i="20"/>
  <c r="F234" i="20"/>
  <c r="F233" i="20"/>
  <c r="F232" i="20"/>
  <c r="F231" i="20"/>
  <c r="F230" i="20"/>
  <c r="F229" i="20"/>
  <c r="F228" i="20"/>
  <c r="F227" i="20"/>
  <c r="F226" i="20"/>
  <c r="F225" i="20"/>
  <c r="F224" i="20"/>
  <c r="F223" i="20"/>
  <c r="F222" i="20"/>
  <c r="F221" i="20"/>
  <c r="F220" i="20"/>
  <c r="F219" i="20"/>
  <c r="F218" i="20"/>
  <c r="F217" i="20"/>
  <c r="F216" i="20"/>
  <c r="F215" i="20"/>
  <c r="F214" i="20"/>
  <c r="F213" i="20"/>
  <c r="F212" i="20"/>
  <c r="F211" i="20"/>
  <c r="F210" i="20"/>
  <c r="F209" i="20"/>
  <c r="F208" i="20"/>
  <c r="F207" i="20"/>
  <c r="F206" i="20"/>
  <c r="F205" i="20"/>
  <c r="F204" i="20"/>
  <c r="F203" i="20"/>
  <c r="F202" i="20"/>
  <c r="F201" i="20"/>
  <c r="F200" i="20"/>
  <c r="F199" i="20"/>
  <c r="F198" i="20"/>
  <c r="F197" i="20"/>
  <c r="F196" i="20"/>
  <c r="F195" i="20"/>
  <c r="F194" i="20"/>
  <c r="F193" i="20"/>
  <c r="F192" i="20"/>
  <c r="F191" i="20"/>
  <c r="F190" i="20"/>
  <c r="F189" i="20"/>
  <c r="F188" i="20"/>
  <c r="F187" i="20"/>
  <c r="F186" i="20"/>
  <c r="F185" i="20"/>
  <c r="F184" i="20"/>
  <c r="F183" i="20"/>
  <c r="F182" i="20"/>
  <c r="F181" i="20"/>
  <c r="F180" i="20"/>
  <c r="F179" i="20"/>
  <c r="F178" i="20"/>
  <c r="F177" i="20"/>
  <c r="F176" i="20"/>
  <c r="F175" i="20"/>
  <c r="F174" i="20"/>
  <c r="F173" i="20"/>
  <c r="F172" i="20"/>
  <c r="F171" i="20"/>
  <c r="F170" i="20"/>
  <c r="F169" i="20"/>
  <c r="F168" i="20"/>
  <c r="F167" i="20"/>
  <c r="F166" i="20"/>
  <c r="F165" i="20"/>
  <c r="F164" i="20"/>
  <c r="F163" i="20"/>
  <c r="F162" i="20"/>
  <c r="F161" i="20"/>
  <c r="F160" i="20"/>
  <c r="F159" i="20"/>
  <c r="F158" i="20"/>
  <c r="F157" i="20"/>
  <c r="F156" i="20"/>
  <c r="F155" i="20"/>
  <c r="F154" i="20"/>
  <c r="F153" i="20"/>
  <c r="F152" i="20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F3" i="19" l="1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2" i="19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2" i="18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2" i="17"/>
  <c r="F7" i="14" l="1"/>
  <c r="E10" i="9" l="1"/>
  <c r="E9" i="9"/>
  <c r="N12" i="12" s="1"/>
  <c r="E8" i="9"/>
  <c r="L23" i="12" l="1"/>
  <c r="M23" i="12" s="1"/>
  <c r="L35" i="12"/>
  <c r="M35" i="12" s="1"/>
  <c r="L89" i="12"/>
  <c r="M89" i="12" s="1"/>
  <c r="L73" i="12"/>
  <c r="M73" i="12" s="1"/>
  <c r="L57" i="12"/>
  <c r="M57" i="12" s="1"/>
  <c r="L41" i="12"/>
  <c r="M41" i="12" s="1"/>
  <c r="L25" i="12"/>
  <c r="M25" i="12" s="1"/>
  <c r="L102" i="12"/>
  <c r="M102" i="12" s="1"/>
  <c r="L38" i="12"/>
  <c r="M38" i="12" s="1"/>
  <c r="L21" i="12"/>
  <c r="M21" i="12" s="1"/>
  <c r="L52" i="12"/>
  <c r="M52" i="12" s="1"/>
  <c r="L67" i="12"/>
  <c r="M67" i="12" s="1"/>
  <c r="L98" i="12"/>
  <c r="M98" i="12" s="1"/>
  <c r="L50" i="12"/>
  <c r="M50" i="12" s="1"/>
  <c r="L24" i="12"/>
  <c r="M24" i="12" s="1"/>
  <c r="L104" i="12"/>
  <c r="M104" i="12" s="1"/>
  <c r="L56" i="12"/>
  <c r="M56" i="12" s="1"/>
  <c r="L87" i="12"/>
  <c r="M87" i="12" s="1"/>
  <c r="L71" i="12"/>
  <c r="M71" i="12" s="1"/>
  <c r="L55" i="12"/>
  <c r="M55" i="12" s="1"/>
  <c r="L39" i="12"/>
  <c r="M39" i="12" s="1"/>
  <c r="L70" i="12"/>
  <c r="M70" i="12" s="1"/>
  <c r="L22" i="12"/>
  <c r="M22" i="12" s="1"/>
  <c r="L68" i="12"/>
  <c r="M68" i="12" s="1"/>
  <c r="L20" i="12"/>
  <c r="M20" i="12" s="1"/>
  <c r="L114" i="12"/>
  <c r="M114" i="12" s="1"/>
  <c r="L26" i="12"/>
  <c r="M26" i="12" s="1"/>
  <c r="L53" i="12"/>
  <c r="M53" i="12" s="1"/>
  <c r="L118" i="12"/>
  <c r="M118" i="12" s="1"/>
  <c r="L85" i="12"/>
  <c r="M85" i="12" s="1"/>
  <c r="L116" i="12"/>
  <c r="M116" i="12" s="1"/>
  <c r="L100" i="12"/>
  <c r="M100" i="12" s="1"/>
  <c r="L83" i="12"/>
  <c r="M83" i="12" s="1"/>
  <c r="L113" i="12"/>
  <c r="M113" i="12" s="1"/>
  <c r="L97" i="12"/>
  <c r="M97" i="12" s="1"/>
  <c r="L81" i="12"/>
  <c r="M81" i="12" s="1"/>
  <c r="L65" i="12"/>
  <c r="M65" i="12" s="1"/>
  <c r="L49" i="12"/>
  <c r="M49" i="12" s="1"/>
  <c r="L33" i="12"/>
  <c r="M33" i="12" s="1"/>
  <c r="L61" i="12"/>
  <c r="M61" i="12" s="1"/>
  <c r="L44" i="12"/>
  <c r="M44" i="12" s="1"/>
  <c r="L107" i="12"/>
  <c r="M107" i="12" s="1"/>
  <c r="L27" i="12"/>
  <c r="M27" i="12" s="1"/>
  <c r="L74" i="12"/>
  <c r="M74" i="12" s="1"/>
  <c r="L80" i="12"/>
  <c r="M80" i="12" s="1"/>
  <c r="L32" i="12"/>
  <c r="M32" i="12" s="1"/>
  <c r="L95" i="12"/>
  <c r="M95" i="12" s="1"/>
  <c r="L31" i="12"/>
  <c r="M31" i="12" s="1"/>
  <c r="L94" i="12"/>
  <c r="M94" i="12" s="1"/>
  <c r="L30" i="12"/>
  <c r="M30" i="12" s="1"/>
  <c r="L77" i="12"/>
  <c r="M77" i="12" s="1"/>
  <c r="L45" i="12"/>
  <c r="M45" i="12" s="1"/>
  <c r="L92" i="12"/>
  <c r="M92" i="12" s="1"/>
  <c r="L28" i="12"/>
  <c r="M28" i="12" s="1"/>
  <c r="L59" i="12"/>
  <c r="M59" i="12" s="1"/>
  <c r="L42" i="12"/>
  <c r="M42" i="12" s="1"/>
  <c r="L64" i="12"/>
  <c r="M64" i="12" s="1"/>
  <c r="L111" i="12"/>
  <c r="M111" i="12" s="1"/>
  <c r="L79" i="12"/>
  <c r="M79" i="12" s="1"/>
  <c r="L46" i="12"/>
  <c r="M46" i="12" s="1"/>
  <c r="L109" i="12"/>
  <c r="M109" i="12" s="1"/>
  <c r="L29" i="12"/>
  <c r="M29" i="12" s="1"/>
  <c r="L76" i="12"/>
  <c r="M76" i="12" s="1"/>
  <c r="L91" i="12"/>
  <c r="M91" i="12" s="1"/>
  <c r="L106" i="12"/>
  <c r="M106" i="12" s="1"/>
  <c r="N11" i="12"/>
  <c r="M17" i="12" l="1"/>
  <c r="N106" i="12" s="1"/>
  <c r="P106" i="12" s="1"/>
  <c r="B2" i="14"/>
  <c r="R9" i="12"/>
  <c r="R106" i="12" l="1"/>
  <c r="AD96" i="2" s="1"/>
  <c r="Q106" i="12"/>
  <c r="AC96" i="2" s="1"/>
  <c r="N42" i="12"/>
  <c r="P42" i="12" s="1"/>
  <c r="N91" i="12"/>
  <c r="P91" i="12" s="1"/>
  <c r="N21" i="12"/>
  <c r="P21" i="12" s="1"/>
  <c r="N23" i="12"/>
  <c r="P23" i="12" s="1"/>
  <c r="N28" i="12"/>
  <c r="P28" i="12" s="1"/>
  <c r="N83" i="12"/>
  <c r="P83" i="12" s="1"/>
  <c r="N20" i="12"/>
  <c r="P20" i="12" s="1"/>
  <c r="N118" i="12"/>
  <c r="P118" i="12" s="1"/>
  <c r="N119" i="12"/>
  <c r="P119" i="12" s="1"/>
  <c r="N86" i="12"/>
  <c r="P86" i="12" s="1"/>
  <c r="N54" i="12"/>
  <c r="P54" i="12" s="1"/>
  <c r="N84" i="12"/>
  <c r="P84" i="12" s="1"/>
  <c r="N117" i="12"/>
  <c r="P117" i="12" s="1"/>
  <c r="N82" i="12"/>
  <c r="P82" i="12" s="1"/>
  <c r="N115" i="12"/>
  <c r="P115" i="12" s="1"/>
  <c r="N51" i="12"/>
  <c r="P51" i="12" s="1"/>
  <c r="N112" i="12"/>
  <c r="P112" i="12" s="1"/>
  <c r="N48" i="12"/>
  <c r="P48" i="12" s="1"/>
  <c r="N110" i="12"/>
  <c r="P110" i="12" s="1"/>
  <c r="N78" i="12"/>
  <c r="P78" i="12" s="1"/>
  <c r="N47" i="12"/>
  <c r="P47" i="12" s="1"/>
  <c r="N108" i="12"/>
  <c r="P108" i="12" s="1"/>
  <c r="N99" i="12"/>
  <c r="P99" i="12" s="1"/>
  <c r="N75" i="12"/>
  <c r="P75" i="12" s="1"/>
  <c r="N43" i="12"/>
  <c r="P43" i="12" s="1"/>
  <c r="N72" i="12"/>
  <c r="P72" i="12" s="1"/>
  <c r="N40" i="12"/>
  <c r="P40" i="12" s="1"/>
  <c r="N105" i="12"/>
  <c r="P105" i="12" s="1"/>
  <c r="N103" i="12"/>
  <c r="P103" i="12" s="1"/>
  <c r="N36" i="12"/>
  <c r="P36" i="12" s="1"/>
  <c r="N101" i="12"/>
  <c r="P101" i="12" s="1"/>
  <c r="N69" i="12"/>
  <c r="P69" i="12" s="1"/>
  <c r="N37" i="12"/>
  <c r="P37" i="12" s="1"/>
  <c r="N66" i="12"/>
  <c r="P66" i="12" s="1"/>
  <c r="N34" i="12"/>
  <c r="P34" i="12" s="1"/>
  <c r="N96" i="12"/>
  <c r="P96" i="12" s="1"/>
  <c r="N62" i="12"/>
  <c r="P62" i="12" s="1"/>
  <c r="N63" i="12"/>
  <c r="P63" i="12" s="1"/>
  <c r="N60" i="12"/>
  <c r="P60" i="12" s="1"/>
  <c r="N93" i="12"/>
  <c r="P93" i="12" s="1"/>
  <c r="N90" i="12"/>
  <c r="P90" i="12" s="1"/>
  <c r="N58" i="12"/>
  <c r="P58" i="12" s="1"/>
  <c r="N88" i="12"/>
  <c r="P88" i="12" s="1"/>
  <c r="N113" i="12"/>
  <c r="P113" i="12" s="1"/>
  <c r="N64" i="12"/>
  <c r="P64" i="12" s="1"/>
  <c r="N89" i="12"/>
  <c r="P89" i="12" s="1"/>
  <c r="N114" i="12"/>
  <c r="P114" i="12" s="1"/>
  <c r="N97" i="12"/>
  <c r="P97" i="12" s="1"/>
  <c r="N111" i="12"/>
  <c r="P111" i="12" s="1"/>
  <c r="N73" i="12"/>
  <c r="P73" i="12" s="1"/>
  <c r="N26" i="12"/>
  <c r="P26" i="12" s="1"/>
  <c r="N57" i="12"/>
  <c r="P57" i="12" s="1"/>
  <c r="N53" i="12"/>
  <c r="P53" i="12" s="1"/>
  <c r="N44" i="12"/>
  <c r="P44" i="12" s="1"/>
  <c r="N35" i="12"/>
  <c r="P35" i="12" s="1"/>
  <c r="N109" i="12"/>
  <c r="P109" i="12" s="1"/>
  <c r="N67" i="12"/>
  <c r="P67" i="12" s="1"/>
  <c r="N49" i="12"/>
  <c r="P49" i="12" s="1"/>
  <c r="N29" i="12"/>
  <c r="P29" i="12" s="1"/>
  <c r="N107" i="12"/>
  <c r="P107" i="12" s="1"/>
  <c r="N76" i="12"/>
  <c r="P76" i="12" s="1"/>
  <c r="N59" i="12"/>
  <c r="P59" i="12" s="1"/>
  <c r="N81" i="12"/>
  <c r="P81" i="12" s="1"/>
  <c r="N98" i="12"/>
  <c r="P98" i="12" s="1"/>
  <c r="N65" i="12"/>
  <c r="P65" i="12" s="1"/>
  <c r="N80" i="12"/>
  <c r="P80" i="12" s="1"/>
  <c r="N38" i="12"/>
  <c r="P38" i="12" s="1"/>
  <c r="N56" i="12"/>
  <c r="P56" i="12" s="1"/>
  <c r="N74" i="12"/>
  <c r="P74" i="12" s="1"/>
  <c r="N77" i="12"/>
  <c r="P77" i="12" s="1"/>
  <c r="N46" i="12"/>
  <c r="P46" i="12" s="1"/>
  <c r="N50" i="12"/>
  <c r="P50" i="12" s="1"/>
  <c r="N41" i="12"/>
  <c r="P41" i="12" s="1"/>
  <c r="N32" i="12"/>
  <c r="P32" i="12" s="1"/>
  <c r="N52" i="12"/>
  <c r="P52" i="12" s="1"/>
  <c r="N94" i="12"/>
  <c r="P94" i="12" s="1"/>
  <c r="N79" i="12"/>
  <c r="P79" i="12" s="1"/>
  <c r="N24" i="12"/>
  <c r="P24" i="12" s="1"/>
  <c r="N25" i="12"/>
  <c r="P25" i="12" s="1"/>
  <c r="N95" i="12"/>
  <c r="P95" i="12" s="1"/>
  <c r="N71" i="12"/>
  <c r="P71" i="12" s="1"/>
  <c r="N87" i="12"/>
  <c r="P87" i="12" s="1"/>
  <c r="N61" i="12"/>
  <c r="P61" i="12" s="1"/>
  <c r="N104" i="12"/>
  <c r="P104" i="12" s="1"/>
  <c r="N22" i="12"/>
  <c r="P22" i="12" s="1"/>
  <c r="N31" i="12"/>
  <c r="P31" i="12" s="1"/>
  <c r="N85" i="12"/>
  <c r="P85" i="12" s="1"/>
  <c r="N92" i="12"/>
  <c r="P92" i="12" s="1"/>
  <c r="N33" i="12"/>
  <c r="P33" i="12" s="1"/>
  <c r="N55" i="12"/>
  <c r="P55" i="12" s="1"/>
  <c r="N27" i="12"/>
  <c r="P27" i="12" s="1"/>
  <c r="N45" i="12"/>
  <c r="P45" i="12" s="1"/>
  <c r="N116" i="12"/>
  <c r="P116" i="12" s="1"/>
  <c r="N39" i="12"/>
  <c r="P39" i="12" s="1"/>
  <c r="N102" i="12"/>
  <c r="P102" i="12" s="1"/>
  <c r="N70" i="12"/>
  <c r="P70" i="12" s="1"/>
  <c r="N30" i="12"/>
  <c r="P30" i="12" s="1"/>
  <c r="N68" i="12"/>
  <c r="P68" i="12" s="1"/>
  <c r="N100" i="12"/>
  <c r="P100" i="12" s="1"/>
  <c r="J12" i="12"/>
  <c r="R41" i="12" l="1"/>
  <c r="AD31" i="2" s="1"/>
  <c r="Q41" i="12"/>
  <c r="AC31" i="2" s="1"/>
  <c r="Q50" i="12"/>
  <c r="AC40" i="2" s="1"/>
  <c r="R50" i="12"/>
  <c r="AD40" i="2" s="1"/>
  <c r="R46" i="12"/>
  <c r="AD36" i="2" s="1"/>
  <c r="Q46" i="12"/>
  <c r="AC36" i="2" s="1"/>
  <c r="R60" i="12"/>
  <c r="AD50" i="2" s="1"/>
  <c r="Q60" i="12"/>
  <c r="AC50" i="2" s="1"/>
  <c r="R63" i="12"/>
  <c r="AD53" i="2" s="1"/>
  <c r="Q63" i="12"/>
  <c r="AC53" i="2" s="1"/>
  <c r="Q74" i="12"/>
  <c r="AC64" i="2" s="1"/>
  <c r="R74" i="12"/>
  <c r="AD64" i="2" s="1"/>
  <c r="R28" i="12"/>
  <c r="AD18" i="2" s="1"/>
  <c r="Q28" i="12"/>
  <c r="AC18" i="2" s="1"/>
  <c r="R23" i="12"/>
  <c r="AD13" i="2" s="1"/>
  <c r="Q23" i="12"/>
  <c r="AC13" i="2" s="1"/>
  <c r="R38" i="12"/>
  <c r="AD28" i="2" s="1"/>
  <c r="Q38" i="12"/>
  <c r="AC28" i="2" s="1"/>
  <c r="R21" i="12"/>
  <c r="Q21" i="12"/>
  <c r="R80" i="12"/>
  <c r="AD70" i="2" s="1"/>
  <c r="Q80" i="12"/>
  <c r="AC70" i="2" s="1"/>
  <c r="R91" i="12"/>
  <c r="AD81" i="2" s="1"/>
  <c r="Q91" i="12"/>
  <c r="AC81" i="2" s="1"/>
  <c r="R65" i="12"/>
  <c r="AD55" i="2" s="1"/>
  <c r="Q65" i="12"/>
  <c r="AC55" i="2" s="1"/>
  <c r="R42" i="12"/>
  <c r="AD32" i="2" s="1"/>
  <c r="Q42" i="12"/>
  <c r="AC32" i="2" s="1"/>
  <c r="R98" i="12"/>
  <c r="AD88" i="2" s="1"/>
  <c r="Q98" i="12"/>
  <c r="AC88" i="2" s="1"/>
  <c r="R81" i="12"/>
  <c r="AD71" i="2" s="1"/>
  <c r="Q81" i="12"/>
  <c r="AC71" i="2" s="1"/>
  <c r="R39" i="12"/>
  <c r="AD29" i="2" s="1"/>
  <c r="Q39" i="12"/>
  <c r="AC29" i="2" s="1"/>
  <c r="R59" i="12"/>
  <c r="AD49" i="2" s="1"/>
  <c r="Q59" i="12"/>
  <c r="AC49" i="2" s="1"/>
  <c r="R36" i="12"/>
  <c r="AD26" i="2" s="1"/>
  <c r="Q36" i="12"/>
  <c r="AC26" i="2" s="1"/>
  <c r="R119" i="12"/>
  <c r="AD109" i="2" s="1"/>
  <c r="Q119" i="12"/>
  <c r="AC109" i="2" s="1"/>
  <c r="R118" i="12"/>
  <c r="AD108" i="2" s="1"/>
  <c r="Q118" i="12"/>
  <c r="AC108" i="2" s="1"/>
  <c r="R20" i="12"/>
  <c r="Q20" i="12"/>
  <c r="R83" i="12"/>
  <c r="AD73" i="2" s="1"/>
  <c r="Q83" i="12"/>
  <c r="AC73" i="2" s="1"/>
  <c r="R62" i="12"/>
  <c r="AD52" i="2" s="1"/>
  <c r="Q62" i="12"/>
  <c r="AC52" i="2" s="1"/>
  <c r="Q56" i="12"/>
  <c r="AC46" i="2" s="1"/>
  <c r="R56" i="12"/>
  <c r="AD46" i="2" s="1"/>
  <c r="R96" i="12"/>
  <c r="AD86" i="2" s="1"/>
  <c r="Q96" i="12"/>
  <c r="AC86" i="2" s="1"/>
  <c r="R100" i="12"/>
  <c r="AD90" i="2" s="1"/>
  <c r="Q100" i="12"/>
  <c r="AC90" i="2" s="1"/>
  <c r="R34" i="12"/>
  <c r="AD24" i="2" s="1"/>
  <c r="Q34" i="12"/>
  <c r="AC24" i="2" s="1"/>
  <c r="Q68" i="12"/>
  <c r="AC58" i="2" s="1"/>
  <c r="R68" i="12"/>
  <c r="AD58" i="2" s="1"/>
  <c r="R66" i="12"/>
  <c r="AD56" i="2" s="1"/>
  <c r="Q66" i="12"/>
  <c r="AC56" i="2" s="1"/>
  <c r="R30" i="12"/>
  <c r="AD20" i="2" s="1"/>
  <c r="Q30" i="12"/>
  <c r="AC20" i="2" s="1"/>
  <c r="R37" i="12"/>
  <c r="AD27" i="2" s="1"/>
  <c r="Q37" i="12"/>
  <c r="AC27" i="2" s="1"/>
  <c r="R70" i="12"/>
  <c r="AD60" i="2" s="1"/>
  <c r="Q70" i="12"/>
  <c r="AC60" i="2" s="1"/>
  <c r="Q69" i="12"/>
  <c r="AC59" i="2" s="1"/>
  <c r="R69" i="12"/>
  <c r="AD59" i="2" s="1"/>
  <c r="R102" i="12"/>
  <c r="AD92" i="2" s="1"/>
  <c r="Q102" i="12"/>
  <c r="AC92" i="2" s="1"/>
  <c r="Q116" i="12"/>
  <c r="AC106" i="2" s="1"/>
  <c r="R116" i="12"/>
  <c r="AD106" i="2" s="1"/>
  <c r="Q76" i="12"/>
  <c r="AC66" i="2" s="1"/>
  <c r="R76" i="12"/>
  <c r="AD66" i="2" s="1"/>
  <c r="R45" i="12"/>
  <c r="AD35" i="2" s="1"/>
  <c r="Q45" i="12"/>
  <c r="AC35" i="2" s="1"/>
  <c r="R105" i="12"/>
  <c r="AD95" i="2" s="1"/>
  <c r="Q105" i="12"/>
  <c r="AC95" i="2" s="1"/>
  <c r="R29" i="12"/>
  <c r="AD19" i="2" s="1"/>
  <c r="Q29" i="12"/>
  <c r="AC19" i="2" s="1"/>
  <c r="R40" i="12"/>
  <c r="AD30" i="2" s="1"/>
  <c r="Q40" i="12"/>
  <c r="AC30" i="2" s="1"/>
  <c r="R55" i="12"/>
  <c r="AD45" i="2" s="1"/>
  <c r="Q55" i="12"/>
  <c r="AC45" i="2" s="1"/>
  <c r="R49" i="12"/>
  <c r="AD39" i="2" s="1"/>
  <c r="Q49" i="12"/>
  <c r="AC39" i="2" s="1"/>
  <c r="Q72" i="12"/>
  <c r="AC62" i="2" s="1"/>
  <c r="R72" i="12"/>
  <c r="AD62" i="2" s="1"/>
  <c r="R33" i="12"/>
  <c r="AD23" i="2" s="1"/>
  <c r="Q33" i="12"/>
  <c r="AC23" i="2" s="1"/>
  <c r="Q67" i="12"/>
  <c r="AC57" i="2" s="1"/>
  <c r="R67" i="12"/>
  <c r="AD57" i="2" s="1"/>
  <c r="R43" i="12"/>
  <c r="AD33" i="2" s="1"/>
  <c r="Q43" i="12"/>
  <c r="AC33" i="2" s="1"/>
  <c r="R92" i="12"/>
  <c r="AD82" i="2" s="1"/>
  <c r="Q92" i="12"/>
  <c r="AC82" i="2" s="1"/>
  <c r="R109" i="12"/>
  <c r="AD99" i="2" s="1"/>
  <c r="Q109" i="12"/>
  <c r="AC99" i="2" s="1"/>
  <c r="R75" i="12"/>
  <c r="AD65" i="2" s="1"/>
  <c r="Q75" i="12"/>
  <c r="AC65" i="2" s="1"/>
  <c r="R85" i="12"/>
  <c r="AD75" i="2" s="1"/>
  <c r="Q85" i="12"/>
  <c r="AC75" i="2" s="1"/>
  <c r="R35" i="12"/>
  <c r="AD25" i="2" s="1"/>
  <c r="Q35" i="12"/>
  <c r="AC25" i="2" s="1"/>
  <c r="R99" i="12"/>
  <c r="AD89" i="2" s="1"/>
  <c r="Q99" i="12"/>
  <c r="AC89" i="2" s="1"/>
  <c r="R90" i="12"/>
  <c r="AD80" i="2" s="1"/>
  <c r="Q90" i="12"/>
  <c r="AC80" i="2" s="1"/>
  <c r="R93" i="12"/>
  <c r="AD83" i="2" s="1"/>
  <c r="Q93" i="12"/>
  <c r="AC83" i="2" s="1"/>
  <c r="R77" i="12"/>
  <c r="AD67" i="2" s="1"/>
  <c r="Q77" i="12"/>
  <c r="AC67" i="2" s="1"/>
  <c r="R101" i="12"/>
  <c r="AD91" i="2" s="1"/>
  <c r="Q101" i="12"/>
  <c r="AC91" i="2" s="1"/>
  <c r="R103" i="12"/>
  <c r="AD93" i="2" s="1"/>
  <c r="Q103" i="12"/>
  <c r="AC93" i="2" s="1"/>
  <c r="R107" i="12"/>
  <c r="AD97" i="2" s="1"/>
  <c r="Q107" i="12"/>
  <c r="AC97" i="2" s="1"/>
  <c r="R27" i="12"/>
  <c r="AD17" i="2" s="1"/>
  <c r="Q27" i="12"/>
  <c r="AC17" i="2" s="1"/>
  <c r="R31" i="12"/>
  <c r="AD21" i="2" s="1"/>
  <c r="Q31" i="12"/>
  <c r="AC21" i="2" s="1"/>
  <c r="R44" i="12"/>
  <c r="AD34" i="2" s="1"/>
  <c r="Q44" i="12"/>
  <c r="AC34" i="2" s="1"/>
  <c r="R108" i="12"/>
  <c r="AD98" i="2" s="1"/>
  <c r="Q108" i="12"/>
  <c r="AC98" i="2" s="1"/>
  <c r="R22" i="12"/>
  <c r="Q22" i="12"/>
  <c r="Q53" i="12"/>
  <c r="AC43" i="2" s="1"/>
  <c r="R53" i="12"/>
  <c r="AD43" i="2" s="1"/>
  <c r="R47" i="12"/>
  <c r="AD37" i="2" s="1"/>
  <c r="Q47" i="12"/>
  <c r="AC37" i="2" s="1"/>
  <c r="R104" i="12"/>
  <c r="AD94" i="2" s="1"/>
  <c r="Q104" i="12"/>
  <c r="AC94" i="2" s="1"/>
  <c r="R57" i="12"/>
  <c r="AD47" i="2" s="1"/>
  <c r="Q57" i="12"/>
  <c r="AC47" i="2" s="1"/>
  <c r="R78" i="12"/>
  <c r="AD68" i="2" s="1"/>
  <c r="Q78" i="12"/>
  <c r="AC68" i="2" s="1"/>
  <c r="R61" i="12"/>
  <c r="AD51" i="2" s="1"/>
  <c r="Q61" i="12"/>
  <c r="AC51" i="2" s="1"/>
  <c r="R26" i="12"/>
  <c r="AD16" i="2" s="1"/>
  <c r="Q26" i="12"/>
  <c r="AC16" i="2" s="1"/>
  <c r="R110" i="12"/>
  <c r="AD100" i="2" s="1"/>
  <c r="Q110" i="12"/>
  <c r="AC100" i="2" s="1"/>
  <c r="R87" i="12"/>
  <c r="AD77" i="2" s="1"/>
  <c r="Q87" i="12"/>
  <c r="AC77" i="2" s="1"/>
  <c r="R73" i="12"/>
  <c r="AD63" i="2" s="1"/>
  <c r="Q73" i="12"/>
  <c r="AC63" i="2" s="1"/>
  <c r="R48" i="12"/>
  <c r="AD38" i="2" s="1"/>
  <c r="Q48" i="12"/>
  <c r="AC38" i="2" s="1"/>
  <c r="R71" i="12"/>
  <c r="AD61" i="2" s="1"/>
  <c r="Q71" i="12"/>
  <c r="AC61" i="2" s="1"/>
  <c r="R111" i="12"/>
  <c r="AD101" i="2" s="1"/>
  <c r="Q111" i="12"/>
  <c r="AC101" i="2" s="1"/>
  <c r="R112" i="12"/>
  <c r="AD102" i="2" s="1"/>
  <c r="Q112" i="12"/>
  <c r="AC102" i="2" s="1"/>
  <c r="R95" i="12"/>
  <c r="AD85" i="2" s="1"/>
  <c r="Q95" i="12"/>
  <c r="AC85" i="2" s="1"/>
  <c r="R97" i="12"/>
  <c r="AD87" i="2" s="1"/>
  <c r="Q97" i="12"/>
  <c r="AC87" i="2" s="1"/>
  <c r="Q51" i="12"/>
  <c r="AC41" i="2" s="1"/>
  <c r="R51" i="12"/>
  <c r="AD41" i="2" s="1"/>
  <c r="R25" i="12"/>
  <c r="AD15" i="2" s="1"/>
  <c r="Q25" i="12"/>
  <c r="AC15" i="2" s="1"/>
  <c r="Q114" i="12"/>
  <c r="AC104" i="2" s="1"/>
  <c r="R114" i="12"/>
  <c r="AD104" i="2" s="1"/>
  <c r="Q115" i="12"/>
  <c r="AC105" i="2" s="1"/>
  <c r="R115" i="12"/>
  <c r="AD105" i="2" s="1"/>
  <c r="R24" i="12"/>
  <c r="AD14" i="2" s="1"/>
  <c r="Q24" i="12"/>
  <c r="AC14" i="2" s="1"/>
  <c r="Q89" i="12"/>
  <c r="AC79" i="2" s="1"/>
  <c r="R89" i="12"/>
  <c r="AD79" i="2" s="1"/>
  <c r="R82" i="12"/>
  <c r="AD72" i="2" s="1"/>
  <c r="Q82" i="12"/>
  <c r="AC72" i="2" s="1"/>
  <c r="R79" i="12"/>
  <c r="AD69" i="2" s="1"/>
  <c r="Q79" i="12"/>
  <c r="AC69" i="2" s="1"/>
  <c r="R64" i="12"/>
  <c r="AD54" i="2" s="1"/>
  <c r="Q64" i="12"/>
  <c r="AC54" i="2" s="1"/>
  <c r="Q117" i="12"/>
  <c r="AC107" i="2" s="1"/>
  <c r="R117" i="12"/>
  <c r="AD107" i="2" s="1"/>
  <c r="R94" i="12"/>
  <c r="AD84" i="2" s="1"/>
  <c r="Q94" i="12"/>
  <c r="AC84" i="2" s="1"/>
  <c r="Q113" i="12"/>
  <c r="AC103" i="2" s="1"/>
  <c r="R113" i="12"/>
  <c r="AD103" i="2" s="1"/>
  <c r="Q84" i="12"/>
  <c r="AC74" i="2" s="1"/>
  <c r="R84" i="12"/>
  <c r="AD74" i="2" s="1"/>
  <c r="R52" i="12"/>
  <c r="AD42" i="2" s="1"/>
  <c r="Q52" i="12"/>
  <c r="AC42" i="2" s="1"/>
  <c r="R88" i="12"/>
  <c r="AD78" i="2" s="1"/>
  <c r="Q88" i="12"/>
  <c r="AC78" i="2" s="1"/>
  <c r="R54" i="12"/>
  <c r="AD44" i="2" s="1"/>
  <c r="Q54" i="12"/>
  <c r="AC44" i="2" s="1"/>
  <c r="Q32" i="12"/>
  <c r="AC22" i="2" s="1"/>
  <c r="R32" i="12"/>
  <c r="AD22" i="2" s="1"/>
  <c r="R58" i="12"/>
  <c r="AD48" i="2" s="1"/>
  <c r="Q58" i="12"/>
  <c r="AC48" i="2" s="1"/>
  <c r="R86" i="12"/>
  <c r="AD76" i="2" s="1"/>
  <c r="Q86" i="12"/>
  <c r="AC76" i="2" s="1"/>
  <c r="E20" i="1"/>
  <c r="J17" i="12" l="1"/>
  <c r="B2" i="12" l="1"/>
  <c r="B2" i="9"/>
  <c r="B2" i="4"/>
  <c r="B2" i="3"/>
  <c r="B2" i="2"/>
  <c r="B2" i="5"/>
  <c r="B2" i="1"/>
  <c r="J10" i="12" l="1"/>
  <c r="J9" i="12"/>
  <c r="D12" i="12"/>
  <c r="D11" i="12"/>
  <c r="D10" i="12"/>
  <c r="D9" i="12"/>
  <c r="R10" i="12" l="1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35" i="2"/>
  <c r="K34" i="2"/>
  <c r="K33" i="2"/>
  <c r="O21" i="3" l="1"/>
  <c r="N21" i="3"/>
  <c r="O29" i="3"/>
  <c r="N29" i="3"/>
  <c r="O41" i="3"/>
  <c r="N41" i="3"/>
  <c r="O49" i="3"/>
  <c r="N49" i="3"/>
  <c r="O57" i="3"/>
  <c r="N57" i="3"/>
  <c r="O65" i="3"/>
  <c r="N65" i="3"/>
  <c r="O85" i="3"/>
  <c r="N85" i="3"/>
  <c r="O18" i="3"/>
  <c r="N18" i="3"/>
  <c r="O22" i="3"/>
  <c r="N22" i="3"/>
  <c r="O26" i="3"/>
  <c r="N26" i="3"/>
  <c r="O30" i="3"/>
  <c r="N30" i="3"/>
  <c r="O34" i="3"/>
  <c r="N34" i="3"/>
  <c r="O38" i="3"/>
  <c r="N38" i="3"/>
  <c r="O42" i="3"/>
  <c r="N42" i="3"/>
  <c r="O46" i="3"/>
  <c r="N46" i="3"/>
  <c r="O50" i="3"/>
  <c r="N50" i="3"/>
  <c r="O54" i="3"/>
  <c r="N54" i="3"/>
  <c r="O58" i="3"/>
  <c r="N58" i="3"/>
  <c r="O62" i="3"/>
  <c r="N62" i="3"/>
  <c r="O66" i="3"/>
  <c r="N66" i="3"/>
  <c r="O70" i="3"/>
  <c r="N70" i="3"/>
  <c r="O74" i="3"/>
  <c r="N74" i="3"/>
  <c r="O78" i="3"/>
  <c r="N78" i="3"/>
  <c r="O82" i="3"/>
  <c r="N82" i="3"/>
  <c r="O86" i="3"/>
  <c r="N86" i="3"/>
  <c r="O90" i="3"/>
  <c r="N90" i="3"/>
  <c r="O94" i="3"/>
  <c r="N94" i="3"/>
  <c r="O98" i="3"/>
  <c r="N98" i="3"/>
  <c r="O102" i="3"/>
  <c r="N102" i="3"/>
  <c r="O106" i="3"/>
  <c r="N106" i="3"/>
  <c r="O110" i="3"/>
  <c r="N110" i="3"/>
  <c r="O114" i="3"/>
  <c r="N114" i="3"/>
  <c r="O118" i="3"/>
  <c r="N118" i="3"/>
  <c r="O122" i="3"/>
  <c r="N122" i="3"/>
  <c r="O126" i="3"/>
  <c r="N126" i="3"/>
  <c r="O130" i="3"/>
  <c r="N130" i="3"/>
  <c r="O134" i="3"/>
  <c r="N134" i="3"/>
  <c r="O138" i="3"/>
  <c r="N138" i="3"/>
  <c r="O142" i="3"/>
  <c r="N142" i="3"/>
  <c r="N15" i="3"/>
  <c r="O15" i="3"/>
  <c r="N19" i="3"/>
  <c r="O19" i="3"/>
  <c r="O23" i="3"/>
  <c r="N23" i="3"/>
  <c r="N27" i="3"/>
  <c r="O27" i="3"/>
  <c r="N31" i="3"/>
  <c r="O31" i="3"/>
  <c r="N35" i="3"/>
  <c r="O35" i="3"/>
  <c r="O39" i="3"/>
  <c r="N39" i="3"/>
  <c r="N43" i="3"/>
  <c r="O43" i="3"/>
  <c r="O47" i="3"/>
  <c r="N47" i="3"/>
  <c r="N51" i="3"/>
  <c r="O51" i="3"/>
  <c r="N55" i="3"/>
  <c r="O55" i="3"/>
  <c r="N59" i="3"/>
  <c r="O59" i="3"/>
  <c r="O63" i="3"/>
  <c r="N63" i="3"/>
  <c r="N67" i="3"/>
  <c r="O67" i="3"/>
  <c r="O71" i="3"/>
  <c r="N71" i="3"/>
  <c r="N75" i="3"/>
  <c r="O75" i="3"/>
  <c r="O79" i="3"/>
  <c r="N79" i="3"/>
  <c r="N83" i="3"/>
  <c r="O83" i="3"/>
  <c r="O87" i="3"/>
  <c r="N87" i="3"/>
  <c r="N91" i="3"/>
  <c r="O91" i="3"/>
  <c r="O95" i="3"/>
  <c r="N95" i="3"/>
  <c r="N99" i="3"/>
  <c r="O99" i="3"/>
  <c r="N103" i="3"/>
  <c r="O103" i="3"/>
  <c r="O107" i="3"/>
  <c r="N107" i="3"/>
  <c r="N111" i="3"/>
  <c r="O111" i="3"/>
  <c r="O115" i="3"/>
  <c r="N115" i="3"/>
  <c r="N119" i="3"/>
  <c r="O119" i="3"/>
  <c r="O123" i="3"/>
  <c r="N123" i="3"/>
  <c r="N127" i="3"/>
  <c r="O127" i="3"/>
  <c r="O131" i="3"/>
  <c r="N131" i="3"/>
  <c r="O135" i="3"/>
  <c r="N135" i="3"/>
  <c r="O139" i="3"/>
  <c r="N139" i="3"/>
  <c r="N17" i="3"/>
  <c r="O17" i="3"/>
  <c r="O25" i="3"/>
  <c r="N25" i="3"/>
  <c r="N33" i="3"/>
  <c r="O33" i="3"/>
  <c r="O37" i="3"/>
  <c r="N37" i="3"/>
  <c r="O45" i="3"/>
  <c r="N45" i="3"/>
  <c r="O53" i="3"/>
  <c r="N53" i="3"/>
  <c r="O61" i="3"/>
  <c r="N61" i="3"/>
  <c r="O69" i="3"/>
  <c r="N69" i="3"/>
  <c r="O73" i="3"/>
  <c r="N73" i="3"/>
  <c r="O77" i="3"/>
  <c r="N77" i="3"/>
  <c r="O81" i="3"/>
  <c r="N81" i="3"/>
  <c r="O89" i="3"/>
  <c r="N89" i="3"/>
  <c r="O93" i="3"/>
  <c r="N93" i="3"/>
  <c r="O97" i="3"/>
  <c r="N97" i="3"/>
  <c r="O101" i="3"/>
  <c r="N101" i="3"/>
  <c r="O105" i="3"/>
  <c r="N105" i="3"/>
  <c r="O109" i="3"/>
  <c r="N109" i="3"/>
  <c r="O113" i="3"/>
  <c r="N113" i="3"/>
  <c r="O117" i="3"/>
  <c r="N117" i="3"/>
  <c r="O121" i="3"/>
  <c r="N121" i="3"/>
  <c r="O125" i="3"/>
  <c r="N125" i="3"/>
  <c r="O129" i="3"/>
  <c r="N129" i="3"/>
  <c r="O133" i="3"/>
  <c r="N133" i="3"/>
  <c r="O137" i="3"/>
  <c r="N137" i="3"/>
  <c r="O141" i="3"/>
  <c r="N141" i="3"/>
  <c r="O16" i="3"/>
  <c r="N16" i="3"/>
  <c r="O20" i="3"/>
  <c r="N20" i="3"/>
  <c r="O24" i="3"/>
  <c r="N24" i="3"/>
  <c r="O28" i="3"/>
  <c r="N28" i="3"/>
  <c r="O32" i="3"/>
  <c r="N32" i="3"/>
  <c r="O36" i="3"/>
  <c r="N36" i="3"/>
  <c r="O40" i="3"/>
  <c r="N40" i="3"/>
  <c r="O44" i="3"/>
  <c r="N44" i="3"/>
  <c r="O48" i="3"/>
  <c r="N48" i="3"/>
  <c r="O52" i="3"/>
  <c r="N52" i="3"/>
  <c r="O56" i="3"/>
  <c r="N56" i="3"/>
  <c r="O60" i="3"/>
  <c r="N60" i="3"/>
  <c r="O64" i="3"/>
  <c r="N64" i="3"/>
  <c r="O68" i="3"/>
  <c r="N68" i="3"/>
  <c r="O72" i="3"/>
  <c r="N72" i="3"/>
  <c r="O76" i="3"/>
  <c r="N76" i="3"/>
  <c r="O80" i="3"/>
  <c r="N80" i="3"/>
  <c r="O84" i="3"/>
  <c r="N84" i="3"/>
  <c r="O88" i="3"/>
  <c r="N88" i="3"/>
  <c r="O92" i="3"/>
  <c r="N92" i="3"/>
  <c r="O96" i="3"/>
  <c r="N96" i="3"/>
  <c r="O100" i="3"/>
  <c r="N100" i="3"/>
  <c r="O104" i="3"/>
  <c r="N104" i="3"/>
  <c r="O108" i="3"/>
  <c r="N108" i="3"/>
  <c r="O112" i="3"/>
  <c r="N112" i="3"/>
  <c r="O116" i="3"/>
  <c r="N116" i="3"/>
  <c r="O120" i="3"/>
  <c r="N120" i="3"/>
  <c r="O124" i="3"/>
  <c r="N124" i="3"/>
  <c r="O128" i="3"/>
  <c r="N128" i="3"/>
  <c r="O132" i="3"/>
  <c r="N132" i="3"/>
  <c r="O136" i="3"/>
  <c r="N136" i="3"/>
  <c r="O140" i="3"/>
  <c r="N140" i="3"/>
  <c r="O12" i="3"/>
  <c r="N12" i="3"/>
  <c r="O13" i="3"/>
  <c r="N13" i="3"/>
  <c r="O10" i="3"/>
  <c r="N10" i="3"/>
  <c r="O14" i="3"/>
  <c r="N14" i="3"/>
  <c r="O11" i="3"/>
  <c r="N11" i="3"/>
  <c r="K8" i="3"/>
  <c r="N10" i="12" s="1"/>
  <c r="Q8" i="4"/>
  <c r="R11" i="12" s="1"/>
  <c r="K32" i="2"/>
  <c r="K31" i="2"/>
  <c r="K30" i="2"/>
  <c r="K29" i="2"/>
  <c r="K28" i="2"/>
  <c r="K27" i="2"/>
  <c r="K26" i="2"/>
  <c r="K25" i="2"/>
  <c r="K23" i="2"/>
  <c r="K24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N8" i="3" l="1"/>
  <c r="O8" i="3"/>
  <c r="K8" i="2"/>
  <c r="N9" i="12" s="1"/>
  <c r="N13" i="12" s="1"/>
  <c r="J11" i="12"/>
  <c r="F2" i="11"/>
  <c r="F3" i="11"/>
  <c r="G3" i="11" l="1"/>
  <c r="G2" i="11"/>
  <c r="G10" i="11"/>
  <c r="G18" i="11"/>
  <c r="G20" i="11"/>
  <c r="G8" i="11"/>
  <c r="G28" i="11"/>
  <c r="G27" i="11"/>
  <c r="G23" i="11"/>
  <c r="G25" i="11"/>
  <c r="G11" i="11"/>
  <c r="G15" i="11"/>
  <c r="G4" i="11"/>
  <c r="G9" i="11"/>
  <c r="G22" i="11"/>
  <c r="G26" i="11"/>
  <c r="G16" i="11"/>
  <c r="G14" i="11"/>
  <c r="G17" i="11"/>
  <c r="G6" i="11"/>
  <c r="G21" i="11"/>
  <c r="G24" i="11"/>
  <c r="G12" i="11"/>
  <c r="G13" i="11"/>
  <c r="G7" i="11"/>
  <c r="G19" i="11"/>
  <c r="G5" i="11"/>
  <c r="J13" i="12"/>
  <c r="L17" i="12"/>
  <c r="S17" i="12" l="1"/>
  <c r="AD11" i="2"/>
  <c r="AI10" i="3" l="1"/>
  <c r="AH10" i="3"/>
  <c r="AD12" i="2"/>
  <c r="AC12" i="2"/>
  <c r="AC10" i="2"/>
  <c r="AD10" i="2"/>
  <c r="AC11" i="2"/>
  <c r="P17" i="12"/>
  <c r="N17" i="12"/>
  <c r="AI8" i="3" l="1"/>
  <c r="AH8" i="3"/>
  <c r="AD8" i="2"/>
  <c r="AC8" i="2"/>
  <c r="Q17" i="12"/>
  <c r="R17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Amer Acosta</author>
  </authors>
  <commentList>
    <comment ref="E18" authorId="0" shapeId="0" xr:uid="{4BBD23C4-6117-4725-9A2F-3BC9570382BF}">
      <text>
        <r>
          <rPr>
            <b/>
            <sz val="9"/>
            <color indexed="81"/>
            <rFont val="Tahoma"/>
            <family val="2"/>
          </rPr>
          <t>This is the total of the transactions in Transaction History excluding Current Year Expenditure</t>
        </r>
      </text>
    </comment>
    <comment ref="E19" authorId="0" shapeId="0" xr:uid="{0E988568-0874-4754-B785-AF85A3BA07DA}">
      <text>
        <r>
          <rPr>
            <b/>
            <sz val="9"/>
            <color indexed="81"/>
            <rFont val="Tahoma"/>
            <family val="2"/>
          </rPr>
          <t>To be derived from Transaction History - This is the total WIP balance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2" authorId="0" shapeId="0" xr:uid="{0C5477BE-814E-4E31-9901-7C608E915CFE}">
      <text>
        <r>
          <rPr>
            <b/>
            <sz val="9"/>
            <color indexed="81"/>
            <rFont val="Tahoma"/>
            <family val="2"/>
          </rPr>
          <t xml:space="preserve">To be derived from Transaction History by filtering Period 13 (Period) Transactions with Narrative 1 (TransactionNarrative1) = CORPOH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Amer Acosta</author>
  </authors>
  <commentList>
    <comment ref="M9" authorId="0" shapeId="0" xr:uid="{1FB11101-3E72-4DFA-A9B5-276A280E305E}">
      <text>
        <r>
          <rPr>
            <b/>
            <sz val="9"/>
            <color indexed="81"/>
            <rFont val="Tahoma"/>
            <family val="2"/>
          </rPr>
          <t>Refer to Fixed Asset Guideline for capitalisation rules</t>
        </r>
      </text>
    </comment>
    <comment ref="Q9" authorId="0" shapeId="0" xr:uid="{263E63B0-0F5A-4979-945E-41523B9A0105}">
      <text>
        <r>
          <rPr>
            <sz val="9"/>
            <color indexed="81"/>
            <rFont val="Tahoma"/>
            <family val="2"/>
          </rPr>
          <t>Refer to Fixed Asset Guideline for capitalisation rules</t>
        </r>
      </text>
    </comment>
    <comment ref="R9" authorId="0" shapeId="0" xr:uid="{CB5E5995-5B87-45E7-857A-25A2601A309A}">
      <text>
        <r>
          <rPr>
            <b/>
            <sz val="9"/>
            <color indexed="81"/>
            <rFont val="Tahoma"/>
            <charset val="1"/>
          </rPr>
          <t>Please specify Treatment Type manually if dropdown is empty</t>
        </r>
      </text>
    </comment>
    <comment ref="S9" authorId="0" shapeId="0" xr:uid="{F9A4B416-8A20-48D4-8DEA-99B0934AE94D}">
      <text>
        <r>
          <rPr>
            <b/>
            <sz val="9"/>
            <color indexed="81"/>
            <rFont val="Tahoma"/>
            <family val="2"/>
          </rPr>
          <t>This is also the percentage of asset that will be disposed</t>
        </r>
      </text>
    </comment>
    <comment ref="T9" authorId="0" shapeId="0" xr:uid="{AF7025C6-FBD0-4C94-BB82-8C8112C146AA}">
      <text>
        <r>
          <rPr>
            <b/>
            <sz val="9"/>
            <color indexed="81"/>
            <rFont val="Tahoma"/>
            <family val="2"/>
          </rPr>
          <t>This is the base useful life of the asset/component (not the re-calculated remaining useful life)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" authorId="0" shapeId="0" xr:uid="{B3909070-E5E8-482B-AACE-3E4F9A0C7EA9}">
      <text>
        <r>
          <rPr>
            <b/>
            <sz val="9"/>
            <color indexed="81"/>
            <rFont val="Tahoma"/>
            <family val="2"/>
          </rPr>
          <t>Change to 0 when 100% of asset is renewed or a new asset is acquired, refer to Fixed Asset Guidelines for ruleset for partial renewals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" authorId="0" shapeId="0" xr:uid="{5FB97C89-B640-4A2F-B04D-D4AA30733605}">
      <text>
        <r>
          <rPr>
            <b/>
            <sz val="9"/>
            <color indexed="81"/>
            <rFont val="Tahoma"/>
            <family val="2"/>
          </rPr>
          <t>Refer to Fixed Asset Guideline for capitalisation rules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9" authorId="0" shapeId="0" xr:uid="{07AB97B3-C9A8-421D-B4BC-10843D767844}">
      <text>
        <r>
          <rPr>
            <b/>
            <sz val="9"/>
            <color indexed="81"/>
            <rFont val="Tahoma"/>
            <family val="2"/>
          </rPr>
          <t>Practical completion date of project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Amer Acosta</author>
  </authors>
  <commentList>
    <comment ref="R9" authorId="0" shapeId="0" xr:uid="{AD4B88FA-3CF5-4CE8-B280-FB8CCA67C2EF}">
      <text>
        <r>
          <rPr>
            <sz val="9"/>
            <color indexed="81"/>
            <rFont val="Tahoma"/>
            <family val="2"/>
          </rPr>
          <t xml:space="preserve">Refer to Fixed Asset Guideline for capitalisation rules
</t>
        </r>
      </text>
    </comment>
    <comment ref="S9" authorId="0" shapeId="0" xr:uid="{B32B723D-795F-441C-B97F-EA54DB2E4A2D}">
      <text>
        <r>
          <rPr>
            <b/>
            <sz val="9"/>
            <color indexed="81"/>
            <rFont val="Tahoma"/>
            <family val="2"/>
          </rPr>
          <t>This is the base useful life of the asset/component (not the re-calculated remaining useful life)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4F3F078A-9330-41EE-86C3-5866E613643D}">
      <text>
        <r>
          <rPr>
            <sz val="9"/>
            <color indexed="81"/>
            <rFont val="Tahoma"/>
            <family val="2"/>
          </rPr>
          <t xml:space="preserve">Refer to Fixed Asset Guideline for capitalisation rules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Amer Acosta</author>
  </authors>
  <commentList>
    <comment ref="J13" authorId="0" shapeId="0" xr:uid="{752F02CF-6C57-422C-8D69-D32D3B7FB007}">
      <text>
        <r>
          <rPr>
            <b/>
            <sz val="9"/>
            <color indexed="81"/>
            <rFont val="Tahoma"/>
            <family val="2"/>
          </rPr>
          <t xml:space="preserve">Variance check must balance "0" once all  asset costs,  project-wide &amp; written off costs have been fully allocated. </t>
        </r>
        <r>
          <rPr>
            <sz val="9"/>
            <color indexed="81"/>
            <rFont val="Tahoma"/>
            <family val="2"/>
          </rPr>
          <t xml:space="preserve">
i.e. Total Costs (new, renewed, project wide and write-off
) - Closing WIP Balance (excluding previous overheads) must balance zero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acosamer\AppData\Local\Packages\Microsoft.MicrosoftEdge_8wekyb3d8bbwe\TempState\Downloads\query.iqy" keepAlive="1" name="query" type="5" refreshedVersion="8" minRefreshableVersion="3" saveData="1">
    <dbPr connection="Provider=Microsoft.Office.List.OLEDB.2.0;Data Source=&quot;&quot;;ApplicationName=Excel;Version=12.0.0.0" command="&lt;LIST&gt;&lt;VIEWGUID&gt;699D92C1-09FF-4950-BFAA-36D820CE11AA&lt;/VIEWGUID&gt;&lt;LISTNAME&gt;{B52E962D-F086-4AEA-9CCD-075B1A6DAF8D}&lt;/LISTNAME&gt;&lt;LISTWEB&gt;https://adelaidecitycouncil.sharepoint.com/teams/ProjectManagementPractice/ReportingPortal/_vti_bin&lt;/LISTWEB&gt;&lt;LISTSUBWEB&gt;&lt;/LISTSUBWEB&gt;&lt;ROOTFOLDER&gt;undefined&lt;/ROOTFOLDER&gt;&lt;/LIST&gt;" commandType="5"/>
  </connection>
  <connection id="2" xr16:uid="{2B17D84F-8BB4-49CA-AD1E-D5ADB9C5B415}" keepAlive="1" name="Query - AssetClass" description="Connection to the 'AssetClass' query in the workbook." type="5" refreshedVersion="8" background="1" saveData="1">
    <dbPr connection="Provider=Microsoft.Mashup.OleDb.1;Data Source=$Workbook$;Location=AssetClass;Extended Properties=&quot;&quot;" command="SELECT * FROM [AssetClass]"/>
  </connection>
  <connection id="3" xr16:uid="{7AC67F0F-8FA4-4334-AED8-E4A496C264EF}" keepAlive="1" name="Query - AssetSubClass" description="Connection to the 'AssetSubClass' query in the workbook." type="5" refreshedVersion="8" background="1" saveData="1">
    <dbPr connection="Provider=Microsoft.Mashup.OleDb.1;Data Source=$Workbook$;Location=AssetSubClass;Extended Properties=&quot;&quot;" command="SELECT * FROM [AssetSubClass]"/>
  </connection>
  <connection id="4" xr16:uid="{67833091-7CC6-464D-BD9D-61A19F9B9076}" keepAlive="1" name="Query - AssetSubClass (2)" description="Connection to the 'AssetSubClass (2)' query in the workbook." type="5" refreshedVersion="8" background="1" saveData="1">
    <dbPr connection="Provider=Microsoft.Mashup.OleDb.1;Data Source=$Workbook$;Location=AssetSubClass (2);Extended Properties=&quot;&quot;" command="SELECT * FROM [AssetSubClass (2)]"/>
  </connection>
  <connection id="5" xr16:uid="{9F01A86E-C295-49FC-BA20-965830DD67BE}" keepAlive="1" name="Query - AssetSubType" description="Connection to the 'AssetSubType' query in the workbook." type="5" refreshedVersion="8" background="1" saveData="1">
    <dbPr connection="Provider=Microsoft.Mashup.OleDb.1;Data Source=$Workbook$;Location=AssetSubType;Extended Properties=&quot;&quot;" command="SELECT * FROM [AssetSubType]"/>
  </connection>
  <connection id="6" xr16:uid="{051B7DE2-A64A-4848-9004-646068F5478D}" keepAlive="1" name="Query - AssetType" description="Connection to the 'AssetType' query in the workbook." type="5" refreshedVersion="8" background="1" saveData="1">
    <dbPr connection="Provider=Microsoft.Mashup.OleDb.1;Data Source=$Workbook$;Location=AssetType;Extended Properties=&quot;&quot;" command="SELECT * FROM [AssetType]"/>
  </connection>
  <connection id="7" xr16:uid="{7176FD08-1D37-47EA-B388-5076B32D2B17}" keepAlive="1" name="Query - CoA_Schema" description="Connection to the 'CoA_Schema' query in the workbook." type="5" refreshedVersion="8" background="1" saveData="1">
    <dbPr connection="Provider=Microsoft.Mashup.OleDb.1;Data Source=$Workbook$;Location=CoA_Schema;Extended Properties=&quot;&quot;" command="SELECT * FROM [CoA_Schema]"/>
  </connection>
  <connection id="8" xr16:uid="{0E2762EA-49E2-48BA-845A-C00640AE5F94}" keepAlive="1" name="Query - Measurement_Type" description="Connection to the 'Measurement_Type' query in the workbook." type="5" refreshedVersion="8" background="1" saveData="1">
    <dbPr connection="Provider=Microsoft.Mashup.OleDb.1;Data Source=$Workbook$;Location=Measurement_Type;Extended Properties=&quot;&quot;" command="SELECT * FROM [Measurement_Type]"/>
  </connection>
  <connection id="9" xr16:uid="{46D04C72-1BFF-4A95-B3DD-3CD826B84778}" keepAlive="1" name="Query - SC_Component" description="Connection to the 'SC_Component' query in the workbook." type="5" refreshedVersion="8" background="1" saveData="1">
    <dbPr connection="Provider=Microsoft.Mashup.OleDb.1;Data Source=$Workbook$;Location=SC_Component;Extended Properties=&quot;&quot;" command="SELECT * FROM [SC_Component]"/>
  </connection>
  <connection id="10" xr16:uid="{387455C8-C2F5-41F0-8EE1-692B4016AD40}" keepAlive="1" name="Query - SC_Financials" description="Connection to the 'SC_Financials' query in the workbook." type="5" refreshedVersion="8" background="1" saveData="1">
    <dbPr connection="Provider=Microsoft.Mashup.OleDb.1;Data Source=$Workbook$;Location=SC_Financials;Extended Properties=&quot;&quot;" command="SELECT * FROM [SC_Financials]"/>
  </connection>
  <connection id="11" xr16:uid="{00000000-0015-0000-FFFF-FFFF01000000}" odcFile="C:\Users\acosamer\AppData\Local\Packages\Microsoft.MicrosoftEdge_8wekyb3d8bbwe\TempState\Downloads\query (2).iqy" keepAlive="1" name="query (2)" type="5" refreshedVersion="8" minRefreshableVersion="3" saveData="1">
    <dbPr connection="Provider=Microsoft.Office.List.OLEDB.2.0;Data Source=&quot;&quot;;ApplicationName=Excel;Version=12.0.0.0" command="&lt;LIST&gt;&lt;VIEWGUID&gt;94E93E0D-5732-4807-A690-D138668756D5&lt;/VIEWGUID&gt;&lt;LISTNAME&gt;{B7D30FBF-4C21-4CEE-87F0-C169660F60A4}&lt;/LISTNAME&gt;&lt;LISTWEB&gt;https://adelaidecitycouncil.sharepoint.com/teams/ProjectManagementPractice/ReportingPortal/_vti_bin&lt;/LISTWEB&gt;&lt;LISTSUBWEB&gt;&lt;/LISTSUBWEB&gt;&lt;ROOTFOLDER&gt;undefined&lt;/ROOTFOLDER&gt;&lt;/LIST&gt;" commandType="5"/>
  </connection>
</connections>
</file>

<file path=xl/sharedStrings.xml><?xml version="1.0" encoding="utf-8"?>
<sst xmlns="http://schemas.openxmlformats.org/spreadsheetml/2006/main" count="13554" uniqueCount="1623">
  <si>
    <t>Title</t>
  </si>
  <si>
    <t>TreatmentType</t>
  </si>
  <si>
    <t>Above Ground Switchboard</t>
  </si>
  <si>
    <t>Renewal</t>
  </si>
  <si>
    <t>Switchboard Partial Renewal</t>
  </si>
  <si>
    <t>Switchboard Renewal</t>
  </si>
  <si>
    <t>Upgrade</t>
  </si>
  <si>
    <t>Abutment</t>
  </si>
  <si>
    <t>Abutment / Wingwall 1</t>
  </si>
  <si>
    <t>Abutment 1</t>
  </si>
  <si>
    <t>Abutment 2</t>
  </si>
  <si>
    <t>Access Ramp Main</t>
  </si>
  <si>
    <t>Aerator Main</t>
  </si>
  <si>
    <t>Anchor Wall</t>
  </si>
  <si>
    <t>Partial Renewal</t>
  </si>
  <si>
    <t>Apron</t>
  </si>
  <si>
    <t>Arches</t>
  </si>
  <si>
    <t>Archives Main</t>
  </si>
  <si>
    <t>Artistic Pavement Marking</t>
  </si>
  <si>
    <t>Artwork Lighting Main</t>
  </si>
  <si>
    <t>Full Renewal</t>
  </si>
  <si>
    <t>Full Upgrade</t>
  </si>
  <si>
    <t>Artwork Main</t>
  </si>
  <si>
    <t>Artwork Refurbishment</t>
  </si>
  <si>
    <t>Partial Upgrade</t>
  </si>
  <si>
    <t>Public Art Refurbishment</t>
  </si>
  <si>
    <t>Refurbishment</t>
  </si>
  <si>
    <t>Audio Tactile</t>
  </si>
  <si>
    <t>Audio Tactile Renewal</t>
  </si>
  <si>
    <t>BBQ Main</t>
  </si>
  <si>
    <t>Back Flow Main</t>
  </si>
  <si>
    <t>Backflow</t>
  </si>
  <si>
    <t>Base Course Partial Renewal</t>
  </si>
  <si>
    <t>Base Course Renewal</t>
  </si>
  <si>
    <t>Wearing Course Renewal</t>
  </si>
  <si>
    <t>Basins Main</t>
  </si>
  <si>
    <t>Batter Protection</t>
  </si>
  <si>
    <t>Batter Protection 1</t>
  </si>
  <si>
    <t>Batter Protection 2</t>
  </si>
  <si>
    <t>Bearings</t>
  </si>
  <si>
    <t>Below Ground Switchboard</t>
  </si>
  <si>
    <t>Bike Rack Main</t>
  </si>
  <si>
    <t>Bin Main</t>
  </si>
  <si>
    <t>Bird Bath Main</t>
  </si>
  <si>
    <t>Bollard Main</t>
  </si>
  <si>
    <t>Box Girders</t>
  </si>
  <si>
    <t>Bridge Footpath</t>
  </si>
  <si>
    <t>Bridge Kerbs</t>
  </si>
  <si>
    <t>Bridge Railing</t>
  </si>
  <si>
    <t>Bud Lighting</t>
  </si>
  <si>
    <t>C-Bus</t>
  </si>
  <si>
    <t>CCTV</t>
  </si>
  <si>
    <t>CCTV Cable and Conduit</t>
  </si>
  <si>
    <t>CCTV Camera</t>
  </si>
  <si>
    <t>CCTV Renewal</t>
  </si>
  <si>
    <t>CCTV Server Equipment</t>
  </si>
  <si>
    <t>Cable</t>
  </si>
  <si>
    <t>Cables and Conduits</t>
  </si>
  <si>
    <t>Traffic Signal Cable &amp; Conduit Renewal</t>
  </si>
  <si>
    <t>Christmas Tree Decoration</t>
  </si>
  <si>
    <t>Christmas Tree Lights</t>
  </si>
  <si>
    <t>Christmas Tree Main</t>
  </si>
  <si>
    <t>Column or Piles</t>
  </si>
  <si>
    <t>Conduit</t>
  </si>
  <si>
    <t>Connection Main</t>
  </si>
  <si>
    <t>Control System</t>
  </si>
  <si>
    <t>Control System Hardware</t>
  </si>
  <si>
    <t>Control Wire</t>
  </si>
  <si>
    <t>Controller</t>
  </si>
  <si>
    <t>Controller Main</t>
  </si>
  <si>
    <t>Traffic Signal Controller Full Renewal</t>
  </si>
  <si>
    <t>Controller and Valve</t>
  </si>
  <si>
    <t>Creek Main</t>
  </si>
  <si>
    <t>Cross Beams/Floor Beams</t>
  </si>
  <si>
    <t>Cross Bracing</t>
  </si>
  <si>
    <t>Crown Land</t>
  </si>
  <si>
    <t>Culvert Main</t>
  </si>
  <si>
    <t>Culvert No. 1</t>
  </si>
  <si>
    <t>Custom Sign Main</t>
  </si>
  <si>
    <t>Deck</t>
  </si>
  <si>
    <t>Deck / Slab</t>
  </si>
  <si>
    <t>Deck / Wearing Surface</t>
  </si>
  <si>
    <t>Deck Joints</t>
  </si>
  <si>
    <t>Deck Joints2</t>
  </si>
  <si>
    <t>Deck Slab</t>
  </si>
  <si>
    <t>Deck Truss</t>
  </si>
  <si>
    <t>Detector Loop</t>
  </si>
  <si>
    <t>Traffic Signal Detector Loop Renewal</t>
  </si>
  <si>
    <t>Downstream Cribbing Structure</t>
  </si>
  <si>
    <t>Drinking Fountain Main</t>
  </si>
  <si>
    <t>Electric Vehicle Charging Station</t>
  </si>
  <si>
    <t>Electrical Services</t>
  </si>
  <si>
    <t>Emitters</t>
  </si>
  <si>
    <t>Equipment Main</t>
  </si>
  <si>
    <t>Erosion Protection Main</t>
  </si>
  <si>
    <t>Fence Main</t>
  </si>
  <si>
    <t>Fire Services</t>
  </si>
  <si>
    <t>Fitout and Fittings</t>
  </si>
  <si>
    <t>Flag Pole Main</t>
  </si>
  <si>
    <t>Footpaths Main</t>
  </si>
  <si>
    <t>Formation</t>
  </si>
  <si>
    <t>Extension</t>
  </si>
  <si>
    <t>Garden Bed Main</t>
  </si>
  <si>
    <t>Gate</t>
  </si>
  <si>
    <t>Gate Lock</t>
  </si>
  <si>
    <t>Gate Main</t>
  </si>
  <si>
    <t>Gate Super Structure</t>
  </si>
  <si>
    <t>Gate Support Structure Access Steelwork</t>
  </si>
  <si>
    <t>Girder Cladding</t>
  </si>
  <si>
    <t>Gross Pollutant Trap Main</t>
  </si>
  <si>
    <t>Handrails 1</t>
  </si>
  <si>
    <t>Headstocks</t>
  </si>
  <si>
    <t>Headwall 1</t>
  </si>
  <si>
    <t>Headwall Main</t>
  </si>
  <si>
    <t>Heavy Fleet Main</t>
  </si>
  <si>
    <t>Hydraulic Services</t>
  </si>
  <si>
    <t>Hydraulics Services</t>
  </si>
  <si>
    <t>Irrigation Main</t>
  </si>
  <si>
    <t>Junction Pit</t>
  </si>
  <si>
    <t>Kerb Main</t>
  </si>
  <si>
    <t>Kerbing Partial Renewal</t>
  </si>
  <si>
    <t>Land</t>
  </si>
  <si>
    <t>Lanterns</t>
  </si>
  <si>
    <t>Traffic Signal Lantern Renewal</t>
  </si>
  <si>
    <t>Traffic Signal Lantern Upgrade</t>
  </si>
  <si>
    <t>Laterals</t>
  </si>
  <si>
    <t>Lid</t>
  </si>
  <si>
    <t>Light Fleet Main</t>
  </si>
  <si>
    <t>Low Flow Bypass</t>
  </si>
  <si>
    <t>Luminaire</t>
  </si>
  <si>
    <t>Main</t>
  </si>
  <si>
    <t>Mainline</t>
  </si>
  <si>
    <t>Major Plant Main</t>
  </si>
  <si>
    <t>Master Valve</t>
  </si>
  <si>
    <t>Mechanical Services</t>
  </si>
  <si>
    <t>Meter Main</t>
  </si>
  <si>
    <t>Minor Plant Main</t>
  </si>
  <si>
    <t>Miscellaneous Main</t>
  </si>
  <si>
    <t>North Abutment</t>
  </si>
  <si>
    <t>North Access Barrier</t>
  </si>
  <si>
    <t>North Access Stairs</t>
  </si>
  <si>
    <t>North Downstream Retaining Wall</t>
  </si>
  <si>
    <t>North Downstream Weir Wall</t>
  </si>
  <si>
    <t>North Rock Batter</t>
  </si>
  <si>
    <t>Open Channel Main</t>
  </si>
  <si>
    <t>Open Channels Main</t>
  </si>
  <si>
    <t>Open Girders</t>
  </si>
  <si>
    <t>Other Structures Main</t>
  </si>
  <si>
    <t>Outlet Protection</t>
  </si>
  <si>
    <t>Parking Machine Main</t>
  </si>
  <si>
    <t>Pavement Base</t>
  </si>
  <si>
    <t>People Movement Sensor</t>
  </si>
  <si>
    <t>Picnic Table Main</t>
  </si>
  <si>
    <t>Pier Wall</t>
  </si>
  <si>
    <t>Pier wall</t>
  </si>
  <si>
    <t>Piers</t>
  </si>
  <si>
    <t>Piles</t>
  </si>
  <si>
    <t>Pipe Main</t>
  </si>
  <si>
    <t>Pit Main</t>
  </si>
  <si>
    <t>Traffic Signal Pit Renewal</t>
  </si>
  <si>
    <t>Planter Box Main</t>
  </si>
  <si>
    <t>Playground Equipment Main</t>
  </si>
  <si>
    <t>Pod</t>
  </si>
  <si>
    <t>Pole</t>
  </si>
  <si>
    <t>Pole Main</t>
  </si>
  <si>
    <t>Traffic Signal Pole Renewal</t>
  </si>
  <si>
    <t>Power Outlet Main</t>
  </si>
  <si>
    <t>Precast Girders</t>
  </si>
  <si>
    <t>Primary Beams or Trusses</t>
  </si>
  <si>
    <t>Primary Bracket</t>
  </si>
  <si>
    <t>Primary Luminaire</t>
  </si>
  <si>
    <t>Public Access Walkway Decking</t>
  </si>
  <si>
    <t>Public Access Walkway Super Structure</t>
  </si>
  <si>
    <t>Pump Main</t>
  </si>
  <si>
    <t>Pump Station Main</t>
  </si>
  <si>
    <t>Push Button</t>
  </si>
  <si>
    <t>Retaining Wall Main</t>
  </si>
  <si>
    <t>Rehabilitation</t>
  </si>
  <si>
    <t>Roof Structure</t>
  </si>
  <si>
    <t>Sanitary Drainage Main</t>
  </si>
  <si>
    <t>Seat Main</t>
  </si>
  <si>
    <t>Secondary Beams or Joists</t>
  </si>
  <si>
    <t>Secondary Bracket</t>
  </si>
  <si>
    <t>Secondary Luminaire</t>
  </si>
  <si>
    <t>Sewer Pipe Main</t>
  </si>
  <si>
    <t>Shade Cloth</t>
  </si>
  <si>
    <t>Smart Eye Sensor</t>
  </si>
  <si>
    <t>Smart Parking</t>
  </si>
  <si>
    <t>Softfall - Rubberised</t>
  </si>
  <si>
    <t>South Abutment</t>
  </si>
  <si>
    <t>South Access Barrier</t>
  </si>
  <si>
    <t>South Access Stairs</t>
  </si>
  <si>
    <t>South Downstream Retaining Wall</t>
  </si>
  <si>
    <t>South Downstream Weir Wall</t>
  </si>
  <si>
    <t>South Rock Batter</t>
  </si>
  <si>
    <t>Span 1 Arch 1</t>
  </si>
  <si>
    <t>Span 1 Deck / Slab</t>
  </si>
  <si>
    <t>Span 1 Deck / Wearing Surface</t>
  </si>
  <si>
    <t>Span 1 Deck/Slab</t>
  </si>
  <si>
    <t>Span 1 Handrails 1</t>
  </si>
  <si>
    <t>Span 1 Handrails 2</t>
  </si>
  <si>
    <t>Span 1 Primary Beams or Trusses</t>
  </si>
  <si>
    <t>Span 1 Primary Beams or Trusses 1</t>
  </si>
  <si>
    <t>Span 1 Secondary Beams or Joists</t>
  </si>
  <si>
    <t>Span 1-3 Deck / Slab</t>
  </si>
  <si>
    <t>Span 1-3 Kerb 1</t>
  </si>
  <si>
    <t>Span 1-3 Primary Beams or Trusses</t>
  </si>
  <si>
    <t>Span 1-3 Secondary Beams or Joists</t>
  </si>
  <si>
    <t>Span 1-4 Deck / Slab</t>
  </si>
  <si>
    <t>Span 1-4 Primary Beams or Trusses</t>
  </si>
  <si>
    <t>Span 1-4 Secondary Beams or Joists</t>
  </si>
  <si>
    <t>Span 1-5  Primary Beams or Trusses</t>
  </si>
  <si>
    <t>Span 1-5 Deck / Slab</t>
  </si>
  <si>
    <t>Span 1-5 Handrails 1</t>
  </si>
  <si>
    <t>Span 1-5 Secondary Beams or Joists</t>
  </si>
  <si>
    <t>Stop Log Gated Access Walkway Super Structure</t>
  </si>
  <si>
    <t>Stop Log Gated Access Walkway Support Frame</t>
  </si>
  <si>
    <t>Stop Log Gated Decking</t>
  </si>
  <si>
    <t>Stormwater Drain Main</t>
  </si>
  <si>
    <t>Stormwater Pit Main</t>
  </si>
  <si>
    <t>Stratacell</t>
  </si>
  <si>
    <t>Stratacell Main</t>
  </si>
  <si>
    <t>Structure</t>
  </si>
  <si>
    <t>New</t>
  </si>
  <si>
    <t>Sub-Structure Main</t>
  </si>
  <si>
    <t>Super Structure Main</t>
  </si>
  <si>
    <t>Surface</t>
  </si>
  <si>
    <t>Footpath Surface Renewal</t>
  </si>
  <si>
    <t>Pathway Renewal</t>
  </si>
  <si>
    <t>Wearing Course Partial Renewal</t>
  </si>
  <si>
    <t>Target Board</t>
  </si>
  <si>
    <t>Traffic Signal Target Board Renewal</t>
  </si>
  <si>
    <t>Top Box</t>
  </si>
  <si>
    <t>Traffic Signal Top Box Renewal</t>
  </si>
  <si>
    <t>Tree Base Treatment</t>
  </si>
  <si>
    <t>Tree Surround Renewal</t>
  </si>
  <si>
    <t>Tree Main</t>
  </si>
  <si>
    <t>Tree Surround</t>
  </si>
  <si>
    <t>Valves</t>
  </si>
  <si>
    <t>Vertical Transport Services</t>
  </si>
  <si>
    <t>Measurement_Unit</t>
  </si>
  <si>
    <t>Measurement_Type</t>
  </si>
  <si>
    <t>Each</t>
  </si>
  <si>
    <t>Quantity</t>
  </si>
  <si>
    <t>Metre</t>
  </si>
  <si>
    <t>Length</t>
  </si>
  <si>
    <t>Square Metre</t>
  </si>
  <si>
    <t>Area</t>
  </si>
  <si>
    <t>AssetType</t>
  </si>
  <si>
    <t>FinancialClass</t>
  </si>
  <si>
    <t>FinancialSubClass</t>
  </si>
  <si>
    <t>Access Ramp</t>
  </si>
  <si>
    <t>Infrastructure</t>
  </si>
  <si>
    <t>Footpaths</t>
  </si>
  <si>
    <t>Aerator</t>
  </si>
  <si>
    <t>Water Infrastructure</t>
  </si>
  <si>
    <t>Archives</t>
  </si>
  <si>
    <t>Other</t>
  </si>
  <si>
    <t>Civic Collection</t>
  </si>
  <si>
    <t>Artwork</t>
  </si>
  <si>
    <t>Public Art, Statues and Monuments</t>
  </si>
  <si>
    <t>Park Land Improvements</t>
  </si>
  <si>
    <t>BBQ</t>
  </si>
  <si>
    <t>Urban Elements</t>
  </si>
  <si>
    <t>Lighting and Electrical</t>
  </si>
  <si>
    <t>Back Flow</t>
  </si>
  <si>
    <t>Basin</t>
  </si>
  <si>
    <t>Bike Rack</t>
  </si>
  <si>
    <t>Bin</t>
  </si>
  <si>
    <t>Boat Landing</t>
  </si>
  <si>
    <t>Boat Ramp</t>
  </si>
  <si>
    <t>Bollard</t>
  </si>
  <si>
    <t>Bridge</t>
  </si>
  <si>
    <t>Bridges</t>
  </si>
  <si>
    <t>Building</t>
  </si>
  <si>
    <t>Buildings</t>
  </si>
  <si>
    <t>Investment Properties</t>
  </si>
  <si>
    <t>Bus Shelter</t>
  </si>
  <si>
    <t>Bus Stop</t>
  </si>
  <si>
    <t>CCTV Pole</t>
  </si>
  <si>
    <t>Camera</t>
  </si>
  <si>
    <t>Car Park</t>
  </si>
  <si>
    <t>Roads</t>
  </si>
  <si>
    <t>Christmas Decorations - AEDA</t>
  </si>
  <si>
    <t>Equipment, Furniture and Fittings</t>
  </si>
  <si>
    <t>Christmas Decorations - CoA</t>
  </si>
  <si>
    <t>Creek</t>
  </si>
  <si>
    <t>Culvert</t>
  </si>
  <si>
    <t>Custom Sign</t>
  </si>
  <si>
    <t>Traffic Signals</t>
  </si>
  <si>
    <t>Drinking Fountain</t>
  </si>
  <si>
    <t>Earth Retaining Structure</t>
  </si>
  <si>
    <t>Electrical Conduit</t>
  </si>
  <si>
    <t>Equipment - ATH</t>
  </si>
  <si>
    <t>Equipment - Adelaide Central Market</t>
  </si>
  <si>
    <t>Equipment - Arts and Culture</t>
  </si>
  <si>
    <t>Equipment - City Archives</t>
  </si>
  <si>
    <t>Equipment - Events</t>
  </si>
  <si>
    <t>Equipment - Health Club</t>
  </si>
  <si>
    <t>Equipment - ICT</t>
  </si>
  <si>
    <t>Equipment - Libraries</t>
  </si>
  <si>
    <t>Equipment - Off-Street Parking</t>
  </si>
  <si>
    <t>Equipment - Poolside</t>
  </si>
  <si>
    <t>Fence</t>
  </si>
  <si>
    <t>Flag Pole</t>
  </si>
  <si>
    <t>Furniture - ATH</t>
  </si>
  <si>
    <t>Furniture - Libraries</t>
  </si>
  <si>
    <t>Garden Bed</t>
  </si>
  <si>
    <t>Golf Course</t>
  </si>
  <si>
    <t>Gross Pollutant Trap</t>
  </si>
  <si>
    <t>Headwall</t>
  </si>
  <si>
    <t>Heavy Fleet</t>
  </si>
  <si>
    <t>Plant and Equipment</t>
  </si>
  <si>
    <t>Inlet Pit</t>
  </si>
  <si>
    <t>Irrigation</t>
  </si>
  <si>
    <t>Junction Box</t>
  </si>
  <si>
    <t>Kerb and Water Table</t>
  </si>
  <si>
    <t>Light Fleet</t>
  </si>
  <si>
    <t>Light Pole</t>
  </si>
  <si>
    <t>Links</t>
  </si>
  <si>
    <t>Major Plant</t>
  </si>
  <si>
    <t>Meter</t>
  </si>
  <si>
    <t>Metered Board</t>
  </si>
  <si>
    <t>Minor Plant</t>
  </si>
  <si>
    <t>Miscellaneous</t>
  </si>
  <si>
    <t>Network</t>
  </si>
  <si>
    <t>Nodes</t>
  </si>
  <si>
    <t>Open Channels</t>
  </si>
  <si>
    <t>Other Structures</t>
  </si>
  <si>
    <t>Park Lands</t>
  </si>
  <si>
    <t>Parking Machine</t>
  </si>
  <si>
    <t>Ticket Machines</t>
  </si>
  <si>
    <t>Picnic Table</t>
  </si>
  <si>
    <t>Pipe</t>
  </si>
  <si>
    <t>Pit</t>
  </si>
  <si>
    <t>Planter Box</t>
  </si>
  <si>
    <t>Playground</t>
  </si>
  <si>
    <t>Playground Equipment</t>
  </si>
  <si>
    <t>Retaining Wall</t>
  </si>
  <si>
    <t>Road</t>
  </si>
  <si>
    <t>Road Reserve</t>
  </si>
  <si>
    <t>Seat</t>
  </si>
  <si>
    <t>Server Equipment</t>
  </si>
  <si>
    <t>Sportsfield and Area</t>
  </si>
  <si>
    <t>Sump</t>
  </si>
  <si>
    <t>Swale</t>
  </si>
  <si>
    <t>Switchboard</t>
  </si>
  <si>
    <t>Telecommunications</t>
  </si>
  <si>
    <t>Traffic Control Device</t>
  </si>
  <si>
    <t>Traffic Signal Cables and Conduits</t>
  </si>
  <si>
    <t>Traffic Signal Controllers</t>
  </si>
  <si>
    <t>Traffic Signal Poles</t>
  </si>
  <si>
    <t>Tree</t>
  </si>
  <si>
    <t>Water Feature</t>
  </si>
  <si>
    <t>Wayfinding Strategy Sign</t>
  </si>
  <si>
    <t>Weir</t>
  </si>
  <si>
    <t>AsseticCatalogue</t>
  </si>
  <si>
    <t>AsseticCategory</t>
  </si>
  <si>
    <t>ComponentType</t>
  </si>
  <si>
    <t>AssetClass</t>
  </si>
  <si>
    <t>AssetSubClass</t>
  </si>
  <si>
    <t>Transport Infrastructure</t>
  </si>
  <si>
    <t>Pathways</t>
  </si>
  <si>
    <t>Transportation</t>
  </si>
  <si>
    <t>Pathway</t>
  </si>
  <si>
    <t>Water</t>
  </si>
  <si>
    <t>Water Plant and Equipment</t>
  </si>
  <si>
    <t>Sewer Infrastructure</t>
  </si>
  <si>
    <t>Torrens River and Creeks</t>
  </si>
  <si>
    <t>Fleet, Plant and Equipment</t>
  </si>
  <si>
    <t>Recreation and Artworks</t>
  </si>
  <si>
    <t>Artworks</t>
  </si>
  <si>
    <t>Arts and Culture</t>
  </si>
  <si>
    <t>Open Space</t>
  </si>
  <si>
    <t>Open Space Furniture</t>
  </si>
  <si>
    <t>Furniture</t>
  </si>
  <si>
    <t>Ancillary</t>
  </si>
  <si>
    <t>Park Lands and Open Space</t>
  </si>
  <si>
    <t>Water Regulators</t>
  </si>
  <si>
    <t>Civil Infrastructure</t>
  </si>
  <si>
    <t>Basins</t>
  </si>
  <si>
    <t>Stormwater Network Structure</t>
  </si>
  <si>
    <t>Bins</t>
  </si>
  <si>
    <t>Waste</t>
  </si>
  <si>
    <t>Waterway Infrastructure</t>
  </si>
  <si>
    <t>Marine Structures</t>
  </si>
  <si>
    <t>Sub-Structure Other</t>
  </si>
  <si>
    <t>Wingwall</t>
  </si>
  <si>
    <t>Super Structure Other</t>
  </si>
  <si>
    <t>Kerb</t>
  </si>
  <si>
    <t>Rail</t>
  </si>
  <si>
    <t>Bridge Deck</t>
  </si>
  <si>
    <t>Buildings and Facilities</t>
  </si>
  <si>
    <t>Electrical</t>
  </si>
  <si>
    <t>Facility</t>
  </si>
  <si>
    <t>Commercial</t>
  </si>
  <si>
    <t>Community</t>
  </si>
  <si>
    <t>Leased Building</t>
  </si>
  <si>
    <t>Corporate</t>
  </si>
  <si>
    <t>Fire</t>
  </si>
  <si>
    <t>Hydraulics</t>
  </si>
  <si>
    <t>Mechanical</t>
  </si>
  <si>
    <t>Roof</t>
  </si>
  <si>
    <t>Lighting</t>
  </si>
  <si>
    <t>Public Lighting</t>
  </si>
  <si>
    <t>Bracket</t>
  </si>
  <si>
    <t>Electrical Infrastructure</t>
  </si>
  <si>
    <t>ICT Hardware</t>
  </si>
  <si>
    <t>Road Infrastructure</t>
  </si>
  <si>
    <t>Events</t>
  </si>
  <si>
    <t>Stormwater</t>
  </si>
  <si>
    <t>Open Drains and Rain Gardens</t>
  </si>
  <si>
    <t>Culverts</t>
  </si>
  <si>
    <t>Stormwater Drains</t>
  </si>
  <si>
    <t>Signs</t>
  </si>
  <si>
    <t>Sign</t>
  </si>
  <si>
    <t>Signals</t>
  </si>
  <si>
    <t>Retaining Walls</t>
  </si>
  <si>
    <t>Anchor</t>
  </si>
  <si>
    <t>Pile</t>
  </si>
  <si>
    <t>Smart Technology</t>
  </si>
  <si>
    <t>Electrical Conduits</t>
  </si>
  <si>
    <t>Distribution</t>
  </si>
  <si>
    <t>Adelaide Town Hall</t>
  </si>
  <si>
    <t>Adelaide Central Markets</t>
  </si>
  <si>
    <t>City Archives</t>
  </si>
  <si>
    <t>Aquatic Centre</t>
  </si>
  <si>
    <t>Information, Communications and Technology</t>
  </si>
  <si>
    <t>Libraries</t>
  </si>
  <si>
    <t>Commercial Off-Street Parking</t>
  </si>
  <si>
    <t>Fences</t>
  </si>
  <si>
    <t>Park Passive Areas</t>
  </si>
  <si>
    <t>Open Space Area</t>
  </si>
  <si>
    <t>Gates</t>
  </si>
  <si>
    <t>North Adelaide Golf Course</t>
  </si>
  <si>
    <t>Stormwater GPTs</t>
  </si>
  <si>
    <t>Stormwater End Structures</t>
  </si>
  <si>
    <t>Stormwater Pits</t>
  </si>
  <si>
    <t>Plant, Fleet and Equipment</t>
  </si>
  <si>
    <t>Fleet</t>
  </si>
  <si>
    <t>Irrigation Systems</t>
  </si>
  <si>
    <t>Irrigation System</t>
  </si>
  <si>
    <t>Instrumentation</t>
  </si>
  <si>
    <t>Irrigation Regulators</t>
  </si>
  <si>
    <t>Kerbs</t>
  </si>
  <si>
    <t>Land and Property</t>
  </si>
  <si>
    <t>Sewer</t>
  </si>
  <si>
    <t>Sewer Mains</t>
  </si>
  <si>
    <t>Plant</t>
  </si>
  <si>
    <t>Water Meters and Services</t>
  </si>
  <si>
    <t>Switchboards</t>
  </si>
  <si>
    <t>Water Pumps</t>
  </si>
  <si>
    <t>Sewer Pump Stations</t>
  </si>
  <si>
    <t>Roads Equipment</t>
  </si>
  <si>
    <t>Parking</t>
  </si>
  <si>
    <t>Play Equipment</t>
  </si>
  <si>
    <t>Potable Water</t>
  </si>
  <si>
    <t>Electrical Conduit Pits</t>
  </si>
  <si>
    <t>Playgrounds</t>
  </si>
  <si>
    <t>Softfall</t>
  </si>
  <si>
    <t>Recreational</t>
  </si>
  <si>
    <t>Park Active Areas</t>
  </si>
  <si>
    <t>Signal Elements</t>
  </si>
  <si>
    <t>Water Reservoirs</t>
  </si>
  <si>
    <t>Support</t>
  </si>
  <si>
    <t>Stairs</t>
  </si>
  <si>
    <t>Project_Type</t>
  </si>
  <si>
    <t>Percentage</t>
  </si>
  <si>
    <t>Item Type</t>
  </si>
  <si>
    <t>Path</t>
  </si>
  <si>
    <t>Projects with direct recharges</t>
  </si>
  <si>
    <t>Item</t>
  </si>
  <si>
    <t>teams/ProjectManagementPractice/ReportingPortal/Lists/Corp_Overhead</t>
  </si>
  <si>
    <t>All other projects</t>
  </si>
  <si>
    <t>Version Number</t>
  </si>
  <si>
    <t>Description</t>
  </si>
  <si>
    <t>Author</t>
  </si>
  <si>
    <t>Date</t>
  </si>
  <si>
    <t>Major Release</t>
  </si>
  <si>
    <t>Amer Acosta</t>
  </si>
  <si>
    <t>Updated to incorporate Assetic extracts</t>
  </si>
  <si>
    <t>Updated to incorporate Schema updates as requested by Ruochen</t>
  </si>
  <si>
    <t>Playground Equipment now categorised as Park Lands Improvement instead of Urban elements</t>
  </si>
  <si>
    <t>Disposal Type Added and only Full Asset Disposal will be added to the Assetic Disposal Extract</t>
  </si>
  <si>
    <t>Fill in areas</t>
  </si>
  <si>
    <t>Project Manager / Contractor</t>
  </si>
  <si>
    <t>Formula Driven</t>
  </si>
  <si>
    <t>Asset Planner</t>
  </si>
  <si>
    <t>Spatial Systems Team</t>
  </si>
  <si>
    <t>Anyone</t>
  </si>
  <si>
    <t>Project References</t>
  </si>
  <si>
    <t>Project Name</t>
  </si>
  <si>
    <t>T1 Number</t>
  </si>
  <si>
    <t>Project Manager</t>
  </si>
  <si>
    <t>Asset Manager</t>
  </si>
  <si>
    <t>Financial Information</t>
  </si>
  <si>
    <t>Total Budget</t>
  </si>
  <si>
    <t>Optional</t>
  </si>
  <si>
    <t>Actual Budget (Current Year)</t>
  </si>
  <si>
    <t>Opening Balance - WIP</t>
  </si>
  <si>
    <t>Mandatory</t>
  </si>
  <si>
    <t>Whole of Life Expenditure</t>
  </si>
  <si>
    <t>Closing Balance - WIP</t>
  </si>
  <si>
    <t>Corporate Overhead %</t>
  </si>
  <si>
    <t>Corporate Overhead Amount (All Years)</t>
  </si>
  <si>
    <t>Handover Components</t>
  </si>
  <si>
    <t>Handover Type</t>
  </si>
  <si>
    <t>Practical Completion Date</t>
  </si>
  <si>
    <t>Cost Breakdown TRIM Link</t>
  </si>
  <si>
    <t>Corporate Overhead will now need to be listed in Project-Wide Costs worksheet</t>
  </si>
  <si>
    <t>AssetSubType</t>
  </si>
  <si>
    <t>Single</t>
  </si>
  <si>
    <t>Artefact</t>
  </si>
  <si>
    <t>Clock</t>
  </si>
  <si>
    <t>Ephemera</t>
  </si>
  <si>
    <t>Fountain</t>
  </si>
  <si>
    <t>Garment</t>
  </si>
  <si>
    <t>Gold/Silver</t>
  </si>
  <si>
    <t>Map</t>
  </si>
  <si>
    <t>Marquette</t>
  </si>
  <si>
    <t>Medal(s)</t>
  </si>
  <si>
    <t>Medals</t>
  </si>
  <si>
    <t>Memorial</t>
  </si>
  <si>
    <t>Monograph</t>
  </si>
  <si>
    <t>Painting</t>
  </si>
  <si>
    <t>Plaque</t>
  </si>
  <si>
    <t>Portrait</t>
  </si>
  <si>
    <t>Print</t>
  </si>
  <si>
    <t>Sculpture</t>
  </si>
  <si>
    <t>Statue</t>
  </si>
  <si>
    <t>Window</t>
  </si>
  <si>
    <t>Large Memorial</t>
  </si>
  <si>
    <t>Public Arts</t>
  </si>
  <si>
    <t>Small Memorial</t>
  </si>
  <si>
    <t>Mains BBQ</t>
  </si>
  <si>
    <t>Bio-retention</t>
  </si>
  <si>
    <t>Detention</t>
  </si>
  <si>
    <t>Art Rack</t>
  </si>
  <si>
    <t>Bike Repair Station</t>
  </si>
  <si>
    <t>Circular</t>
  </si>
  <si>
    <t>Steel Rail</t>
  </si>
  <si>
    <t>Steel Slot</t>
  </si>
  <si>
    <t>Tyre Pump</t>
  </si>
  <si>
    <t>U Shape</t>
  </si>
  <si>
    <t>Bin Stand</t>
  </si>
  <si>
    <t>Butt-Out</t>
  </si>
  <si>
    <t>Dog Dispenser</t>
  </si>
  <si>
    <t>Enclosure</t>
  </si>
  <si>
    <t>Recycle Bin</t>
  </si>
  <si>
    <t>Solar Bin</t>
  </si>
  <si>
    <t>Standard Litter Bin</t>
  </si>
  <si>
    <t>Adelaide Suite Style</t>
  </si>
  <si>
    <t>Concrete Cylindrical</t>
  </si>
  <si>
    <t>Energy Absorbing</t>
  </si>
  <si>
    <t>Heritage Style Acorn</t>
  </si>
  <si>
    <t>Nonremovable</t>
  </si>
  <si>
    <t>Plain Tubular Steel</t>
  </si>
  <si>
    <t>Removable</t>
  </si>
  <si>
    <t>Retractable</t>
  </si>
  <si>
    <t>Steel With Fluted Top</t>
  </si>
  <si>
    <t>Culvert Footbridge</t>
  </si>
  <si>
    <t>Major Footbridge</t>
  </si>
  <si>
    <t>Minor Footbridge</t>
  </si>
  <si>
    <t>Road Bridge</t>
  </si>
  <si>
    <t>Central Market Precinct</t>
  </si>
  <si>
    <t>Commercial Buildings</t>
  </si>
  <si>
    <t>Community - Libraries and Community Halls</t>
  </si>
  <si>
    <t>Community - Park Lands Businesses</t>
  </si>
  <si>
    <t>Community - Park Lands Sports Clubs and Grandstands</t>
  </si>
  <si>
    <t>Corporation</t>
  </si>
  <si>
    <t>Public Conveniences</t>
  </si>
  <si>
    <t>Town Hall Complex</t>
  </si>
  <si>
    <t>Upark Buildings</t>
  </si>
  <si>
    <t>ACC Type 1 - Aluminium and Glass</t>
  </si>
  <si>
    <t>ACC Type 3 - Aggregate</t>
  </si>
  <si>
    <t>ACC Type 4 - Single Side Standard Length</t>
  </si>
  <si>
    <t>Adshel - Non-advertising Single Side Double Length</t>
  </si>
  <si>
    <t>Adshel - Non-advertising Standard Solar</t>
  </si>
  <si>
    <t>Heritage Shelter</t>
  </si>
  <si>
    <t>Tapered</t>
  </si>
  <si>
    <t>Pelco S5220-EG1-X</t>
  </si>
  <si>
    <t>Pelco S6230-EG1</t>
  </si>
  <si>
    <t>Pelco S6230-EGL1</t>
  </si>
  <si>
    <t>Pelco S7230L-EW1</t>
  </si>
  <si>
    <t>PelcoIXP21</t>
  </si>
  <si>
    <t>Unidentified</t>
  </si>
  <si>
    <t>Christmas Trees</t>
  </si>
  <si>
    <t>Decorative Lighting</t>
  </si>
  <si>
    <t>Mall Decorations</t>
  </si>
  <si>
    <t>Bows / Garlands</t>
  </si>
  <si>
    <t>Other Decorations</t>
  </si>
  <si>
    <t>Park Lands  / Squares Decorations</t>
  </si>
  <si>
    <t>Street Decorations</t>
  </si>
  <si>
    <t>Box</t>
  </si>
  <si>
    <t>U-Shape</t>
  </si>
  <si>
    <t>Building Identification Sign Small</t>
  </si>
  <si>
    <t>Cultural</t>
  </si>
  <si>
    <t>Hanging Fingerboard Sign, Topham Mall</t>
  </si>
  <si>
    <t>Information</t>
  </si>
  <si>
    <t>Light Box Panel, Topham Mall</t>
  </si>
  <si>
    <t>Long Panel Directional, Topham Mall</t>
  </si>
  <si>
    <t>Pole Box with a Custom Pole</t>
  </si>
  <si>
    <t>Short Panel Directional, Topham Mall</t>
  </si>
  <si>
    <t>In-ground</t>
  </si>
  <si>
    <t>Loop</t>
  </si>
  <si>
    <t>Preformed Inductive Loops (P-ILDs)</t>
  </si>
  <si>
    <t>Tram</t>
  </si>
  <si>
    <t>Curved</t>
  </si>
  <si>
    <t>Post</t>
  </si>
  <si>
    <t>Refill</t>
  </si>
  <si>
    <t>Energy Dissipation</t>
  </si>
  <si>
    <t>Erosion Protection</t>
  </si>
  <si>
    <t>Free Stand</t>
  </si>
  <si>
    <t>Wall Mounted</t>
  </si>
  <si>
    <t>100</t>
  </si>
  <si>
    <t>2 x 100</t>
  </si>
  <si>
    <t>40</t>
  </si>
  <si>
    <t>50</t>
  </si>
  <si>
    <t>80</t>
  </si>
  <si>
    <t>Comms - White</t>
  </si>
  <si>
    <t>Consumer Main</t>
  </si>
  <si>
    <t>Electrical - Orange</t>
  </si>
  <si>
    <t>Electrical - Orange Spare</t>
  </si>
  <si>
    <t>Galvanised Pipe</t>
  </si>
  <si>
    <t>MIMS Wiring on Structure</t>
  </si>
  <si>
    <t>Kitchen</t>
  </si>
  <si>
    <t>Musical</t>
  </si>
  <si>
    <t>Staging</t>
  </si>
  <si>
    <t>Bollards</t>
  </si>
  <si>
    <t>Dining Furniture</t>
  </si>
  <si>
    <t>Information Desk</t>
  </si>
  <si>
    <t>People Counter</t>
  </si>
  <si>
    <t>Storage compound</t>
  </si>
  <si>
    <t>Projector</t>
  </si>
  <si>
    <t>Film Reader</t>
  </si>
  <si>
    <t>Containers</t>
  </si>
  <si>
    <t>Mobile Items</t>
  </si>
  <si>
    <t>Gym</t>
  </si>
  <si>
    <t>Fast Charging Table</t>
  </si>
  <si>
    <t>Laptop</t>
  </si>
  <si>
    <t>Monitor</t>
  </si>
  <si>
    <t>Printer/MFD</t>
  </si>
  <si>
    <t>Scanner</t>
  </si>
  <si>
    <t>Workstation</t>
  </si>
  <si>
    <t>Bike Trailer</t>
  </si>
  <si>
    <t>Display</t>
  </si>
  <si>
    <t>Fan</t>
  </si>
  <si>
    <t>Wireless Hotspot</t>
  </si>
  <si>
    <t>Entry/Exit</t>
  </si>
  <si>
    <t>Intercom Equipment</t>
  </si>
  <si>
    <t>On Prem</t>
  </si>
  <si>
    <t>Pool Cleaner</t>
  </si>
  <si>
    <t>Barrier Fencing</t>
  </si>
  <si>
    <t>Bollard Fence Linked</t>
  </si>
  <si>
    <t>Bollard Fence Unlinked</t>
  </si>
  <si>
    <t>Handrail</t>
  </si>
  <si>
    <t>Safety Fencing</t>
  </si>
  <si>
    <t>Official</t>
  </si>
  <si>
    <t>Chambers</t>
  </si>
  <si>
    <t>Venue</t>
  </si>
  <si>
    <t>Tables/Chairs</t>
  </si>
  <si>
    <t>Hedge</t>
  </si>
  <si>
    <t>Native</t>
  </si>
  <si>
    <t>Perennials</t>
  </si>
  <si>
    <t>Roses</t>
  </si>
  <si>
    <t>Brace Arm Style</t>
  </si>
  <si>
    <t>Braced Steel Frame and Bars</t>
  </si>
  <si>
    <t>Braced Timber Ranch Style</t>
  </si>
  <si>
    <t>Chain</t>
  </si>
  <si>
    <t>Double Braced Steel</t>
  </si>
  <si>
    <t>Double Steel Bar</t>
  </si>
  <si>
    <t>Single Bar</t>
  </si>
  <si>
    <t>Single Timber Rail</t>
  </si>
  <si>
    <t>Steel Frame and Cyclone Mesh</t>
  </si>
  <si>
    <t>Steel Frame and Mesh Insert</t>
  </si>
  <si>
    <t>Steel Frame and Vert Bar</t>
  </si>
  <si>
    <t>Steel Truss Style</t>
  </si>
  <si>
    <t>Fuel Tanks</t>
  </si>
  <si>
    <t>Bus</t>
  </si>
  <si>
    <t>Suction Sweeper</t>
  </si>
  <si>
    <t>Truck</t>
  </si>
  <si>
    <t>Truck - Compactor</t>
  </si>
  <si>
    <t>Truck - Crane</t>
  </si>
  <si>
    <t>Truck - EWP</t>
  </si>
  <si>
    <t>Drip in Line</t>
  </si>
  <si>
    <t>Irrigation Parkland Space</t>
  </si>
  <si>
    <t>Accessible Junction Box</t>
  </si>
  <si>
    <t>Inaccessible Junction Box</t>
  </si>
  <si>
    <t>Flush Kerb</t>
  </si>
  <si>
    <t>Mountable Kerb</t>
  </si>
  <si>
    <t>Mountable Kerb and Water Table</t>
  </si>
  <si>
    <t>Spoon Drain</t>
  </si>
  <si>
    <t>Golf Cart</t>
  </si>
  <si>
    <t>Motorcycle</t>
  </si>
  <si>
    <t>Passenger Shuttle</t>
  </si>
  <si>
    <t>Sedan</t>
  </si>
  <si>
    <t>Station Wagon</t>
  </si>
  <si>
    <t>Ute</t>
  </si>
  <si>
    <t>Utility Vehicle</t>
  </si>
  <si>
    <t>Van</t>
  </si>
  <si>
    <t>10.4m Column</t>
  </si>
  <si>
    <t>10.5m Column</t>
  </si>
  <si>
    <t>12m Column</t>
  </si>
  <si>
    <t>18m Column</t>
  </si>
  <si>
    <t>22m Tapered Pole</t>
  </si>
  <si>
    <t>5.4m Modullum Column</t>
  </si>
  <si>
    <t>6.5m Column</t>
  </si>
  <si>
    <t>7.0m Column</t>
  </si>
  <si>
    <t>9.0m Column</t>
  </si>
  <si>
    <t>9.0m HESS Column</t>
  </si>
  <si>
    <t>AdePole 10.5m</t>
  </si>
  <si>
    <t>AdePole 12m</t>
  </si>
  <si>
    <t>AdePole Short</t>
  </si>
  <si>
    <t>Basic Lighting</t>
  </si>
  <si>
    <t>Catenary Column</t>
  </si>
  <si>
    <t>Ceremonial</t>
  </si>
  <si>
    <t>Column</t>
  </si>
  <si>
    <t>Combination Traffic Column</t>
  </si>
  <si>
    <t>Decorative stepped</t>
  </si>
  <si>
    <t>FPM15F</t>
  </si>
  <si>
    <t>Heritage</t>
  </si>
  <si>
    <t>Modullum Column</t>
  </si>
  <si>
    <t>Park Street</t>
  </si>
  <si>
    <t>Post Top Lantern</t>
  </si>
  <si>
    <t>Stepped Post Top</t>
  </si>
  <si>
    <t>Stobie</t>
  </si>
  <si>
    <t>Pipe-Main</t>
  </si>
  <si>
    <t>Rising Main</t>
  </si>
  <si>
    <t>Sanitary Drainage</t>
  </si>
  <si>
    <t>Fluorescent</t>
  </si>
  <si>
    <t>Gobo Projector</t>
  </si>
  <si>
    <t>High Pressure Sodium</t>
  </si>
  <si>
    <t>Incandescent</t>
  </si>
  <si>
    <t>LED</t>
  </si>
  <si>
    <t>Light Bollard</t>
  </si>
  <si>
    <t>Low Pressure Sodium</t>
  </si>
  <si>
    <t>Mercury Vapour</t>
  </si>
  <si>
    <t>Metal Halide</t>
  </si>
  <si>
    <t>Boat - Motor</t>
  </si>
  <si>
    <t>Caravan</t>
  </si>
  <si>
    <t>Compaction Equipment</t>
  </si>
  <si>
    <t>Compressor</t>
  </si>
  <si>
    <t>Display Board - Portable</t>
  </si>
  <si>
    <t>Drum Roller</t>
  </si>
  <si>
    <t>Emulsion Sprayer - Skid Mounted</t>
  </si>
  <si>
    <t>Excavator</t>
  </si>
  <si>
    <t>Forklift</t>
  </si>
  <si>
    <t>Generator - Fixed</t>
  </si>
  <si>
    <t>Hoist</t>
  </si>
  <si>
    <t>Hoist - Scissor</t>
  </si>
  <si>
    <t>Ice Maker</t>
  </si>
  <si>
    <t>Loader</t>
  </si>
  <si>
    <t>Mower</t>
  </si>
  <si>
    <t>Seeder</t>
  </si>
  <si>
    <t>Site Hut</t>
  </si>
  <si>
    <t>Sweeper/Scrubber</t>
  </si>
  <si>
    <t>Ticket Box</t>
  </si>
  <si>
    <t>Trailer</t>
  </si>
  <si>
    <t>Wood Chipper</t>
  </si>
  <si>
    <t>Power Bollard</t>
  </si>
  <si>
    <t>Sub-board</t>
  </si>
  <si>
    <t>Concrete Mixer</t>
  </si>
  <si>
    <t>Drain Cleaner</t>
  </si>
  <si>
    <t>Gum Remover</t>
  </si>
  <si>
    <t>Linemarking Equipment</t>
  </si>
  <si>
    <t>Mower - Hand</t>
  </si>
  <si>
    <t>Personnel Lifter</t>
  </si>
  <si>
    <t>Pressure Cleaner</t>
  </si>
  <si>
    <t>Pump</t>
  </si>
  <si>
    <t>Slab Lifter</t>
  </si>
  <si>
    <t>Attachment</t>
  </si>
  <si>
    <t>Bus Battery</t>
  </si>
  <si>
    <t>Spreader</t>
  </si>
  <si>
    <t>Top Dresser</t>
  </si>
  <si>
    <t>Workshop Equipment</t>
  </si>
  <si>
    <t>Data</t>
  </si>
  <si>
    <t>Disk Storage</t>
  </si>
  <si>
    <t>Firewall</t>
  </si>
  <si>
    <t>Network Switch</t>
  </si>
  <si>
    <t>Optical Fibre</t>
  </si>
  <si>
    <t>Server</t>
  </si>
  <si>
    <t>Traffic Control Boxes</t>
  </si>
  <si>
    <t>Uniterrupted Power Supply</t>
  </si>
  <si>
    <t>Wireless Access Point</t>
  </si>
  <si>
    <t>Valve</t>
  </si>
  <si>
    <t>Wash Down Tap</t>
  </si>
  <si>
    <t>Arbour Structure</t>
  </si>
  <si>
    <t>Basketball Backboard</t>
  </si>
  <si>
    <t>Green Infrastructure</t>
  </si>
  <si>
    <t>Pergola</t>
  </si>
  <si>
    <t>Platform</t>
  </si>
  <si>
    <t>Rotunda</t>
  </si>
  <si>
    <t>Shade Sail</t>
  </si>
  <si>
    <t>Shelter</t>
  </si>
  <si>
    <t>Tennis Net and Posts</t>
  </si>
  <si>
    <t>Accessible Ramp</t>
  </si>
  <si>
    <t>Informal Path</t>
  </si>
  <si>
    <t>Pedestrian</t>
  </si>
  <si>
    <t>Shared Use Path</t>
  </si>
  <si>
    <t>2000V4</t>
  </si>
  <si>
    <t>TX</t>
  </si>
  <si>
    <t>Metered</t>
  </si>
  <si>
    <t>Bench</t>
  </si>
  <si>
    <t>Flat Top</t>
  </si>
  <si>
    <t>Inlet</t>
  </si>
  <si>
    <t>StripDrain</t>
  </si>
  <si>
    <t>SubSurface</t>
  </si>
  <si>
    <t>Fuse Pit</t>
  </si>
  <si>
    <t>Join Pit</t>
  </si>
  <si>
    <t>Loop Pit</t>
  </si>
  <si>
    <t>NA</t>
  </si>
  <si>
    <t>Pull Through</t>
  </si>
  <si>
    <t>Concrete</t>
  </si>
  <si>
    <t>Concrete and Mosaic</t>
  </si>
  <si>
    <t>Large (&gt;1500mm x 2000mm)</t>
  </si>
  <si>
    <t>Medium (&lt;=1500mm x 2000mm)</t>
  </si>
  <si>
    <t>Sandstone</t>
  </si>
  <si>
    <t>Small (&lt;=1000mm x 1500mm)</t>
  </si>
  <si>
    <t>Steel</t>
  </si>
  <si>
    <t>Zinc</t>
  </si>
  <si>
    <t>Activity Hub</t>
  </si>
  <si>
    <t>Fitness Station</t>
  </si>
  <si>
    <t>Art</t>
  </si>
  <si>
    <t>Carousels</t>
  </si>
  <si>
    <t>Climber</t>
  </si>
  <si>
    <t>General</t>
  </si>
  <si>
    <t>Jnr Balance Rope</t>
  </si>
  <si>
    <t>Jnr Climber Poles</t>
  </si>
  <si>
    <t>Jnr Rope Unit</t>
  </si>
  <si>
    <t>Jnr See Saw</t>
  </si>
  <si>
    <t>Jnr Spring Rocker</t>
  </si>
  <si>
    <t>Jnr Step Poles</t>
  </si>
  <si>
    <t>Multipurpose</t>
  </si>
  <si>
    <t>Rocking Equipment</t>
  </si>
  <si>
    <t>Slides</t>
  </si>
  <si>
    <t>Spatial Networks</t>
  </si>
  <si>
    <t>Sports</t>
  </si>
  <si>
    <t>Swings</t>
  </si>
  <si>
    <t>Tactile Play</t>
  </si>
  <si>
    <t>Zip Line</t>
  </si>
  <si>
    <t>Crib Wall</t>
  </si>
  <si>
    <t>Gabion Basket Wall</t>
  </si>
  <si>
    <t>Low Gardens Retaining Wall</t>
  </si>
  <si>
    <t>Carriageway</t>
  </si>
  <si>
    <t>CycleWay</t>
  </si>
  <si>
    <t>Border</t>
  </si>
  <si>
    <t>Fixed</t>
  </si>
  <si>
    <t>Free Standing</t>
  </si>
  <si>
    <t>Blue-ray Burner</t>
  </si>
  <si>
    <t>CCTV Keyboard</t>
  </si>
  <si>
    <t>Converter</t>
  </si>
  <si>
    <t>DVI Extender</t>
  </si>
  <si>
    <t>Decoder</t>
  </si>
  <si>
    <t>Encoder</t>
  </si>
  <si>
    <t>Encoder - Obsolete</t>
  </si>
  <si>
    <t>Media Converter</t>
  </si>
  <si>
    <t>Modem</t>
  </si>
  <si>
    <t>Modem - Obsolete</t>
  </si>
  <si>
    <t>Monitor &amp; Keyboard</t>
  </si>
  <si>
    <t>Network Time Protocol Server</t>
  </si>
  <si>
    <t>Network Video Recorder</t>
  </si>
  <si>
    <t>Power Supply</t>
  </si>
  <si>
    <t>Rack</t>
  </si>
  <si>
    <t>Splitter</t>
  </si>
  <si>
    <t>System Manager</t>
  </si>
  <si>
    <t>TBD</t>
  </si>
  <si>
    <t>UPS</t>
  </si>
  <si>
    <t>VCD</t>
  </si>
  <si>
    <t>Work Station</t>
  </si>
  <si>
    <t>SmartSpot</t>
  </si>
  <si>
    <t>BMX Track</t>
  </si>
  <si>
    <t>Netball Court</t>
  </si>
  <si>
    <t>Skate Park</t>
  </si>
  <si>
    <t>Tennis Court</t>
  </si>
  <si>
    <t>Pipe Connection Point</t>
  </si>
  <si>
    <t>Property Connection</t>
  </si>
  <si>
    <t>CoA Wall Mounted Control Panel</t>
  </si>
  <si>
    <t>Distribution Board</t>
  </si>
  <si>
    <t>Main Switchboard</t>
  </si>
  <si>
    <t>Main Switchboard &amp; Distribution Board</t>
  </si>
  <si>
    <t>Cabling</t>
  </si>
  <si>
    <t>Gateway</t>
  </si>
  <si>
    <t>Meeting Room Equipment</t>
  </si>
  <si>
    <t>Mobile Phone</t>
  </si>
  <si>
    <t>Tablets</t>
  </si>
  <si>
    <t>Median Island</t>
  </si>
  <si>
    <t>Pedestrian Refuge</t>
  </si>
  <si>
    <t>Roundabout</t>
  </si>
  <si>
    <t>ATSC4</t>
  </si>
  <si>
    <t>Eclipse PSC3</t>
  </si>
  <si>
    <t>PSC MK3</t>
  </si>
  <si>
    <t>Switchboard Operated</t>
  </si>
  <si>
    <t>Joint Use Mast Arm</t>
  </si>
  <si>
    <t>Joint Use Standard Pole</t>
  </si>
  <si>
    <t>Mast Arm</t>
  </si>
  <si>
    <t>Push Button pole</t>
  </si>
  <si>
    <t>Standard Pole</t>
  </si>
  <si>
    <t>Tram Pole</t>
  </si>
  <si>
    <t>Street Tree</t>
  </si>
  <si>
    <t>Advisory Large Sign</t>
  </si>
  <si>
    <t>Advisory Small Sign</t>
  </si>
  <si>
    <t>Bin Mounted Directional Sign</t>
  </si>
  <si>
    <t>Building Identification Sign</t>
  </si>
  <si>
    <t>Cycle Bollard</t>
  </si>
  <si>
    <t>Cycle Directional Panel</t>
  </si>
  <si>
    <t>Fingerboard</t>
  </si>
  <si>
    <t>Gateway Sign</t>
  </si>
  <si>
    <t>Interpretive Large Sign</t>
  </si>
  <si>
    <t>Interpretive Sign (Post Mounted)</t>
  </si>
  <si>
    <t>Park Lands Plinth</t>
  </si>
  <si>
    <t>Pedestrian Panel</t>
  </si>
  <si>
    <t>Pole Box</t>
  </si>
  <si>
    <t>Pole Box (Cycle)</t>
  </si>
  <si>
    <t>Pole Mounted Directional Sign</t>
  </si>
  <si>
    <t>Site Identification Directional Sign</t>
  </si>
  <si>
    <t>Site Identification Mapped Sign</t>
  </si>
  <si>
    <t>Site Identification Regulatory</t>
  </si>
  <si>
    <t>Urban Plinth</t>
  </si>
  <si>
    <t>Vehicular Entry Sign</t>
  </si>
  <si>
    <t>Minor Weir</t>
  </si>
  <si>
    <t>Torrens River Weir</t>
  </si>
  <si>
    <t>Transaction History</t>
  </si>
  <si>
    <t>The purpose of this spreadsheet is to align the costs in a project to the assets they relate to. There is a requirement to substantiate how all assets and expenditure (write-offs) are calculated for audit purposes. Please copy and paste the T1 report titled: Capital Project Handover Summary</t>
  </si>
  <si>
    <t>ProjectName</t>
  </si>
  <si>
    <t>LedgerName</t>
  </si>
  <si>
    <t>Period</t>
  </si>
  <si>
    <t>DocFile_BatchNumber</t>
  </si>
  <si>
    <t>Amount</t>
  </si>
  <si>
    <t>Account No</t>
  </si>
  <si>
    <t>TransactionDescription</t>
  </si>
  <si>
    <t>TransactionNarrative1</t>
  </si>
  <si>
    <t>TransactionNarrative2</t>
  </si>
  <si>
    <t>TransactionNarrative3</t>
  </si>
  <si>
    <t>Long Description</t>
  </si>
  <si>
    <t>Transaction Date</t>
  </si>
  <si>
    <t>Comments</t>
  </si>
  <si>
    <t>Performance &amp; Systems</t>
  </si>
  <si>
    <t>As Constructed Drawings</t>
  </si>
  <si>
    <t>Note: This is interim only as some information is already available via the handover completion report</t>
  </si>
  <si>
    <t>TRIM Link</t>
  </si>
  <si>
    <t xml:space="preserve">Drawing </t>
  </si>
  <si>
    <t>Paste Site Area  Image here</t>
  </si>
  <si>
    <t>Project-Wide and Write-Off Costs</t>
  </si>
  <si>
    <t>Total Project Wide Costs</t>
  </si>
  <si>
    <t>Total Write-Off Costs</t>
  </si>
  <si>
    <t>Total</t>
  </si>
  <si>
    <t>Project-Wide or Write-Off?</t>
  </si>
  <si>
    <t>Category</t>
  </si>
  <si>
    <t>Total Costs</t>
  </si>
  <si>
    <t>Other Project Expenditure</t>
  </si>
  <si>
    <t xml:space="preserve">Renewed or Enhanced Assets </t>
  </si>
  <si>
    <t>Asset Class</t>
  </si>
  <si>
    <t>Asset SubClass</t>
  </si>
  <si>
    <t>Asset Type</t>
  </si>
  <si>
    <t>Asset SubType</t>
  </si>
  <si>
    <t>Component Name</t>
  </si>
  <si>
    <t>Asset ID</t>
  </si>
  <si>
    <t>Unit of Measurement</t>
  </si>
  <si>
    <t>Unit Cost</t>
  </si>
  <si>
    <t>Total Cost</t>
  </si>
  <si>
    <t>Component Type</t>
  </si>
  <si>
    <t>Upgrade (%)</t>
  </si>
  <si>
    <t>Upgrade $</t>
  </si>
  <si>
    <t>Renewal $</t>
  </si>
  <si>
    <t>Allocate Project-Wide Costs to this Asset?</t>
  </si>
  <si>
    <t xml:space="preserve">Capitalise This Asset? </t>
  </si>
  <si>
    <t>Treatment Type</t>
  </si>
  <si>
    <t>% of Asset Renewed</t>
  </si>
  <si>
    <t>Useful Life</t>
  </si>
  <si>
    <t>Condition Rating</t>
  </si>
  <si>
    <t>Valuation Date</t>
  </si>
  <si>
    <t>Date Built</t>
  </si>
  <si>
    <t>Valuation Record ID</t>
  </si>
  <si>
    <t>Valuation Component Name</t>
  </si>
  <si>
    <t>End of Day</t>
  </si>
  <si>
    <t>Spatial Adjustment Required?</t>
  </si>
  <si>
    <t>Spatial Adjustment Comments</t>
  </si>
  <si>
    <t>Asset Category</t>
  </si>
  <si>
    <t>Financial Class</t>
  </si>
  <si>
    <t>Financial SubClass</t>
  </si>
  <si>
    <t>Asset Network Measure Type</t>
  </si>
  <si>
    <t>WIP$ New &amp; Upgrade</t>
  </si>
  <si>
    <t>WIP$ Renewal</t>
  </si>
  <si>
    <t>WIP$ Expense</t>
  </si>
  <si>
    <t xml:space="preserve">New Assets </t>
  </si>
  <si>
    <t>Asset ID (if known)</t>
  </si>
  <si>
    <t>Asset Name</t>
  </si>
  <si>
    <t>Primary Material</t>
  </si>
  <si>
    <t>Make/ Model</t>
  </si>
  <si>
    <t>Location</t>
  </si>
  <si>
    <t>Revaluation Date Built</t>
  </si>
  <si>
    <t>Valuation Record Type</t>
  </si>
  <si>
    <t xml:space="preserve">Disposed Assets </t>
  </si>
  <si>
    <t>Total Amount</t>
  </si>
  <si>
    <t>Asset Name Or Description</t>
  </si>
  <si>
    <t>Disposal Date</t>
  </si>
  <si>
    <t>Reason</t>
  </si>
  <si>
    <t>Disposal Type</t>
  </si>
  <si>
    <t>Valuation Record ID/ FAR ID</t>
  </si>
  <si>
    <t>WDV Amount</t>
  </si>
  <si>
    <t>Project Handover</t>
  </si>
  <si>
    <t>Note: Information automatically populated by pressing the buttton</t>
  </si>
  <si>
    <t>Project No. and Name</t>
  </si>
  <si>
    <t>New Asset Costs</t>
  </si>
  <si>
    <t>Previous Yrs - Overhead $</t>
  </si>
  <si>
    <t>Current Year Expenditure</t>
  </si>
  <si>
    <t>Renewed Assets Costs</t>
  </si>
  <si>
    <t>Current Yr - Overhead $</t>
  </si>
  <si>
    <t>Project -Wide Costs</t>
  </si>
  <si>
    <t>Disposed Assets WDV</t>
  </si>
  <si>
    <t>Write-Off Costs</t>
  </si>
  <si>
    <t>Variance Check</t>
  </si>
  <si>
    <t>Total Base Cost</t>
  </si>
  <si>
    <t>Total Project-Wide Costs</t>
  </si>
  <si>
    <t>Total Assets Costs</t>
  </si>
  <si>
    <t>Total Corporate Overhead</t>
  </si>
  <si>
    <t>Total Capital</t>
  </si>
  <si>
    <t>Total New  &amp; Upgrade</t>
  </si>
  <si>
    <t>Total Renewal</t>
  </si>
  <si>
    <t>Total Expense</t>
  </si>
  <si>
    <t>Cost of Project Details</t>
  </si>
  <si>
    <t>Asset Class-Subclass</t>
  </si>
  <si>
    <t>Account Number</t>
  </si>
  <si>
    <t>Renewal (%)</t>
  </si>
  <si>
    <t>Asset Type-SubType-Component</t>
  </si>
  <si>
    <t>Cost per Unit</t>
  </si>
  <si>
    <t>Total Base Costs</t>
  </si>
  <si>
    <t>Project Wide-Costs (Yes/No)</t>
  </si>
  <si>
    <t>Project Wide Costs</t>
  </si>
  <si>
    <t>Total Asset Costs</t>
  </si>
  <si>
    <t>Corporate Overhead</t>
  </si>
  <si>
    <t>Capitalised (Yes/No)</t>
  </si>
  <si>
    <t>Capital</t>
  </si>
  <si>
    <t>Capital - New &amp; Upgrade</t>
  </si>
  <si>
    <t>Capital - Renewal</t>
  </si>
  <si>
    <t>Expense</t>
  </si>
  <si>
    <t>Cost Category</t>
  </si>
  <si>
    <t>Planning &amp; Design</t>
  </si>
  <si>
    <t>General Preliminaries</t>
  </si>
  <si>
    <t>Construction Preliminaries</t>
  </si>
  <si>
    <t>Earthworks &amp; Remediation</t>
  </si>
  <si>
    <t>Spare Parts - Transfer to Depot Inventory</t>
  </si>
  <si>
    <t>Design Survey</t>
  </si>
  <si>
    <t>Detailed Design</t>
  </si>
  <si>
    <t>Certification and Compliance Certificates and As Cons</t>
  </si>
  <si>
    <t>Advertising, marketing, promotion</t>
  </si>
  <si>
    <t>Consultation</t>
  </si>
  <si>
    <t>CITB Levy</t>
  </si>
  <si>
    <t>Promotions</t>
  </si>
  <si>
    <t xml:space="preserve">Tenders SA </t>
  </si>
  <si>
    <t xml:space="preserve">Internal Project Management Costs </t>
  </si>
  <si>
    <t>Project Survey</t>
  </si>
  <si>
    <t xml:space="preserve">Traffic and Site Management </t>
  </si>
  <si>
    <t>Professional/consultancy fees during construction</t>
  </si>
  <si>
    <t>Demolition and Earthworks</t>
  </si>
  <si>
    <t>Contamination Management</t>
  </si>
  <si>
    <t xml:space="preserve">Asbestos / Capping </t>
  </si>
  <si>
    <t>Adjacent tie in works (minor works to adjacent asset segments)</t>
  </si>
  <si>
    <t>Minor costs relating to internal labour charges</t>
  </si>
  <si>
    <t xml:space="preserve">Relocation of third-party infrastructure </t>
  </si>
  <si>
    <t xml:space="preserve">Utility connection fees </t>
  </si>
  <si>
    <t xml:space="preserve">Temporary Works </t>
  </si>
  <si>
    <t>Asset Decommissioning</t>
  </si>
  <si>
    <t>Costs to remove existing assets</t>
  </si>
  <si>
    <t xml:space="preserve">Damage and repair to existing infrastructure </t>
  </si>
  <si>
    <t>Establishment and Maintenance costs</t>
  </si>
  <si>
    <t>Spare Parts to Depot Inventory</t>
  </si>
  <si>
    <t>Asset_Class</t>
  </si>
  <si>
    <t>Account_Number</t>
  </si>
  <si>
    <t>teams/ProjectManagementPractice/ReportingPortal/Lists/Asset_Class</t>
  </si>
  <si>
    <t>10.9000.9000.11345</t>
  </si>
  <si>
    <t>10.9000.9000.11317</t>
  </si>
  <si>
    <t>10.9000.9000.11316</t>
  </si>
  <si>
    <t>10.9000.9000.11340</t>
  </si>
  <si>
    <t>10.9000.9000.11338</t>
  </si>
  <si>
    <t>10.9000.9000.11303</t>
  </si>
  <si>
    <t>Write-Off</t>
  </si>
  <si>
    <t>10.9000.9000.11311</t>
  </si>
  <si>
    <t>10.9000.9000.11305</t>
  </si>
  <si>
    <t>10.9000.9000.11323</t>
  </si>
  <si>
    <t>10.9000.9000.11319</t>
  </si>
  <si>
    <t>10.9000.9000.11321</t>
  </si>
  <si>
    <t>10.9000.9000.11313</t>
  </si>
  <si>
    <t>10.9000.9000.11332</t>
  </si>
  <si>
    <t>10.9000.9000.11325</t>
  </si>
  <si>
    <t>Valuation Record Id</t>
  </si>
  <si>
    <t>Asset Id</t>
  </si>
  <si>
    <t>Is End Of Day</t>
  </si>
  <si>
    <t>Disposal Proceeds</t>
  </si>
  <si>
    <t>Disposal Expense</t>
  </si>
  <si>
    <t>Project Code</t>
  </si>
  <si>
    <t>To State</t>
  </si>
  <si>
    <t>Buyer</t>
  </si>
  <si>
    <t>Sell Value</t>
  </si>
  <si>
    <t>Upgrade CapEx</t>
  </si>
  <si>
    <t>Upgrade Capitalize WIP</t>
  </si>
  <si>
    <t>Upgrade Opex</t>
  </si>
  <si>
    <t>Renewal CapEx</t>
  </si>
  <si>
    <t>Renewal Capitalize WIP</t>
  </si>
  <si>
    <t>Renewal Opex</t>
  </si>
  <si>
    <t>Extension CapEx</t>
  </si>
  <si>
    <t>Extension Capitalize WIP</t>
  </si>
  <si>
    <t>Extension Opex</t>
  </si>
  <si>
    <t>Disposal Percentage</t>
  </si>
  <si>
    <t>WIP Amount</t>
  </si>
  <si>
    <t>Residual Value %</t>
  </si>
  <si>
    <t>Valuation Pattern</t>
  </si>
  <si>
    <t>Valuation Pattern Index</t>
  </si>
  <si>
    <t>Remaining Useful Life</t>
  </si>
  <si>
    <t>Calculation Method</t>
  </si>
  <si>
    <t>Treatment Name</t>
  </si>
  <si>
    <t>Valuation Component Type</t>
  </si>
  <si>
    <t>Depreciation Method</t>
  </si>
  <si>
    <t>Depreciation Calculation Method</t>
  </si>
  <si>
    <t>Replacement Cost</t>
  </si>
  <si>
    <t>Unit Rate</t>
  </si>
  <si>
    <t>Depreciation Rate</t>
  </si>
  <si>
    <t>Depreciation Effective Date</t>
  </si>
  <si>
    <t>Depreciated Replacement Cost</t>
  </si>
  <si>
    <t>Residual Cost (%)</t>
  </si>
  <si>
    <t>Measurement</t>
  </si>
  <si>
    <t>Measurement Unit</t>
  </si>
  <si>
    <t>Measurement Record Id</t>
  </si>
  <si>
    <t>Record Type</t>
  </si>
  <si>
    <t>Multiplier</t>
  </si>
  <si>
    <t>Measurement Type</t>
  </si>
  <si>
    <t>Financial Subclass</t>
  </si>
  <si>
    <t>Network Measure Type</t>
  </si>
  <si>
    <t>Unit</t>
  </si>
  <si>
    <t>Weight</t>
  </si>
  <si>
    <t>Threshold</t>
  </si>
  <si>
    <t>Is Critical</t>
  </si>
  <si>
    <t>External Identifier</t>
  </si>
  <si>
    <t>Design Life</t>
  </si>
  <si>
    <t>Reference Value</t>
  </si>
  <si>
    <t>Reference Date</t>
  </si>
  <si>
    <t>Asset Sub Class</t>
  </si>
  <si>
    <t>Asset Sub Type</t>
  </si>
  <si>
    <t>Maintenance Asset Sub Type</t>
  </si>
  <si>
    <t>Maintenance Asset Type</t>
  </si>
  <si>
    <t>Work Group</t>
  </si>
  <si>
    <t>Criticality</t>
  </si>
  <si>
    <t>01 Wearing Course</t>
  </si>
  <si>
    <t>02 Intermediate Course</t>
  </si>
  <si>
    <t>Intermediated Course Partial Renewal</t>
  </si>
  <si>
    <t>03 Base Course</t>
  </si>
  <si>
    <t>Concrete Base</t>
  </si>
  <si>
    <t>Pond Liner</t>
  </si>
  <si>
    <t>Turf Surface</t>
  </si>
  <si>
    <t>Basketball Court</t>
  </si>
  <si>
    <t>Chess Set</t>
  </si>
  <si>
    <t>Cricket Pitch</t>
  </si>
  <si>
    <t>Equipment - Nursery</t>
  </si>
  <si>
    <t>Equipment - Sustainability</t>
  </si>
  <si>
    <t>Linear Lighting</t>
  </si>
  <si>
    <t>Multipurpose Court</t>
  </si>
  <si>
    <t>Park Lands Access Road</t>
  </si>
  <si>
    <t>Petanque</t>
  </si>
  <si>
    <t>Power Outlet</t>
  </si>
  <si>
    <t>Road Carriageway</t>
  </si>
  <si>
    <t>Road Intersection</t>
  </si>
  <si>
    <t>Road Intersection (Raised)</t>
  </si>
  <si>
    <t>Skatepark</t>
  </si>
  <si>
    <t>Small Tools</t>
  </si>
  <si>
    <t>Sports Equipment</t>
  </si>
  <si>
    <t>BMX Track - Beginner</t>
  </si>
  <si>
    <t>Sportsfields &amp; Active Areas</t>
  </si>
  <si>
    <t>Acrylic Surface</t>
  </si>
  <si>
    <t>Asphalt Layer</t>
  </si>
  <si>
    <t>Rubble Base</t>
  </si>
  <si>
    <t>Abutments</t>
  </si>
  <si>
    <t>Anti-throw screen</t>
  </si>
  <si>
    <t>Cable Tray Screens</t>
  </si>
  <si>
    <t>Deck Joints - Abutment Joint</t>
  </si>
  <si>
    <t>Deck Joints - Compression Joint Seal</t>
  </si>
  <si>
    <t>Deck Joints - Expansion Joint</t>
  </si>
  <si>
    <t>Deck Joints - Finger Joint</t>
  </si>
  <si>
    <t>Deck Joints - Sliding Joint</t>
  </si>
  <si>
    <t>Handrails</t>
  </si>
  <si>
    <t>Headwalls/Wingwalls</t>
  </si>
  <si>
    <t>Pier Protection</t>
  </si>
  <si>
    <t>Pile Caps</t>
  </si>
  <si>
    <t>Nursery</t>
  </si>
  <si>
    <t>Sustainability</t>
  </si>
  <si>
    <t>Access Ladders</t>
  </si>
  <si>
    <t>Access Lids</t>
  </si>
  <si>
    <t>Baskets/Net</t>
  </si>
  <si>
    <t>Concrete Structure</t>
  </si>
  <si>
    <t>GPT Baffle System</t>
  </si>
  <si>
    <t>GPT Screens</t>
  </si>
  <si>
    <t>Control wire</t>
  </si>
  <si>
    <t>Above Ground</t>
  </si>
  <si>
    <t>Holding Tank</t>
  </si>
  <si>
    <t>Sewer Pumps</t>
  </si>
  <si>
    <t>Water Pits</t>
  </si>
  <si>
    <t>Non Potable Water</t>
  </si>
  <si>
    <t>Inspection Opening</t>
  </si>
  <si>
    <t>Sewer Nodes</t>
  </si>
  <si>
    <t>Lockable Isolation Valve</t>
  </si>
  <si>
    <t>Stormwater Fittings</t>
  </si>
  <si>
    <t>Smart Water Meter</t>
  </si>
  <si>
    <t>Fibre</t>
  </si>
  <si>
    <t>04 Working Platform</t>
  </si>
  <si>
    <t>Gravel Surface</t>
  </si>
  <si>
    <t>Water Fittings</t>
  </si>
  <si>
    <t>--Not Set--</t>
  </si>
  <si>
    <t>Concrete Surface</t>
  </si>
  <si>
    <t>On-street Parking</t>
  </si>
  <si>
    <t>Basketball Ring</t>
  </si>
  <si>
    <t>Football Goal Posts</t>
  </si>
  <si>
    <t>Netball Ring</t>
  </si>
  <si>
    <t>Skatepark Equipment</t>
  </si>
  <si>
    <t>Soccer Goal</t>
  </si>
  <si>
    <t>BMX Track - Advanced</t>
  </si>
  <si>
    <t>BMX Track - Intermediate</t>
  </si>
  <si>
    <t>BMX Track - Pump Track</t>
  </si>
  <si>
    <t>Rock Pool</t>
  </si>
  <si>
    <t xml:space="preserve">Basketball Court - Acrylic Surface </t>
  </si>
  <si>
    <t>Basketball Court - Asphalt Surface</t>
  </si>
  <si>
    <t>JVH Kiato</t>
  </si>
  <si>
    <t>IndigoVision PTZ</t>
  </si>
  <si>
    <t>Macadam Pavement (Low Volume)</t>
  </si>
  <si>
    <t>Unsealed Rubble Pavement</t>
  </si>
  <si>
    <t>Chess Set - Concrete</t>
  </si>
  <si>
    <t>Cricket Pitch - Concrete</t>
  </si>
  <si>
    <t>Comms - White Spare</t>
  </si>
  <si>
    <t>BioSeparator</t>
  </si>
  <si>
    <t>Boom Gate</t>
  </si>
  <si>
    <t>Hubs</t>
  </si>
  <si>
    <t>Golf Equipment</t>
  </si>
  <si>
    <t>Golf Greens</t>
  </si>
  <si>
    <t>Golf Greens - Turf Surface</t>
  </si>
  <si>
    <t>Floor Drain</t>
  </si>
  <si>
    <t>Tapered Round</t>
  </si>
  <si>
    <t>Festoon Light</t>
  </si>
  <si>
    <t>Bracket Only</t>
  </si>
  <si>
    <t>Catenary Lights</t>
  </si>
  <si>
    <t>Directional</t>
  </si>
  <si>
    <t>Downlight</t>
  </si>
  <si>
    <t>LED Strip</t>
  </si>
  <si>
    <t>Structure Mounted</t>
  </si>
  <si>
    <t>Uplight</t>
  </si>
  <si>
    <t>Water Meter</t>
  </si>
  <si>
    <t xml:space="preserve">Multipurpose Court - Acrylic Surface </t>
  </si>
  <si>
    <t>Multipurpose Court - Asphalt Surface</t>
  </si>
  <si>
    <t>Netball Court - Acrylic Surface</t>
  </si>
  <si>
    <t>Non Potable Water Pit</t>
  </si>
  <si>
    <t>Potable Water Pit</t>
  </si>
  <si>
    <t>Pump Station</t>
  </si>
  <si>
    <t>96 Core</t>
  </si>
  <si>
    <t>Brick Paver on Granular Pavement</t>
  </si>
  <si>
    <t>MetroLite</t>
  </si>
  <si>
    <t>Petanque - Gravel Surface</t>
  </si>
  <si>
    <t>Trench Drain</t>
  </si>
  <si>
    <t>Macadam Pavement (High Volume)</t>
  </si>
  <si>
    <t>Rigid Concrete Pavement</t>
  </si>
  <si>
    <t>Stone Paver on Rigid Concrete Pavement</t>
  </si>
  <si>
    <t>Skatepark - Concrete Surface</t>
  </si>
  <si>
    <t>Soccer Goals</t>
  </si>
  <si>
    <t>Tennis Net</t>
  </si>
  <si>
    <t>PIO</t>
  </si>
  <si>
    <t xml:space="preserve">Tennis Court - Acrylic Surface </t>
  </si>
  <si>
    <t>Tennis Court - Synthetic Turf Surface</t>
  </si>
  <si>
    <t xml:space="preserve">Tennis Court - Turf Surface </t>
  </si>
  <si>
    <t>Park Tree</t>
  </si>
  <si>
    <t>Tree Inlet</t>
  </si>
  <si>
    <t>Ornamental Stream</t>
  </si>
  <si>
    <t>Water Play</t>
  </si>
  <si>
    <t>Stringers</t>
  </si>
  <si>
    <t>Loaded latest Assetic schema</t>
  </si>
  <si>
    <t>Wifi Supply Point</t>
  </si>
  <si>
    <t>Wearing Surface</t>
  </si>
  <si>
    <t>Wearing Surface on Deck</t>
  </si>
  <si>
    <t>Wingwall/Retaining Wall</t>
  </si>
  <si>
    <t>Transport Service</t>
  </si>
  <si>
    <t>Public Transport Shelters</t>
  </si>
  <si>
    <t>Walling</t>
  </si>
  <si>
    <t>Wall</t>
  </si>
  <si>
    <t>Trash Racks</t>
  </si>
  <si>
    <t>Tertiary Luminaire</t>
  </si>
  <si>
    <t>Valve Main</t>
  </si>
  <si>
    <t>Water Valves</t>
  </si>
  <si>
    <t>Vent Pipe</t>
  </si>
  <si>
    <t>Vent Pt Main</t>
  </si>
  <si>
    <t>Wash Down Tap Main</t>
  </si>
  <si>
    <t>Open Space Services</t>
  </si>
  <si>
    <t>Swale Main</t>
  </si>
  <si>
    <t>Synthetic Turf</t>
  </si>
  <si>
    <t>Uninterruptible Power Supply</t>
  </si>
  <si>
    <t>Trees</t>
  </si>
  <si>
    <t>Tree Pit</t>
  </si>
  <si>
    <t>Tree grate</t>
  </si>
  <si>
    <t>Tree Inlet Main</t>
  </si>
  <si>
    <t>Water Feature Main</t>
  </si>
  <si>
    <t>Weir Structure</t>
  </si>
  <si>
    <t>Z8290</t>
  </si>
  <si>
    <t>Traffic Signal Cables and Conduits Rehabilitation - Pulteney Street/Pirie Street (TS3021)</t>
  </si>
  <si>
    <t>Craig Jager</t>
  </si>
  <si>
    <t>Belinda Hill</t>
  </si>
  <si>
    <t>CoC</t>
  </si>
  <si>
    <t>CITB</t>
  </si>
  <si>
    <t xml:space="preserve">As Constructed </t>
  </si>
  <si>
    <t>ACC2025/156277</t>
  </si>
  <si>
    <t>ACC2025/156380</t>
  </si>
  <si>
    <t>ACC2025/156506</t>
  </si>
  <si>
    <t>Full Handover</t>
  </si>
  <si>
    <t>214143</t>
  </si>
  <si>
    <t>TS3021-Pulteney St/Pirie St-Cables and Conduits - Footpaths 29 core From:Controller-96 To:Pit-833</t>
  </si>
  <si>
    <t>214144</t>
  </si>
  <si>
    <t>TS3021-Pulteney St/Pirie St-Cables and Conduits - Footpaths 29 core From:Pit-833 To:Pit-432</t>
  </si>
  <si>
    <t>214145</t>
  </si>
  <si>
    <t>TS3021-Pulteney St/Pirie St-Cables and Conduits - Footpaths 29 core From:Pit-833 To:Pit-832</t>
  </si>
  <si>
    <t>214146</t>
  </si>
  <si>
    <t>TS3021-Pulteney St/Pirie St-Cables and Conduits - Footpaths 29 core From:Pit-832 To:Pit-431</t>
  </si>
  <si>
    <t>214147</t>
  </si>
  <si>
    <t>TS3021-Pulteney St/Pirie St-Cables and Conduits - Footpaths 29 core From:Pit-431 To:Pole-256</t>
  </si>
  <si>
    <t>214148</t>
  </si>
  <si>
    <t>TS3021-Pulteney St/Pirie St-Cables and Conduits - Footpaths 29 core From:Pit-431 To:Pole-257</t>
  </si>
  <si>
    <t>214149</t>
  </si>
  <si>
    <t>TS3021-Pulteney St/Pirie St-Cables and Conduits - Roads 63 core From:Pit-431 To:Pit-839</t>
  </si>
  <si>
    <t>214150</t>
  </si>
  <si>
    <t>TS3021-Pulteney St/Pirie St-Cables and Conduits - Footpaths 29 core From:Pit-839 To:Pole-258</t>
  </si>
  <si>
    <t>214151</t>
  </si>
  <si>
    <t>TS3021-Pulteney St/Pirie St-Cables and Conduits - Roads 63 core From:Pit-839 To:Pit-840</t>
  </si>
  <si>
    <t>214152</t>
  </si>
  <si>
    <t>TS3021-Pulteney St/Pirie St-Cables and Conduits - Footpaths 29 core From:Pit-840 To:Pole-259</t>
  </si>
  <si>
    <t>214153</t>
  </si>
  <si>
    <t>TS3021-Pulteney St/Pirie St-Cables and Conduits - Footpaths 29 core From:Pit-840 To:Pole-260</t>
  </si>
  <si>
    <t>214154</t>
  </si>
  <si>
    <t>TS3021-Pulteney St/Pirie St-Cables and Conduits - Roads 63 core From:Pit-833 To:Pit-835</t>
  </si>
  <si>
    <t>214155</t>
  </si>
  <si>
    <t>TS3021-Pulteney St/Pirie St-Cables and Conduits - Footpaths 29 core From:Pit-835 To:Pit-433</t>
  </si>
  <si>
    <t>214156</t>
  </si>
  <si>
    <t>TS3021-Pulteney St/Pirie St-Cables and Conduits - Footpaths 29 core From:Pit-433 To:Pole-263</t>
  </si>
  <si>
    <t>214157</t>
  </si>
  <si>
    <t>TS3021-Pulteney St/Pirie St-Cables and Conduits - Footpaths 29 core From:Pit-433 To:Pole-264</t>
  </si>
  <si>
    <t>214158</t>
  </si>
  <si>
    <t>TS3021-Pulteney St/Pirie St-Cables and Conduits - Roads 63 core From:Pit-433 To:Pit-836</t>
  </si>
  <si>
    <t>214159</t>
  </si>
  <si>
    <t>TS3021-Pulteney St/Pirie St-Cables and Conduits - Roads 63 core From:Pit-836 To:Pole-262</t>
  </si>
  <si>
    <t>214160</t>
  </si>
  <si>
    <t>TS3021-Pulteney St/Pirie St-Cables and Conduits - Roads 63 core From:Pit-836 To:Pit-838</t>
  </si>
  <si>
    <t>214161</t>
  </si>
  <si>
    <t>TS3021-Pulteney St/Pirie St-Cables and Conduits - Footpaths 29 core From:Pit-838 To:Pole-261</t>
  </si>
  <si>
    <t>214162</t>
  </si>
  <si>
    <t>TS3021-Pulteney St/Pirie St-Cables and Conduits - Footpaths 29 core From:Pit-838 To:Pit-435</t>
  </si>
  <si>
    <t>214163</t>
  </si>
  <si>
    <t>TS3021-Pulteney St/Pirie St-Cables and Conduits - Roads 63 core From:Pit-839 To:Pit-436</t>
  </si>
  <si>
    <t>214164</t>
  </si>
  <si>
    <t>TS3021-Pulteney St/Pirie St-Cables and Conduits - Footpaths 29 core From:Pit-433 To:Pit-434</t>
  </si>
  <si>
    <t>Cables and Conduits - Footpaths 29 core</t>
  </si>
  <si>
    <t>Cables and Conduits - Roads 63 core</t>
  </si>
  <si>
    <t>216805</t>
  </si>
  <si>
    <t>TS3021-Pulteney St/Pirie St-Traffic Signal Pit Type-Single Gatic</t>
  </si>
  <si>
    <t>216806</t>
  </si>
  <si>
    <t>216807</t>
  </si>
  <si>
    <t>TS3021-Pulteney St/Pirie St-Traffic Signal Pit Type-P4</t>
  </si>
  <si>
    <t>216808</t>
  </si>
  <si>
    <t>216809</t>
  </si>
  <si>
    <t>TS3021-Pulteney St/Pirie St-Traffic Signal Pit Type-P1</t>
  </si>
  <si>
    <t>216810</t>
  </si>
  <si>
    <t>216811</t>
  </si>
  <si>
    <t>TS3021-Pulteney St/Pirie St-Traffic Signal Pit Type-Double Gatic</t>
  </si>
  <si>
    <t>216812</t>
  </si>
  <si>
    <t>216813</t>
  </si>
  <si>
    <t>216814</t>
  </si>
  <si>
    <t>216815</t>
  </si>
  <si>
    <t>216816</t>
  </si>
  <si>
    <t>216817</t>
  </si>
  <si>
    <t>Traffic Signal Pit</t>
  </si>
  <si>
    <t>Single Gatic</t>
  </si>
  <si>
    <t>P4</t>
  </si>
  <si>
    <t>P1</t>
  </si>
  <si>
    <t>Double Gatic</t>
  </si>
  <si>
    <t>Full Asset Disposal</t>
  </si>
  <si>
    <t>Pulteney St/Pirie St</t>
  </si>
  <si>
    <t>Renewal  / spatial update</t>
  </si>
  <si>
    <t>P2</t>
  </si>
  <si>
    <t>P3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</si>
  <si>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</si>
  <si>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</si>
  <si>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</si>
  <si>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</si>
  <si>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</si>
  <si>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</si>
  <si>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</si>
  <si>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</si>
  <si>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</si>
  <si>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</si>
  <si>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Yes</t>
  </si>
  <si>
    <t>Conduits - 80</t>
  </si>
  <si>
    <t>Cables - 29 Core PVC Circular - Orange</t>
  </si>
  <si>
    <t>C2</t>
  </si>
  <si>
    <t>Cables - 6 Core + Earth PVC Circular - Orange</t>
  </si>
  <si>
    <t>Cables - 63 Core + Earth PVC Circular - Orange</t>
  </si>
  <si>
    <t>C3-1</t>
  </si>
  <si>
    <t>C3-2</t>
  </si>
  <si>
    <t>C3-3</t>
  </si>
  <si>
    <t>C4</t>
  </si>
  <si>
    <t>C5-1</t>
  </si>
  <si>
    <t>C5-2</t>
  </si>
  <si>
    <t>C5-3</t>
  </si>
  <si>
    <t>C6</t>
  </si>
  <si>
    <t>Conduits - 40</t>
  </si>
  <si>
    <t>C7</t>
  </si>
  <si>
    <t>C8</t>
  </si>
  <si>
    <t>C9-1</t>
  </si>
  <si>
    <t>C9-2</t>
  </si>
  <si>
    <t>C9-3</t>
  </si>
  <si>
    <t>C10-1</t>
  </si>
  <si>
    <t>C10-2</t>
  </si>
  <si>
    <t>C10-3</t>
  </si>
  <si>
    <t>C11</t>
  </si>
  <si>
    <t>C12-1</t>
  </si>
  <si>
    <t>C12-2</t>
  </si>
  <si>
    <t>C12-3</t>
  </si>
  <si>
    <t>C13</t>
  </si>
  <si>
    <t>C14-1</t>
  </si>
  <si>
    <t>C14-2</t>
  </si>
  <si>
    <t>C14-3</t>
  </si>
  <si>
    <t>C15</t>
  </si>
  <si>
    <t>C16</t>
  </si>
  <si>
    <t>C17</t>
  </si>
  <si>
    <t>C18</t>
  </si>
  <si>
    <t>C19</t>
  </si>
  <si>
    <t>C20</t>
  </si>
  <si>
    <t>C21</t>
  </si>
  <si>
    <t>C22</t>
  </si>
  <si>
    <t>pits and cables to recile</t>
  </si>
  <si>
    <t>conduits then brought in as 'found assets' with a value of $0</t>
  </si>
  <si>
    <t>the 25/26 indexation project will assign the unit rate value then apply indexation wit the rest of the T/S asset class</t>
  </si>
  <si>
    <t>This project did not renew the conduits, just the pit and cables were renewed</t>
  </si>
  <si>
    <t>C23</t>
  </si>
  <si>
    <t>No</t>
  </si>
  <si>
    <t>Z8290 WIP Sketch</t>
  </si>
  <si>
    <t>methodology and approach discussed and agreed with Danielle Pedler 29/01/26</t>
  </si>
  <si>
    <t>spatially the conduit locations are wrong in CityMaps and did not match the as built locations</t>
  </si>
  <si>
    <t>to resolve this - the conduits have been disposed</t>
  </si>
  <si>
    <t>noting that the 25/26 indexation project will assign the unit rate value then apply indexation with the rest of the T/S asset class</t>
  </si>
  <si>
    <t>ACC2026/11378</t>
  </si>
  <si>
    <t>New Asset</t>
  </si>
  <si>
    <t>Transportation-Traffic Signals</t>
  </si>
  <si>
    <t>New Assets:10</t>
  </si>
  <si>
    <t>New Assets:11</t>
  </si>
  <si>
    <t>New Assets:12</t>
  </si>
  <si>
    <t>New Assets:13</t>
  </si>
  <si>
    <t>New Assets:14</t>
  </si>
  <si>
    <t>New Assets:15</t>
  </si>
  <si>
    <t>New Assets:16</t>
  </si>
  <si>
    <t>New Assets:17</t>
  </si>
  <si>
    <t>New Assets:18</t>
  </si>
  <si>
    <t>New Assets:19</t>
  </si>
  <si>
    <t>New Assets:20</t>
  </si>
  <si>
    <t>New Assets:21</t>
  </si>
  <si>
    <t>New Assets:22</t>
  </si>
  <si>
    <t>New Assets:23</t>
  </si>
  <si>
    <t>New Assets:24</t>
  </si>
  <si>
    <t>New Assets:25</t>
  </si>
  <si>
    <t>New Assets:26</t>
  </si>
  <si>
    <t>New Assets:27</t>
  </si>
  <si>
    <t>New Assets:28</t>
  </si>
  <si>
    <t>New Assets:29</t>
  </si>
  <si>
    <t>New Assets:30</t>
  </si>
  <si>
    <t>New Assets:31</t>
  </si>
  <si>
    <t>New Assets:32</t>
  </si>
  <si>
    <t>New Assets:33</t>
  </si>
  <si>
    <t>New Assets:34</t>
  </si>
  <si>
    <t>New Assets:35</t>
  </si>
  <si>
    <t>New Assets:36</t>
  </si>
  <si>
    <t>New Assets:37</t>
  </si>
  <si>
    <t>New Assets:38</t>
  </si>
  <si>
    <t>New Assets:39</t>
  </si>
  <si>
    <t>New Assets:40</t>
  </si>
  <si>
    <t>New Assets:41</t>
  </si>
  <si>
    <t>New Assets:42</t>
  </si>
  <si>
    <t>New Assets:43</t>
  </si>
  <si>
    <t>New Assets:44</t>
  </si>
  <si>
    <t>New Assets:45</t>
  </si>
  <si>
    <t>New Assets:46</t>
  </si>
  <si>
    <t>New Assets:47</t>
  </si>
  <si>
    <t>New Assets:48</t>
  </si>
  <si>
    <t>New Assets:49</t>
  </si>
  <si>
    <t>New Assets:50</t>
  </si>
  <si>
    <t>New Assets:51</t>
  </si>
  <si>
    <t>New Assets:52</t>
  </si>
  <si>
    <t>New Assets:53</t>
  </si>
  <si>
    <t>New Assets:54</t>
  </si>
  <si>
    <t>New Assets:55</t>
  </si>
  <si>
    <t>New Assets:56</t>
  </si>
  <si>
    <t>New Assets:57</t>
  </si>
  <si>
    <t>New Assets:58</t>
  </si>
  <si>
    <t>New Assets:59</t>
  </si>
  <si>
    <t>New Assets:60</t>
  </si>
  <si>
    <t>New Assets:61</t>
  </si>
  <si>
    <t>New Assets:62</t>
  </si>
  <si>
    <t>New Assets:63</t>
  </si>
  <si>
    <t>New Assets:64</t>
  </si>
  <si>
    <t>New Assets:65</t>
  </si>
  <si>
    <t>New Assets:66</t>
  </si>
  <si>
    <t>New Assets:67</t>
  </si>
  <si>
    <t>New Assets:68</t>
  </si>
  <si>
    <t>New Assets:69</t>
  </si>
  <si>
    <t>New Assets:70</t>
  </si>
  <si>
    <t>New Assets:71</t>
  </si>
  <si>
    <t>New Assets:72</t>
  </si>
  <si>
    <t>New Assets:73</t>
  </si>
  <si>
    <t>New Assets:74</t>
  </si>
  <si>
    <t>New Assets:75</t>
  </si>
  <si>
    <t>New Assets:76</t>
  </si>
  <si>
    <t>New Assets:77</t>
  </si>
  <si>
    <t>New Assets:78</t>
  </si>
  <si>
    <t>New Assets:79</t>
  </si>
  <si>
    <t>New Assets:80</t>
  </si>
  <si>
    <t>New Assets:81</t>
  </si>
  <si>
    <t>New Assets:82</t>
  </si>
  <si>
    <t>New Assets:83</t>
  </si>
  <si>
    <t>New Assets:84</t>
  </si>
  <si>
    <t>New Assets:85</t>
  </si>
  <si>
    <t>New Assets:86</t>
  </si>
  <si>
    <t>New Assets:87</t>
  </si>
  <si>
    <t>New Assets:88</t>
  </si>
  <si>
    <t>New Assets:89</t>
  </si>
  <si>
    <t>New Assets:90</t>
  </si>
  <si>
    <t>New Assets:91</t>
  </si>
  <si>
    <t>New Assets:92</t>
  </si>
  <si>
    <t>New Assets:93</t>
  </si>
  <si>
    <t>New Assets:94</t>
  </si>
  <si>
    <t>New Assets:95</t>
  </si>
  <si>
    <t>New Assets:96</t>
  </si>
  <si>
    <t>New Assets:97</t>
  </si>
  <si>
    <t>New Assets:98</t>
  </si>
  <si>
    <t>New Assets:99</t>
  </si>
  <si>
    <t>New Assets:100</t>
  </si>
  <si>
    <t>New Assets:101</t>
  </si>
  <si>
    <t>New Assets:102</t>
  </si>
  <si>
    <t>New Assets:103</t>
  </si>
  <si>
    <t>New Assets:104</t>
  </si>
  <si>
    <t>New Assets:105</t>
  </si>
  <si>
    <t>New Assets:106</t>
  </si>
  <si>
    <t>New Assets:107</t>
  </si>
  <si>
    <t>New Assets:108</t>
  </si>
  <si>
    <t>New Assets:109</t>
  </si>
  <si>
    <t>Addition</t>
  </si>
  <si>
    <t>Standard Straight Line</t>
  </si>
  <si>
    <t>StraightLine</t>
  </si>
  <si>
    <t>Retrospective</t>
  </si>
  <si>
    <t>Disposed</t>
  </si>
  <si>
    <t>Cables - 29 Core</t>
  </si>
  <si>
    <t>Cables - 63 Core</t>
  </si>
  <si>
    <t>Cables - 6 Core</t>
  </si>
  <si>
    <t>Traffic Signals-Traffic Signal Pit-P2-Pit Main</t>
  </si>
  <si>
    <t>Traffic Signals-Traffic Signal Pit-Single Gatic-Pit Main</t>
  </si>
  <si>
    <t>Traffic Signals-Traffic Signal Pit-P4-Pit Main</t>
  </si>
  <si>
    <t>Traffic Signals-Traffic Signal Pit-Double Gatic-Pit Main</t>
  </si>
  <si>
    <t>Traffic Signals-Traffic Signal Cables and Conduits-Detector Loop-Detector Loop</t>
  </si>
  <si>
    <t>Traffic Signals-Traffic Signal Cables and Conduits-Conduits - 80-</t>
  </si>
  <si>
    <t>Traffic Signals-Traffic Signal Cables and Conduits-Cables - 29 Core PVC Circular - Orange-Cables - 29 Core</t>
  </si>
  <si>
    <t>Traffic Signals-Traffic Signal Cables and Conduits-Conduits - 80-Conduits - 80</t>
  </si>
  <si>
    <t>Traffic Signals-Traffic Signal Cables and Conduits-Cables - 6 Core + Earth PVC Circular - Orange-Cables - 6 Core</t>
  </si>
  <si>
    <t>Traffic Signals-Traffic Signal Cables and Conduits-Cables - 63 Core + Earth PVC Circular - Orange-Cables - 63 Core</t>
  </si>
  <si>
    <t>Traffic Signals-Traffic Signal Cables and Conduits-Conduits - 40-</t>
  </si>
  <si>
    <t>Traffic Signals-Traffic Signal Cables and Conduits-Conduits - 40-Conduits - 40</t>
  </si>
  <si>
    <t>Full Disposal</t>
  </si>
  <si>
    <t>Constructed</t>
  </si>
  <si>
    <t>Cable-Main-148996</t>
  </si>
  <si>
    <t>Conduit-Main-148633</t>
  </si>
  <si>
    <t>Cable-Main-149194</t>
  </si>
  <si>
    <t>Conduit-Main-149500</t>
  </si>
  <si>
    <t>Cable-Main-149729</t>
  </si>
  <si>
    <t>Conduit-Main-149339</t>
  </si>
  <si>
    <t>Cable-Main-149893</t>
  </si>
  <si>
    <t>Conduit-Main-150732</t>
  </si>
  <si>
    <t>Cable-Main-148346</t>
  </si>
  <si>
    <t>Conduit-Main-147697</t>
  </si>
  <si>
    <t>Cable-Main-151353</t>
  </si>
  <si>
    <t>Conduit-Main-147272</t>
  </si>
  <si>
    <t>Cable-Main-146949</t>
  </si>
  <si>
    <t>Conduit-Main-151396</t>
  </si>
  <si>
    <t>Cable-Main-147054</t>
  </si>
  <si>
    <t>Conduit-Main-147891</t>
  </si>
  <si>
    <t>Cable-Main-147398</t>
  </si>
  <si>
    <t>Conduit-Main-150443</t>
  </si>
  <si>
    <t>Cable-Main-149439</t>
  </si>
  <si>
    <t>Conduit-Main-150837</t>
  </si>
  <si>
    <t>Cable-Main-147023</t>
  </si>
  <si>
    <t>Conduit-Main-150606</t>
  </si>
  <si>
    <t>Cable-Main-147261</t>
  </si>
  <si>
    <t>Conduit-Main-148982</t>
  </si>
  <si>
    <t>Cable-Main-149188</t>
  </si>
  <si>
    <t>Conduit-Main-148404</t>
  </si>
  <si>
    <t>Cable-Main-146948</t>
  </si>
  <si>
    <t>Conduit-Main-147819</t>
  </si>
  <si>
    <t>Cable-Main-148130</t>
  </si>
  <si>
    <t>Conduit-Main-151347</t>
  </si>
  <si>
    <t>Cable-Main-150286</t>
  </si>
  <si>
    <t>Conduit-Main-147429</t>
  </si>
  <si>
    <t>Cable-Main-151315</t>
  </si>
  <si>
    <t>Conduit-Main-147473</t>
  </si>
  <si>
    <t>Cable-Main-151309</t>
  </si>
  <si>
    <t>Conduit-Main-149892</t>
  </si>
  <si>
    <t>Cable-Main-149935</t>
  </si>
  <si>
    <t>Conduit-Main-146394</t>
  </si>
  <si>
    <t>Cable-Main-151167</t>
  </si>
  <si>
    <t>Conduit-Main-148441</t>
  </si>
  <si>
    <t>Cable-Main-151401</t>
  </si>
  <si>
    <t>Conduit-Main-146483</t>
  </si>
  <si>
    <t>Cable-Main-149567</t>
  </si>
  <si>
    <t>Conduit-Main-149119</t>
  </si>
  <si>
    <t>Pit Main-Main-49119</t>
  </si>
  <si>
    <t>Pit Main-Main-49120</t>
  </si>
  <si>
    <t>Pit Main-Main-49121</t>
  </si>
  <si>
    <t>Pit Main-Main-49122</t>
  </si>
  <si>
    <t>Pit Main-Main-49123</t>
  </si>
  <si>
    <t>Pit Main-Main-49124</t>
  </si>
  <si>
    <t>Pit Main-Main-49125</t>
  </si>
  <si>
    <t>Pit Main-Main-49126</t>
  </si>
  <si>
    <t>Pit Main-Main-49127</t>
  </si>
  <si>
    <t>Pit Main-Main-49128</t>
  </si>
  <si>
    <t>Pit Main-Main-49129</t>
  </si>
  <si>
    <t>Pit Main-Main-49130</t>
  </si>
  <si>
    <t>Pit Main-Main-49131</t>
  </si>
  <si>
    <t>Test</t>
  </si>
  <si>
    <t>Z123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</si>
</sst>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0.0%"/>
    <numFmt numFmtId="165" formatCode="[$-C09]dd\-mmmm\-yyyy;@"/>
    <numFmt numFmtId="166" formatCode="d/mm/yyyy;@"/>
    <numFmt numFmtId="168" formatCode="&quot;$&quot;#,##0"/>
  </numFmts>
  <fonts count="27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4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b/>
      <sz val="10"/>
      <color theme="4"/>
      <name val="Arial"/>
      <family val="2"/>
    </font>
    <font>
      <sz val="11"/>
      <color theme="4"/>
      <name val="Arial"/>
      <family val="2"/>
    </font>
    <font>
      <b/>
      <sz val="11"/>
      <color theme="4"/>
      <name val="Arial"/>
      <family val="2"/>
    </font>
    <font>
      <b/>
      <sz val="18"/>
      <color theme="4"/>
      <name val="Arial"/>
      <family val="2"/>
    </font>
    <font>
      <sz val="10"/>
      <color theme="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3"/>
      <color theme="0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404040"/>
      <name val="Arial"/>
      <family val="2"/>
    </font>
    <font>
      <sz val="8"/>
      <color theme="1"/>
      <name val="Arial"/>
      <family val="2"/>
    </font>
    <font>
      <sz val="11"/>
      <color rgb="FFFF0000"/>
      <name val="Arial"/>
      <family val="2"/>
    </font>
    <font>
      <b/>
      <sz val="1"/>
      <color theme="8" tint="0.59999389629810485"/>
      <name val="Arial"/>
      <family val="2"/>
    </font>
    <font>
      <b/>
      <sz val="1"/>
      <color theme="2" tint="-9.9978637043366805E-2"/>
      <name val="Arial"/>
      <family val="2"/>
    </font>
    <font>
      <b/>
      <sz val="9"/>
      <color indexed="81"/>
      <name val="Tahoma"/>
      <charset val="1"/>
    </font>
    <font>
      <sz val="11"/>
      <name val="Aptos Narrow"/>
    </font>
    <font>
      <sz val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4659260841701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44" fontId="17" fillId="0" borderId="0" applyFont="0" applyFill="0" applyBorder="0" applyAlignment="0" applyProtection="0"/>
    <xf numFmtId="0" fontId="25" fillId="0" borderId="0"/>
  </cellStyleXfs>
  <cellXfs count="197">
    <xf numFmtId="0" fontId="0" fillId="0" borderId="0" xfId="0"/>
    <xf numFmtId="0" fontId="3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9" fontId="0" fillId="0" borderId="0" xfId="0" applyNumberFormat="1"/>
    <xf numFmtId="0" fontId="3" fillId="0" borderId="0" xfId="0" applyFont="1"/>
    <xf numFmtId="0" fontId="6" fillId="0" borderId="0" xfId="0" applyFont="1"/>
    <xf numFmtId="0" fontId="5" fillId="2" borderId="0" xfId="0" applyFont="1" applyFill="1" applyAlignment="1">
      <alignment horizontal="right" indent="1"/>
    </xf>
    <xf numFmtId="44" fontId="5" fillId="2" borderId="0" xfId="0" applyNumberFormat="1" applyFont="1" applyFill="1"/>
    <xf numFmtId="0" fontId="5" fillId="2" borderId="0" xfId="0" applyFont="1" applyFill="1" applyAlignment="1">
      <alignment horizontal="right"/>
    </xf>
    <xf numFmtId="0" fontId="0" fillId="2" borderId="0" xfId="0" applyFill="1"/>
    <xf numFmtId="44" fontId="0" fillId="0" borderId="0" xfId="1" applyFont="1"/>
    <xf numFmtId="44" fontId="3" fillId="0" borderId="0" xfId="1" applyFont="1" applyAlignment="1"/>
    <xf numFmtId="44" fontId="5" fillId="0" borderId="0" xfId="1" applyFont="1"/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3" borderId="0" xfId="0" applyFont="1" applyFill="1" applyAlignment="1">
      <alignment horizontal="right"/>
    </xf>
    <xf numFmtId="44" fontId="4" fillId="3" borderId="0" xfId="2" applyNumberFormat="1" applyFont="1" applyFill="1" applyBorder="1" applyAlignment="1">
      <alignment horizontal="left"/>
    </xf>
    <xf numFmtId="9" fontId="4" fillId="3" borderId="0" xfId="2" applyFont="1" applyFill="1" applyBorder="1" applyAlignment="1">
      <alignment horizontal="left"/>
    </xf>
    <xf numFmtId="44" fontId="4" fillId="3" borderId="0" xfId="1" applyFont="1" applyFill="1" applyBorder="1" applyAlignment="1">
      <alignment horizontal="left"/>
    </xf>
    <xf numFmtId="44" fontId="7" fillId="3" borderId="0" xfId="1" applyFont="1" applyFill="1" applyBorder="1" applyAlignment="1">
      <alignment wrapText="1"/>
    </xf>
    <xf numFmtId="0" fontId="2" fillId="0" borderId="0" xfId="0" applyFont="1"/>
    <xf numFmtId="44" fontId="2" fillId="0" borderId="0" xfId="1" applyFont="1"/>
    <xf numFmtId="0" fontId="2" fillId="0" borderId="0" xfId="0" applyFont="1" applyAlignment="1">
      <alignment horizontal="center"/>
    </xf>
    <xf numFmtId="44" fontId="4" fillId="0" borderId="0" xfId="1" applyFont="1"/>
    <xf numFmtId="0" fontId="3" fillId="3" borderId="0" xfId="0" applyFont="1" applyFill="1"/>
    <xf numFmtId="44" fontId="3" fillId="3" borderId="0" xfId="1" applyFont="1" applyFill="1" applyAlignment="1"/>
    <xf numFmtId="0" fontId="8" fillId="3" borderId="0" xfId="0" applyFont="1" applyFill="1"/>
    <xf numFmtId="44" fontId="9" fillId="3" borderId="0" xfId="0" applyNumberFormat="1" applyFont="1" applyFill="1"/>
    <xf numFmtId="44" fontId="7" fillId="3" borderId="0" xfId="1" applyFont="1" applyFill="1" applyBorder="1"/>
    <xf numFmtId="44" fontId="4" fillId="3" borderId="0" xfId="0" applyNumberFormat="1" applyFont="1" applyFill="1"/>
    <xf numFmtId="7" fontId="4" fillId="3" borderId="0" xfId="1" applyNumberFormat="1" applyFont="1" applyFill="1" applyBorder="1"/>
    <xf numFmtId="7" fontId="2" fillId="0" borderId="0" xfId="1" applyNumberFormat="1" applyFont="1"/>
    <xf numFmtId="0" fontId="10" fillId="3" borderId="0" xfId="0" applyFont="1" applyFill="1" applyAlignment="1">
      <alignment vertical="center"/>
    </xf>
    <xf numFmtId="0" fontId="11" fillId="3" borderId="0" xfId="0" applyFont="1" applyFill="1"/>
    <xf numFmtId="44" fontId="11" fillId="3" borderId="0" xfId="1" applyFont="1" applyFill="1"/>
    <xf numFmtId="44" fontId="7" fillId="3" borderId="0" xfId="1" applyFont="1" applyFill="1"/>
    <xf numFmtId="0" fontId="2" fillId="0" borderId="1" xfId="0" applyFont="1" applyBorder="1" applyAlignment="1">
      <alignment wrapText="1"/>
    </xf>
    <xf numFmtId="44" fontId="2" fillId="0" borderId="1" xfId="1" applyFont="1" applyBorder="1" applyAlignment="1">
      <alignment wrapText="1"/>
    </xf>
    <xf numFmtId="0" fontId="2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2" xfId="0" applyFont="1" applyBorder="1" applyAlignment="1">
      <alignment wrapText="1"/>
    </xf>
    <xf numFmtId="44" fontId="2" fillId="0" borderId="2" xfId="1" applyFont="1" applyBorder="1" applyAlignment="1">
      <alignment wrapText="1"/>
    </xf>
    <xf numFmtId="7" fontId="4" fillId="2" borderId="2" xfId="1" applyNumberFormat="1" applyFont="1" applyFill="1" applyBorder="1"/>
    <xf numFmtId="44" fontId="4" fillId="2" borderId="2" xfId="0" applyNumberFormat="1" applyFont="1" applyFill="1" applyBorder="1"/>
    <xf numFmtId="0" fontId="2" fillId="2" borderId="2" xfId="0" applyFont="1" applyFill="1" applyBorder="1"/>
    <xf numFmtId="7" fontId="2" fillId="2" borderId="2" xfId="1" applyNumberFormat="1" applyFont="1" applyFill="1" applyBorder="1"/>
    <xf numFmtId="0" fontId="2" fillId="2" borderId="2" xfId="0" applyFont="1" applyFill="1" applyBorder="1" applyAlignment="1">
      <alignment horizontal="center"/>
    </xf>
    <xf numFmtId="44" fontId="2" fillId="2" borderId="2" xfId="1" applyFont="1" applyFill="1" applyBorder="1"/>
    <xf numFmtId="44" fontId="4" fillId="2" borderId="2" xfId="1" applyFont="1" applyFill="1" applyBorder="1"/>
    <xf numFmtId="44" fontId="2" fillId="2" borderId="2" xfId="1" applyFont="1" applyFill="1" applyBorder="1" applyAlignment="1">
      <alignment wrapText="1"/>
    </xf>
    <xf numFmtId="0" fontId="0" fillId="3" borderId="0" xfId="0" applyFill="1"/>
    <xf numFmtId="9" fontId="2" fillId="3" borderId="2" xfId="2" applyFont="1" applyFill="1" applyBorder="1" applyAlignment="1">
      <alignment wrapText="1"/>
    </xf>
    <xf numFmtId="44" fontId="2" fillId="4" borderId="2" xfId="1" applyFont="1" applyFill="1" applyBorder="1" applyAlignment="1">
      <alignment wrapText="1"/>
    </xf>
    <xf numFmtId="0" fontId="6" fillId="5" borderId="2" xfId="0" applyFont="1" applyFill="1" applyBorder="1" applyAlignment="1">
      <alignment wrapText="1"/>
    </xf>
    <xf numFmtId="0" fontId="6" fillId="5" borderId="2" xfId="1" applyNumberFormat="1" applyFont="1" applyFill="1" applyBorder="1" applyAlignment="1">
      <alignment wrapText="1"/>
    </xf>
    <xf numFmtId="0" fontId="4" fillId="5" borderId="2" xfId="1" applyNumberFormat="1" applyFont="1" applyFill="1" applyBorder="1" applyAlignment="1">
      <alignment wrapText="1"/>
    </xf>
    <xf numFmtId="0" fontId="4" fillId="5" borderId="2" xfId="0" applyFont="1" applyFill="1" applyBorder="1" applyAlignment="1">
      <alignment wrapText="1"/>
    </xf>
    <xf numFmtId="0" fontId="14" fillId="3" borderId="0" xfId="0" applyFont="1" applyFill="1"/>
    <xf numFmtId="0" fontId="14" fillId="0" borderId="0" xfId="0" applyFont="1" applyAlignment="1">
      <alignment horizontal="left" indent="1"/>
    </xf>
    <xf numFmtId="0" fontId="14" fillId="0" borderId="0" xfId="0" applyFont="1"/>
    <xf numFmtId="0" fontId="11" fillId="5" borderId="0" xfId="0" applyFont="1" applyFill="1"/>
    <xf numFmtId="0" fontId="11" fillId="7" borderId="0" xfId="0" applyFont="1" applyFill="1"/>
    <xf numFmtId="0" fontId="11" fillId="8" borderId="0" xfId="0" applyFont="1" applyFill="1"/>
    <xf numFmtId="0" fontId="11" fillId="9" borderId="0" xfId="0" applyFont="1" applyFill="1"/>
    <xf numFmtId="0" fontId="11" fillId="4" borderId="0" xfId="0" applyFont="1" applyFill="1"/>
    <xf numFmtId="0" fontId="4" fillId="7" borderId="2" xfId="0" applyFont="1" applyFill="1" applyBorder="1" applyAlignment="1">
      <alignment wrapText="1"/>
    </xf>
    <xf numFmtId="0" fontId="4" fillId="4" borderId="2" xfId="0" applyFont="1" applyFill="1" applyBorder="1" applyAlignment="1">
      <alignment wrapText="1"/>
    </xf>
    <xf numFmtId="0" fontId="4" fillId="9" borderId="2" xfId="0" applyFont="1" applyFill="1" applyBorder="1" applyAlignment="1">
      <alignment wrapText="1"/>
    </xf>
    <xf numFmtId="0" fontId="4" fillId="10" borderId="2" xfId="0" applyFont="1" applyFill="1" applyBorder="1" applyAlignment="1">
      <alignment wrapText="1"/>
    </xf>
    <xf numFmtId="0" fontId="4" fillId="8" borderId="2" xfId="0" applyFont="1" applyFill="1" applyBorder="1" applyAlignment="1">
      <alignment wrapText="1"/>
    </xf>
    <xf numFmtId="0" fontId="4" fillId="11" borderId="2" xfId="0" applyFont="1" applyFill="1" applyBorder="1" applyAlignment="1">
      <alignment wrapText="1"/>
    </xf>
    <xf numFmtId="1" fontId="2" fillId="0" borderId="2" xfId="1" applyNumberFormat="1" applyFont="1" applyBorder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wrapText="1"/>
    </xf>
    <xf numFmtId="1" fontId="6" fillId="5" borderId="2" xfId="1" applyNumberFormat="1" applyFont="1" applyFill="1" applyBorder="1" applyAlignment="1">
      <alignment wrapText="1"/>
    </xf>
    <xf numFmtId="1" fontId="2" fillId="2" borderId="2" xfId="1" applyNumberFormat="1" applyFont="1" applyFill="1" applyBorder="1"/>
    <xf numFmtId="1" fontId="2" fillId="0" borderId="0" xfId="0" applyNumberFormat="1" applyFont="1"/>
    <xf numFmtId="0" fontId="2" fillId="0" borderId="2" xfId="0" applyFont="1" applyBorder="1" applyAlignment="1" applyProtection="1">
      <alignment wrapText="1"/>
      <protection locked="0"/>
    </xf>
    <xf numFmtId="44" fontId="2" fillId="0" borderId="2" xfId="1" applyFont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12" borderId="0" xfId="0" applyFill="1"/>
    <xf numFmtId="0" fontId="5" fillId="12" borderId="0" xfId="0" applyFont="1" applyFill="1" applyAlignment="1">
      <alignment horizontal="right"/>
    </xf>
    <xf numFmtId="44" fontId="5" fillId="12" borderId="0" xfId="0" applyNumberFormat="1" applyFont="1" applyFill="1"/>
    <xf numFmtId="0" fontId="2" fillId="0" borderId="0" xfId="1" applyNumberFormat="1" applyFont="1"/>
    <xf numFmtId="0" fontId="3" fillId="3" borderId="0" xfId="0" applyFont="1" applyFill="1" applyAlignment="1">
      <alignment horizontal="left"/>
    </xf>
    <xf numFmtId="0" fontId="2" fillId="2" borderId="2" xfId="0" applyFont="1" applyFill="1" applyBorder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0" fontId="16" fillId="2" borderId="0" xfId="0" applyFont="1" applyFill="1" applyAlignment="1">
      <alignment horizontal="right"/>
    </xf>
    <xf numFmtId="0" fontId="4" fillId="3" borderId="0" xfId="0" applyFont="1" applyFill="1" applyAlignment="1">
      <alignment horizontal="left"/>
    </xf>
    <xf numFmtId="0" fontId="0" fillId="0" borderId="0" xfId="0" quotePrefix="1"/>
    <xf numFmtId="7" fontId="0" fillId="0" borderId="0" xfId="0" applyNumberFormat="1"/>
    <xf numFmtId="14" fontId="0" fillId="0" borderId="0" xfId="0" applyNumberFormat="1"/>
    <xf numFmtId="0" fontId="4" fillId="8" borderId="1" xfId="0" applyFont="1" applyFill="1" applyBorder="1" applyAlignment="1">
      <alignment wrapText="1"/>
    </xf>
    <xf numFmtId="0" fontId="0" fillId="0" borderId="0" xfId="4" applyNumberFormat="1" applyFont="1" applyFill="1" applyBorder="1"/>
    <xf numFmtId="14" fontId="2" fillId="0" borderId="1" xfId="0" applyNumberFormat="1" applyFont="1" applyBorder="1" applyAlignment="1">
      <alignment wrapText="1"/>
    </xf>
    <xf numFmtId="0" fontId="2" fillId="2" borderId="2" xfId="0" applyFont="1" applyFill="1" applyBorder="1" applyAlignment="1">
      <alignment vertical="center" wrapText="1"/>
    </xf>
    <xf numFmtId="9" fontId="2" fillId="2" borderId="2" xfId="0" applyNumberFormat="1" applyFont="1" applyFill="1" applyBorder="1" applyAlignment="1">
      <alignment vertical="center" wrapText="1"/>
    </xf>
    <xf numFmtId="7" fontId="2" fillId="2" borderId="2" xfId="1" applyNumberFormat="1" applyFont="1" applyFill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7" fontId="4" fillId="2" borderId="2" xfId="1" applyNumberFormat="1" applyFont="1" applyFill="1" applyBorder="1" applyAlignment="1">
      <alignment vertical="center" wrapText="1"/>
    </xf>
    <xf numFmtId="44" fontId="2" fillId="2" borderId="2" xfId="1" applyFont="1" applyFill="1" applyBorder="1" applyAlignment="1">
      <alignment vertical="center" wrapText="1"/>
    </xf>
    <xf numFmtId="1" fontId="2" fillId="2" borderId="2" xfId="1" applyNumberFormat="1" applyFont="1" applyFill="1" applyBorder="1" applyAlignment="1">
      <alignment vertical="center" wrapText="1"/>
    </xf>
    <xf numFmtId="10" fontId="2" fillId="2" borderId="2" xfId="0" applyNumberFormat="1" applyFont="1" applyFill="1" applyBorder="1" applyAlignment="1">
      <alignment vertical="center" wrapText="1"/>
    </xf>
    <xf numFmtId="8" fontId="2" fillId="2" borderId="2" xfId="0" applyNumberFormat="1" applyFont="1" applyFill="1" applyBorder="1" applyAlignment="1">
      <alignment horizontal="center" vertical="center" wrapText="1"/>
    </xf>
    <xf numFmtId="8" fontId="2" fillId="2" borderId="2" xfId="1" applyNumberFormat="1" applyFont="1" applyFill="1" applyBorder="1" applyAlignment="1">
      <alignment vertical="center" wrapText="1"/>
    </xf>
    <xf numFmtId="8" fontId="4" fillId="2" borderId="2" xfId="1" applyNumberFormat="1" applyFont="1" applyFill="1" applyBorder="1" applyAlignment="1">
      <alignment vertical="center" wrapText="1"/>
    </xf>
    <xf numFmtId="44" fontId="4" fillId="2" borderId="2" xfId="1" applyFont="1" applyFill="1" applyBorder="1" applyAlignment="1">
      <alignment vertical="center" wrapText="1"/>
    </xf>
    <xf numFmtId="0" fontId="4" fillId="9" borderId="1" xfId="0" applyFont="1" applyFill="1" applyBorder="1" applyAlignment="1">
      <alignment wrapText="1"/>
    </xf>
    <xf numFmtId="0" fontId="4" fillId="5" borderId="1" xfId="0" applyFont="1" applyFill="1" applyBorder="1" applyAlignment="1">
      <alignment wrapText="1"/>
    </xf>
    <xf numFmtId="2" fontId="0" fillId="0" borderId="0" xfId="0" applyNumberFormat="1"/>
    <xf numFmtId="166" fontId="2" fillId="0" borderId="2" xfId="0" applyNumberFormat="1" applyFont="1" applyBorder="1" applyAlignment="1">
      <alignment wrapText="1"/>
    </xf>
    <xf numFmtId="166" fontId="0" fillId="0" borderId="0" xfId="0" applyNumberFormat="1"/>
    <xf numFmtId="166" fontId="11" fillId="3" borderId="0" xfId="0" applyNumberFormat="1" applyFont="1" applyFill="1"/>
    <xf numFmtId="166" fontId="0" fillId="2" borderId="0" xfId="0" applyNumberFormat="1" applyFill="1"/>
    <xf numFmtId="166" fontId="4" fillId="11" borderId="2" xfId="0" applyNumberFormat="1" applyFont="1" applyFill="1" applyBorder="1" applyAlignment="1">
      <alignment wrapText="1"/>
    </xf>
    <xf numFmtId="166" fontId="4" fillId="5" borderId="1" xfId="0" applyNumberFormat="1" applyFont="1" applyFill="1" applyBorder="1" applyAlignment="1">
      <alignment wrapText="1"/>
    </xf>
    <xf numFmtId="166" fontId="2" fillId="0" borderId="1" xfId="0" applyNumberFormat="1" applyFont="1" applyBorder="1" applyAlignment="1">
      <alignment wrapText="1"/>
    </xf>
    <xf numFmtId="14" fontId="11" fillId="3" borderId="0" xfId="0" applyNumberFormat="1" applyFont="1" applyFill="1"/>
    <xf numFmtId="14" fontId="11" fillId="7" borderId="0" xfId="0" applyNumberFormat="1" applyFont="1" applyFill="1"/>
    <xf numFmtId="14" fontId="11" fillId="5" borderId="0" xfId="0" applyNumberFormat="1" applyFont="1" applyFill="1"/>
    <xf numFmtId="14" fontId="11" fillId="8" borderId="0" xfId="0" applyNumberFormat="1" applyFont="1" applyFill="1"/>
    <xf numFmtId="14" fontId="11" fillId="9" borderId="0" xfId="0" applyNumberFormat="1" applyFont="1" applyFill="1"/>
    <xf numFmtId="14" fontId="5" fillId="2" borderId="0" xfId="0" applyNumberFormat="1" applyFont="1" applyFill="1" applyAlignment="1">
      <alignment horizontal="right"/>
    </xf>
    <xf numFmtId="14" fontId="4" fillId="8" borderId="1" xfId="0" applyNumberFormat="1" applyFont="1" applyFill="1" applyBorder="1" applyAlignment="1">
      <alignment wrapText="1"/>
    </xf>
    <xf numFmtId="0" fontId="2" fillId="13" borderId="2" xfId="0" applyFont="1" applyFill="1" applyBorder="1" applyAlignment="1" applyProtection="1">
      <alignment wrapText="1"/>
      <protection locked="0"/>
    </xf>
    <xf numFmtId="44" fontId="2" fillId="13" borderId="2" xfId="1" applyFont="1" applyFill="1" applyBorder="1" applyAlignment="1" applyProtection="1">
      <alignment wrapText="1"/>
      <protection locked="0"/>
    </xf>
    <xf numFmtId="0" fontId="0" fillId="7" borderId="0" xfId="0" applyFill="1"/>
    <xf numFmtId="0" fontId="18" fillId="0" borderId="21" xfId="0" applyFont="1" applyBorder="1" applyAlignment="1">
      <alignment vertical="center"/>
    </xf>
    <xf numFmtId="0" fontId="18" fillId="0" borderId="22" xfId="0" applyFont="1" applyBorder="1" applyAlignment="1">
      <alignment vertical="center"/>
    </xf>
    <xf numFmtId="0" fontId="18" fillId="0" borderId="23" xfId="0" applyFont="1" applyBorder="1" applyAlignment="1">
      <alignment vertical="center"/>
    </xf>
    <xf numFmtId="0" fontId="18" fillId="0" borderId="24" xfId="0" applyFont="1" applyBorder="1" applyAlignment="1">
      <alignment vertical="center"/>
    </xf>
    <xf numFmtId="0" fontId="18" fillId="0" borderId="24" xfId="0" applyFont="1" applyBorder="1" applyAlignment="1">
      <alignment vertical="center" wrapText="1"/>
    </xf>
    <xf numFmtId="0" fontId="19" fillId="0" borderId="24" xfId="0" applyFont="1" applyBorder="1" applyAlignment="1">
      <alignment vertical="center" wrapText="1"/>
    </xf>
    <xf numFmtId="0" fontId="18" fillId="0" borderId="0" xfId="0" applyFont="1" applyAlignment="1">
      <alignment vertical="center"/>
    </xf>
    <xf numFmtId="0" fontId="19" fillId="0" borderId="22" xfId="0" applyFont="1" applyBorder="1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wrapText="1"/>
    </xf>
    <xf numFmtId="0" fontId="21" fillId="0" borderId="0" xfId="0" applyFont="1"/>
    <xf numFmtId="0" fontId="22" fillId="5" borderId="2" xfId="1" applyNumberFormat="1" applyFont="1" applyFill="1" applyBorder="1" applyAlignment="1">
      <alignment wrapText="1"/>
    </xf>
    <xf numFmtId="7" fontId="23" fillId="2" borderId="2" xfId="1" applyNumberFormat="1" applyFont="1" applyFill="1" applyBorder="1"/>
    <xf numFmtId="0" fontId="0" fillId="15" borderId="25" xfId="0" applyFill="1" applyBorder="1"/>
    <xf numFmtId="0" fontId="0" fillId="15" borderId="26" xfId="0" applyFill="1" applyBorder="1"/>
    <xf numFmtId="0" fontId="0" fillId="0" borderId="25" xfId="0" applyBorder="1"/>
    <xf numFmtId="0" fontId="0" fillId="0" borderId="26" xfId="0" applyBorder="1"/>
    <xf numFmtId="0" fontId="2" fillId="14" borderId="2" xfId="0" applyFont="1" applyFill="1" applyBorder="1" applyAlignment="1">
      <alignment wrapText="1"/>
    </xf>
    <xf numFmtId="0" fontId="2" fillId="16" borderId="0" xfId="0" applyFont="1" applyFill="1" applyAlignment="1">
      <alignment wrapText="1"/>
    </xf>
    <xf numFmtId="0" fontId="2" fillId="17" borderId="0" xfId="0" applyFont="1" applyFill="1" applyAlignment="1">
      <alignment wrapText="1"/>
    </xf>
    <xf numFmtId="0" fontId="2" fillId="17" borderId="2" xfId="0" applyFont="1" applyFill="1" applyBorder="1" applyAlignment="1">
      <alignment wrapText="1"/>
    </xf>
    <xf numFmtId="0" fontId="2" fillId="14" borderId="0" xfId="0" applyFont="1" applyFill="1" applyAlignment="1">
      <alignment wrapText="1"/>
    </xf>
    <xf numFmtId="0" fontId="2" fillId="18" borderId="0" xfId="0" applyFont="1" applyFill="1" applyAlignment="1">
      <alignment wrapText="1"/>
    </xf>
    <xf numFmtId="0" fontId="2" fillId="18" borderId="2" xfId="0" applyFont="1" applyFill="1" applyBorder="1" applyAlignment="1">
      <alignment wrapText="1"/>
    </xf>
    <xf numFmtId="0" fontId="5" fillId="0" borderId="6" xfId="0" applyFont="1" applyBorder="1"/>
    <xf numFmtId="0" fontId="2" fillId="19" borderId="2" xfId="0" applyFont="1" applyFill="1" applyBorder="1" applyAlignment="1">
      <alignment wrapText="1"/>
    </xf>
    <xf numFmtId="168" fontId="0" fillId="0" borderId="0" xfId="0" applyNumberFormat="1"/>
    <xf numFmtId="168" fontId="0" fillId="19" borderId="0" xfId="0" applyNumberFormat="1" applyFill="1"/>
    <xf numFmtId="0" fontId="4" fillId="7" borderId="2" xfId="0" applyFont="1" applyFill="1" applyBorder="1" applyAlignment="1">
      <alignment horizontal="right" indent="1"/>
    </xf>
    <xf numFmtId="165" fontId="2" fillId="0" borderId="2" xfId="0" applyNumberFormat="1" applyFont="1" applyBorder="1"/>
    <xf numFmtId="7" fontId="2" fillId="0" borderId="2" xfId="1" applyNumberFormat="1" applyFont="1" applyBorder="1" applyAlignment="1">
      <alignment horizontal="right" indent="1"/>
    </xf>
    <xf numFmtId="0" fontId="3" fillId="3" borderId="0" xfId="0" applyFont="1" applyFill="1" applyAlignment="1">
      <alignment horizontal="left"/>
    </xf>
    <xf numFmtId="0" fontId="2" fillId="0" borderId="2" xfId="0" applyFont="1" applyBorder="1" applyAlignment="1">
      <alignment horizontal="left"/>
    </xf>
    <xf numFmtId="7" fontId="2" fillId="6" borderId="14" xfId="1" applyNumberFormat="1" applyFont="1" applyFill="1" applyBorder="1" applyAlignment="1">
      <alignment horizontal="right" indent="1"/>
    </xf>
    <xf numFmtId="7" fontId="2" fillId="6" borderId="2" xfId="1" applyNumberFormat="1" applyFont="1" applyFill="1" applyBorder="1" applyAlignment="1">
      <alignment horizontal="right" indent="1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10" fontId="2" fillId="4" borderId="18" xfId="2" applyNumberFormat="1" applyFont="1" applyFill="1" applyBorder="1" applyAlignment="1">
      <alignment horizontal="right"/>
    </xf>
    <xf numFmtId="10" fontId="2" fillId="4" borderId="19" xfId="2" applyNumberFormat="1" applyFont="1" applyFill="1" applyBorder="1" applyAlignment="1">
      <alignment horizontal="right"/>
    </xf>
    <xf numFmtId="10" fontId="2" fillId="4" borderId="20" xfId="2" applyNumberFormat="1" applyFont="1" applyFill="1" applyBorder="1" applyAlignment="1">
      <alignment horizontal="right"/>
    </xf>
    <xf numFmtId="0" fontId="4" fillId="7" borderId="2" xfId="0" applyFont="1" applyFill="1" applyBorder="1" applyAlignment="1">
      <alignment horizontal="right" wrapText="1"/>
    </xf>
    <xf numFmtId="7" fontId="2" fillId="0" borderId="2" xfId="1" applyNumberFormat="1" applyFont="1" applyBorder="1" applyAlignment="1">
      <alignment horizontal="right" wrapText="1"/>
    </xf>
    <xf numFmtId="0" fontId="4" fillId="7" borderId="11" xfId="0" applyFont="1" applyFill="1" applyBorder="1" applyAlignment="1">
      <alignment horizontal="right" indent="1"/>
    </xf>
    <xf numFmtId="0" fontId="4" fillId="0" borderId="0" xfId="0" applyFont="1" applyAlignment="1">
      <alignment horizontal="right" indent="1"/>
    </xf>
    <xf numFmtId="0" fontId="2" fillId="0" borderId="2" xfId="0" applyFont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6" fillId="5" borderId="2" xfId="0" applyFont="1" applyFill="1" applyBorder="1" applyAlignment="1">
      <alignment horizontal="right"/>
    </xf>
    <xf numFmtId="7" fontId="4" fillId="2" borderId="2" xfId="1" applyNumberFormat="1" applyFont="1" applyFill="1" applyBorder="1" applyAlignment="1">
      <alignment horizontal="right" indent="1"/>
    </xf>
    <xf numFmtId="7" fontId="22" fillId="5" borderId="2" xfId="1" applyNumberFormat="1" applyFont="1" applyFill="1" applyBorder="1" applyAlignment="1">
      <alignment horizontal="right" indent="1"/>
    </xf>
    <xf numFmtId="164" fontId="22" fillId="5" borderId="2" xfId="2" applyNumberFormat="1" applyFont="1" applyFill="1" applyBorder="1" applyAlignment="1">
      <alignment horizontal="right"/>
    </xf>
    <xf numFmtId="7" fontId="22" fillId="5" borderId="11" xfId="1" applyNumberFormat="1" applyFont="1" applyFill="1" applyBorder="1" applyAlignment="1">
      <alignment horizontal="right" indent="1"/>
    </xf>
    <xf numFmtId="7" fontId="22" fillId="5" borderId="13" xfId="1" applyNumberFormat="1" applyFont="1" applyFill="1" applyBorder="1" applyAlignment="1">
      <alignment horizontal="right" indent="1"/>
    </xf>
    <xf numFmtId="0" fontId="22" fillId="5" borderId="2" xfId="0" applyFont="1" applyFill="1" applyBorder="1" applyAlignment="1">
      <alignment horizontal="right"/>
    </xf>
    <xf numFmtId="0" fontId="6" fillId="5" borderId="11" xfId="0" applyFont="1" applyFill="1" applyBorder="1" applyAlignment="1">
      <alignment horizontal="right"/>
    </xf>
    <xf numFmtId="0" fontId="6" fillId="5" borderId="12" xfId="0" applyFont="1" applyFill="1" applyBorder="1" applyAlignment="1">
      <alignment horizontal="right"/>
    </xf>
    <xf numFmtId="0" fontId="6" fillId="5" borderId="13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7" fontId="22" fillId="5" borderId="2" xfId="1" applyNumberFormat="1" applyFont="1" applyFill="1" applyBorder="1" applyAlignment="1"/>
  </cellXfs>
  <cellStyles count="6">
    <cellStyle name="Currency" xfId="1" builtinId="4"/>
    <cellStyle name="Currency 10" xfId="4" xr:uid="{69E07508-B85D-4E4D-9A61-0F314EB8041D}"/>
    <cellStyle name="Normal" xfId="0" builtinId="0"/>
    <cellStyle name="Normal 10 2 2 2 7" xfId="3" xr:uid="{F2A40B5C-349D-4840-8A3F-DE49DD1C4152}"/>
    <cellStyle name="Normal 2" xfId="5" xr:uid="{EA02A2B4-F681-41AF-9602-0F9C04F585DE}"/>
    <cellStyle name="Percent" xfId="2" builtinId="5"/>
  </cellStyles>
  <dxfs count="8"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8DA8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2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25</xdr:row>
          <xdr:rowOff>19050</xdr:rowOff>
        </xdr:from>
        <xdr:to>
          <xdr:col>5</xdr:col>
          <xdr:colOff>95250</xdr:colOff>
          <xdr:row>26</xdr:row>
          <xdr:rowOff>123825</xdr:rowOff>
        </xdr:to>
        <xdr:sp macro="" textlink="">
          <xdr:nvSpPr>
            <xdr:cNvPr id="1028" name="cbNew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25</xdr:row>
          <xdr:rowOff>19050</xdr:rowOff>
        </xdr:from>
        <xdr:to>
          <xdr:col>8</xdr:col>
          <xdr:colOff>447675</xdr:colOff>
          <xdr:row>26</xdr:row>
          <xdr:rowOff>133350</xdr:rowOff>
        </xdr:to>
        <xdr:sp macro="" textlink="">
          <xdr:nvSpPr>
            <xdr:cNvPr id="1030" name="cbRenew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7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24</xdr:row>
          <xdr:rowOff>171450</xdr:rowOff>
        </xdr:from>
        <xdr:to>
          <xdr:col>13</xdr:col>
          <xdr:colOff>666750</xdr:colOff>
          <xdr:row>26</xdr:row>
          <xdr:rowOff>123825</xdr:rowOff>
        </xdr:to>
        <xdr:sp macro="" textlink="">
          <xdr:nvSpPr>
            <xdr:cNvPr id="1031" name="cbDispos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17931</xdr:colOff>
      <xdr:row>4</xdr:row>
      <xdr:rowOff>17929</xdr:rowOff>
    </xdr:from>
    <xdr:to>
      <xdr:col>3</xdr:col>
      <xdr:colOff>747</xdr:colOff>
      <xdr:row>5</xdr:row>
      <xdr:rowOff>134470</xdr:rowOff>
    </xdr:to>
    <xdr:sp macro="[0]!View_Summary" textlink="">
      <xdr:nvSpPr>
        <xdr:cNvPr id="10" name="btn_Summary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286872" y="847164"/>
          <a:ext cx="1326775" cy="295835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5</xdr:col>
      <xdr:colOff>298264</xdr:colOff>
      <xdr:row>4</xdr:row>
      <xdr:rowOff>17929</xdr:rowOff>
    </xdr:from>
    <xdr:to>
      <xdr:col>7</xdr:col>
      <xdr:colOff>206749</xdr:colOff>
      <xdr:row>5</xdr:row>
      <xdr:rowOff>134470</xdr:rowOff>
    </xdr:to>
    <xdr:sp macro="[0]!View_AsCons" textlink="">
      <xdr:nvSpPr>
        <xdr:cNvPr id="12" name="btn_AsCons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168464" y="713254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7</xdr:col>
      <xdr:colOff>236256</xdr:colOff>
      <xdr:row>4</xdr:row>
      <xdr:rowOff>17930</xdr:rowOff>
    </xdr:from>
    <xdr:to>
      <xdr:col>10</xdr:col>
      <xdr:colOff>414</xdr:colOff>
      <xdr:row>5</xdr:row>
      <xdr:rowOff>134471</xdr:rowOff>
    </xdr:to>
    <xdr:sp macro="[0]!View_Project_WideCosts" textlink="">
      <xdr:nvSpPr>
        <xdr:cNvPr id="13" name="btn_ProjectWide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4490756" y="713255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 Wide &amp; Write-off Costs</a:t>
          </a:r>
        </a:p>
      </xdr:txBody>
    </xdr:sp>
    <xdr:clientData/>
  </xdr:twoCellAnchor>
  <xdr:twoCellAnchor editAs="absolute">
    <xdr:from>
      <xdr:col>15</xdr:col>
      <xdr:colOff>628584</xdr:colOff>
      <xdr:row>4</xdr:row>
      <xdr:rowOff>19878</xdr:rowOff>
    </xdr:from>
    <xdr:to>
      <xdr:col>18</xdr:col>
      <xdr:colOff>340543</xdr:colOff>
      <xdr:row>5</xdr:row>
      <xdr:rowOff>135842</xdr:rowOff>
    </xdr:to>
    <xdr:sp macro="[0]!View_HandoverCost" textlink="">
      <xdr:nvSpPr>
        <xdr:cNvPr id="14" name="btn_CostReport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0363134" y="715203"/>
          <a:ext cx="1769359" cy="29693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12</xdr:col>
      <xdr:colOff>2502</xdr:colOff>
      <xdr:row>4</xdr:row>
      <xdr:rowOff>28762</xdr:rowOff>
    </xdr:from>
    <xdr:to>
      <xdr:col>13</xdr:col>
      <xdr:colOff>618427</xdr:colOff>
      <xdr:row>5</xdr:row>
      <xdr:rowOff>145303</xdr:rowOff>
    </xdr:to>
    <xdr:sp macro="[0]!View_RenewedAssets" textlink="">
      <xdr:nvSpPr>
        <xdr:cNvPr id="16" name="btn_Renew" hidden="1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7663777" y="717737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14</xdr:col>
      <xdr:colOff>1969</xdr:colOff>
      <xdr:row>4</xdr:row>
      <xdr:rowOff>29146</xdr:rowOff>
    </xdr:from>
    <xdr:to>
      <xdr:col>15</xdr:col>
      <xdr:colOff>598844</xdr:colOff>
      <xdr:row>5</xdr:row>
      <xdr:rowOff>145687</xdr:rowOff>
    </xdr:to>
    <xdr:sp macro="[0]!View_disposedAssets" textlink="">
      <xdr:nvSpPr>
        <xdr:cNvPr id="17" name="btn_Dispose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015794" y="718121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10</xdr:col>
      <xdr:colOff>8696</xdr:colOff>
      <xdr:row>4</xdr:row>
      <xdr:rowOff>28761</xdr:rowOff>
    </xdr:from>
    <xdr:to>
      <xdr:col>11</xdr:col>
      <xdr:colOff>640497</xdr:colOff>
      <xdr:row>5</xdr:row>
      <xdr:rowOff>145302</xdr:rowOff>
    </xdr:to>
    <xdr:sp macro="[0]!View_NewAssets" textlink="">
      <xdr:nvSpPr>
        <xdr:cNvPr id="15" name="btn_New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6314246" y="717736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17</xdr:col>
      <xdr:colOff>278765</xdr:colOff>
      <xdr:row>1</xdr:row>
      <xdr:rowOff>0</xdr:rowOff>
    </xdr:from>
    <xdr:to>
      <xdr:col>18</xdr:col>
      <xdr:colOff>278765</xdr:colOff>
      <xdr:row>3</xdr:row>
      <xdr:rowOff>153658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8565" y="38100"/>
          <a:ext cx="685800" cy="629908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4</xdr:row>
      <xdr:rowOff>19050</xdr:rowOff>
    </xdr:from>
    <xdr:to>
      <xdr:col>5</xdr:col>
      <xdr:colOff>276225</xdr:colOff>
      <xdr:row>5</xdr:row>
      <xdr:rowOff>142874</xdr:rowOff>
    </xdr:to>
    <xdr:sp macro="[0]!View_Transactions" textlink="">
      <xdr:nvSpPr>
        <xdr:cNvPr id="21" name="btn_Transaction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504950" y="714375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712694</xdr:colOff>
      <xdr:row>0</xdr:row>
      <xdr:rowOff>0</xdr:rowOff>
    </xdr:from>
    <xdr:to>
      <xdr:col>9</xdr:col>
      <xdr:colOff>1398494</xdr:colOff>
      <xdr:row>3</xdr:row>
      <xdr:rowOff>120040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5932" y="0"/>
          <a:ext cx="685800" cy="624305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4</xdr:row>
      <xdr:rowOff>0</xdr:rowOff>
    </xdr:from>
    <xdr:to>
      <xdr:col>1</xdr:col>
      <xdr:colOff>1329016</xdr:colOff>
      <xdr:row>5</xdr:row>
      <xdr:rowOff>118222</xdr:rowOff>
    </xdr:to>
    <xdr:sp macro="[0]!View_Summary" textlink="">
      <xdr:nvSpPr>
        <xdr:cNvPr id="11" name="btn_Summary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134471" y="683559"/>
          <a:ext cx="1329016" cy="297516"/>
        </a:xfrm>
        <a:prstGeom prst="rect">
          <a:avLst/>
        </a:prstGeom>
        <a:solidFill>
          <a:schemeClr val="accent1"/>
        </a:solidFill>
        <a:ln>
          <a:noFill/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3</xdr:col>
      <xdr:colOff>395007</xdr:colOff>
      <xdr:row>4</xdr:row>
      <xdr:rowOff>0</xdr:rowOff>
    </xdr:from>
    <xdr:to>
      <xdr:col>4</xdr:col>
      <xdr:colOff>672913</xdr:colOff>
      <xdr:row>5</xdr:row>
      <xdr:rowOff>118222</xdr:rowOff>
    </xdr:to>
    <xdr:sp macro="[0]!View_AsCons" textlink="">
      <xdr:nvSpPr>
        <xdr:cNvPr id="12" name="btn_AsCons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3151654" y="683559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4</xdr:col>
      <xdr:colOff>708770</xdr:colOff>
      <xdr:row>4</xdr:row>
      <xdr:rowOff>1</xdr:rowOff>
    </xdr:from>
    <xdr:to>
      <xdr:col>6</xdr:col>
      <xdr:colOff>4895</xdr:colOff>
      <xdr:row>5</xdr:row>
      <xdr:rowOff>118223</xdr:rowOff>
    </xdr:to>
    <xdr:sp macro="[0]!View_Project_WideCosts" textlink="">
      <xdr:nvSpPr>
        <xdr:cNvPr id="13" name="btn_ProjectWide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4473946" y="683560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 Wide &amp; Write-off Costs</a:t>
          </a:r>
        </a:p>
      </xdr:txBody>
    </xdr:sp>
    <xdr:clientData/>
  </xdr:twoCellAnchor>
  <xdr:twoCellAnchor editAs="absolute">
    <xdr:from>
      <xdr:col>8</xdr:col>
      <xdr:colOff>881837</xdr:colOff>
      <xdr:row>4</xdr:row>
      <xdr:rowOff>1949</xdr:rowOff>
    </xdr:from>
    <xdr:to>
      <xdr:col>9</xdr:col>
      <xdr:colOff>1332381</xdr:colOff>
      <xdr:row>5</xdr:row>
      <xdr:rowOff>123265</xdr:rowOff>
    </xdr:to>
    <xdr:sp macro="[0]!View_HandoverCost" textlink="">
      <xdr:nvSpPr>
        <xdr:cNvPr id="14" name="btn_CostReport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10346325" y="685508"/>
          <a:ext cx="1879294" cy="300610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6</xdr:col>
      <xdr:colOff>1380638</xdr:colOff>
      <xdr:row>4</xdr:row>
      <xdr:rowOff>4483</xdr:rowOff>
    </xdr:from>
    <xdr:to>
      <xdr:col>7</xdr:col>
      <xdr:colOff>1229707</xdr:colOff>
      <xdr:row>5</xdr:row>
      <xdr:rowOff>122705</xdr:rowOff>
    </xdr:to>
    <xdr:sp macro="[0]!View_RenewedAssets" textlink="">
      <xdr:nvSpPr>
        <xdr:cNvPr id="15" name="btn_Renew" hidden="1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7646967" y="688042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7</xdr:col>
      <xdr:colOff>1264124</xdr:colOff>
      <xdr:row>4</xdr:row>
      <xdr:rowOff>4867</xdr:rowOff>
    </xdr:from>
    <xdr:to>
      <xdr:col>8</xdr:col>
      <xdr:colOff>852096</xdr:colOff>
      <xdr:row>5</xdr:row>
      <xdr:rowOff>123089</xdr:rowOff>
    </xdr:to>
    <xdr:sp macro="[0]!View_disposedAssets" textlink="">
      <xdr:nvSpPr>
        <xdr:cNvPr id="16" name="btn_Dispose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8998984" y="688426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6</xdr:col>
      <xdr:colOff>32227</xdr:colOff>
      <xdr:row>4</xdr:row>
      <xdr:rowOff>4482</xdr:rowOff>
    </xdr:from>
    <xdr:to>
      <xdr:col>6</xdr:col>
      <xdr:colOff>1348708</xdr:colOff>
      <xdr:row>5</xdr:row>
      <xdr:rowOff>122704</xdr:rowOff>
    </xdr:to>
    <xdr:sp macro="[0]!View_NewAssets" textlink="">
      <xdr:nvSpPr>
        <xdr:cNvPr id="17" name="btn_New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6297436" y="688041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1</xdr:col>
      <xdr:colOff>1353669</xdr:colOff>
      <xdr:row>4</xdr:row>
      <xdr:rowOff>1121</xdr:rowOff>
    </xdr:from>
    <xdr:to>
      <xdr:col>3</xdr:col>
      <xdr:colOff>379318</xdr:colOff>
      <xdr:row>5</xdr:row>
      <xdr:rowOff>126626</xdr:rowOff>
    </xdr:to>
    <xdr:sp macro="[0]!View_Transactions" textlink="">
      <xdr:nvSpPr>
        <xdr:cNvPr id="18" name="btn_Transactions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1488140" y="684680"/>
          <a:ext cx="1647825" cy="304799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337185</xdr:colOff>
      <xdr:row>0</xdr:row>
      <xdr:rowOff>5715</xdr:rowOff>
    </xdr:from>
    <xdr:to>
      <xdr:col>18</xdr:col>
      <xdr:colOff>344805</xdr:colOff>
      <xdr:row>3</xdr:row>
      <xdr:rowOff>132111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3335" y="5715"/>
          <a:ext cx="693420" cy="64074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4</xdr:row>
      <xdr:rowOff>0</xdr:rowOff>
    </xdr:from>
    <xdr:to>
      <xdr:col>2</xdr:col>
      <xdr:colOff>643216</xdr:colOff>
      <xdr:row>5</xdr:row>
      <xdr:rowOff>116541</xdr:rowOff>
    </xdr:to>
    <xdr:sp macro="[0]!View_Summary" textlink="">
      <xdr:nvSpPr>
        <xdr:cNvPr id="11" name="btn_Summary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133350" y="695325"/>
          <a:ext cx="1329016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5</xdr:col>
      <xdr:colOff>273983</xdr:colOff>
      <xdr:row>4</xdr:row>
      <xdr:rowOff>0</xdr:rowOff>
    </xdr:from>
    <xdr:to>
      <xdr:col>7</xdr:col>
      <xdr:colOff>188818</xdr:colOff>
      <xdr:row>5</xdr:row>
      <xdr:rowOff>116541</xdr:rowOff>
    </xdr:to>
    <xdr:sp macro="[0]!View_AsCons" textlink="">
      <xdr:nvSpPr>
        <xdr:cNvPr id="12" name="btn_AsCons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3150533" y="695325"/>
          <a:ext cx="1286435" cy="29751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7</xdr:col>
      <xdr:colOff>224675</xdr:colOff>
      <xdr:row>4</xdr:row>
      <xdr:rowOff>1</xdr:rowOff>
    </xdr:from>
    <xdr:to>
      <xdr:col>9</xdr:col>
      <xdr:colOff>649233</xdr:colOff>
      <xdr:row>5</xdr:row>
      <xdr:rowOff>116542</xdr:rowOff>
    </xdr:to>
    <xdr:sp macro="[0]!View_Project_WideCosts" textlink="">
      <xdr:nvSpPr>
        <xdr:cNvPr id="13" name="btn_ProjectWide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472825" y="695326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</a:t>
          </a:r>
          <a:r>
            <a:rPr lang="en-AU" sz="1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Wide &amp; Write-off Costs</a:t>
          </a:r>
          <a:endParaRPr lang="en-AU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15</xdr:col>
      <xdr:colOff>610653</xdr:colOff>
      <xdr:row>4</xdr:row>
      <xdr:rowOff>1949</xdr:rowOff>
    </xdr:from>
    <xdr:to>
      <xdr:col>18</xdr:col>
      <xdr:colOff>322612</xdr:colOff>
      <xdr:row>5</xdr:row>
      <xdr:rowOff>117913</xdr:rowOff>
    </xdr:to>
    <xdr:sp macro="[0]!View_HandoverCost" textlink="">
      <xdr:nvSpPr>
        <xdr:cNvPr id="14" name="btn_CostReport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10345203" y="697274"/>
          <a:ext cx="1769359" cy="29693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11</xdr:col>
      <xdr:colOff>654496</xdr:colOff>
      <xdr:row>4</xdr:row>
      <xdr:rowOff>4483</xdr:rowOff>
    </xdr:from>
    <xdr:to>
      <xdr:col>13</xdr:col>
      <xdr:colOff>600496</xdr:colOff>
      <xdr:row>5</xdr:row>
      <xdr:rowOff>121024</xdr:rowOff>
    </xdr:to>
    <xdr:sp macro="[0]!View_RenewedAssets" textlink="">
      <xdr:nvSpPr>
        <xdr:cNvPr id="15" name="btn_Renew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7645846" y="699808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13</xdr:col>
      <xdr:colOff>634913</xdr:colOff>
      <xdr:row>4</xdr:row>
      <xdr:rowOff>4867</xdr:rowOff>
    </xdr:from>
    <xdr:to>
      <xdr:col>15</xdr:col>
      <xdr:colOff>580913</xdr:colOff>
      <xdr:row>5</xdr:row>
      <xdr:rowOff>121408</xdr:rowOff>
    </xdr:to>
    <xdr:sp macro="[0]!View_disposedAssets" textlink="">
      <xdr:nvSpPr>
        <xdr:cNvPr id="16" name="btn_Dispose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8997863" y="700192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9</xdr:col>
      <xdr:colOff>676565</xdr:colOff>
      <xdr:row>4</xdr:row>
      <xdr:rowOff>4482</xdr:rowOff>
    </xdr:from>
    <xdr:to>
      <xdr:col>11</xdr:col>
      <xdr:colOff>622566</xdr:colOff>
      <xdr:row>5</xdr:row>
      <xdr:rowOff>121023</xdr:rowOff>
    </xdr:to>
    <xdr:sp macro="[0]!View_NewAssets" textlink="">
      <xdr:nvSpPr>
        <xdr:cNvPr id="26" name="btn_New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6296315" y="699807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2</xdr:col>
      <xdr:colOff>667869</xdr:colOff>
      <xdr:row>4</xdr:row>
      <xdr:rowOff>1121</xdr:rowOff>
    </xdr:from>
    <xdr:to>
      <xdr:col>5</xdr:col>
      <xdr:colOff>258294</xdr:colOff>
      <xdr:row>5</xdr:row>
      <xdr:rowOff>124945</xdr:rowOff>
    </xdr:to>
    <xdr:sp macro="[0]!View_Transactions" textlink="">
      <xdr:nvSpPr>
        <xdr:cNvPr id="27" name="btn_Transactions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1487019" y="696446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333375</xdr:colOff>
      <xdr:row>0</xdr:row>
      <xdr:rowOff>3810</xdr:rowOff>
    </xdr:from>
    <xdr:to>
      <xdr:col>7</xdr:col>
      <xdr:colOff>325755</xdr:colOff>
      <xdr:row>3</xdr:row>
      <xdr:rowOff>126396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1425" y="3810"/>
          <a:ext cx="678180" cy="63693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4</xdr:row>
      <xdr:rowOff>0</xdr:rowOff>
    </xdr:from>
    <xdr:to>
      <xdr:col>1</xdr:col>
      <xdr:colOff>1329016</xdr:colOff>
      <xdr:row>5</xdr:row>
      <xdr:rowOff>116541</xdr:rowOff>
    </xdr:to>
    <xdr:sp macro="[0]!View_Summary" textlink="">
      <xdr:nvSpPr>
        <xdr:cNvPr id="11" name="btn_Summary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133350" y="695325"/>
          <a:ext cx="1329016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2</xdr:col>
      <xdr:colOff>1331258</xdr:colOff>
      <xdr:row>4</xdr:row>
      <xdr:rowOff>0</xdr:rowOff>
    </xdr:from>
    <xdr:to>
      <xdr:col>3</xdr:col>
      <xdr:colOff>950818</xdr:colOff>
      <xdr:row>5</xdr:row>
      <xdr:rowOff>116541</xdr:rowOff>
    </xdr:to>
    <xdr:sp macro="[0]!View_AsCons" textlink="">
      <xdr:nvSpPr>
        <xdr:cNvPr id="12" name="btn_AsCons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3150533" y="695325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3</xdr:col>
      <xdr:colOff>986675</xdr:colOff>
      <xdr:row>4</xdr:row>
      <xdr:rowOff>1</xdr:rowOff>
    </xdr:from>
    <xdr:to>
      <xdr:col>4</xdr:col>
      <xdr:colOff>534933</xdr:colOff>
      <xdr:row>5</xdr:row>
      <xdr:rowOff>116542</xdr:rowOff>
    </xdr:to>
    <xdr:sp macro="[0]!View_Project_WideCosts" textlink="">
      <xdr:nvSpPr>
        <xdr:cNvPr id="13" name="btn_ProjectWide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4472825" y="695326"/>
          <a:ext cx="1796158" cy="29751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Project-Wide</a:t>
          </a:r>
          <a:r>
            <a:rPr lang="en-AU" sz="1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&amp;</a:t>
          </a:r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Write-off Costs</a:t>
          </a:r>
        </a:p>
      </xdr:txBody>
    </xdr:sp>
    <xdr:clientData/>
  </xdr:twoCellAnchor>
  <xdr:twoCellAnchor editAs="absolute">
    <xdr:from>
      <xdr:col>5</xdr:col>
      <xdr:colOff>2887128</xdr:colOff>
      <xdr:row>4</xdr:row>
      <xdr:rowOff>1949</xdr:rowOff>
    </xdr:from>
    <xdr:to>
      <xdr:col>5</xdr:col>
      <xdr:colOff>4656487</xdr:colOff>
      <xdr:row>5</xdr:row>
      <xdr:rowOff>117913</xdr:rowOff>
    </xdr:to>
    <xdr:sp macro="[0]!View_HandoverCost" textlink="">
      <xdr:nvSpPr>
        <xdr:cNvPr id="14" name="btn_CostReport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10345203" y="697274"/>
          <a:ext cx="1769359" cy="29693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5</xdr:col>
      <xdr:colOff>187771</xdr:colOff>
      <xdr:row>4</xdr:row>
      <xdr:rowOff>4483</xdr:rowOff>
    </xdr:from>
    <xdr:to>
      <xdr:col>5</xdr:col>
      <xdr:colOff>1505371</xdr:colOff>
      <xdr:row>5</xdr:row>
      <xdr:rowOff>121024</xdr:rowOff>
    </xdr:to>
    <xdr:sp macro="[0]!View_RenewedAssets" textlink="">
      <xdr:nvSpPr>
        <xdr:cNvPr id="15" name="btn_Renew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7645846" y="699808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5</xdr:col>
      <xdr:colOff>1539788</xdr:colOff>
      <xdr:row>4</xdr:row>
      <xdr:rowOff>4867</xdr:rowOff>
    </xdr:from>
    <xdr:to>
      <xdr:col>5</xdr:col>
      <xdr:colOff>2857388</xdr:colOff>
      <xdr:row>5</xdr:row>
      <xdr:rowOff>121408</xdr:rowOff>
    </xdr:to>
    <xdr:sp macro="[0]!View_disposedAssets" textlink="">
      <xdr:nvSpPr>
        <xdr:cNvPr id="16" name="btn_Dispose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8997863" y="700192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4</xdr:col>
      <xdr:colOff>562265</xdr:colOff>
      <xdr:row>4</xdr:row>
      <xdr:rowOff>4482</xdr:rowOff>
    </xdr:from>
    <xdr:to>
      <xdr:col>5</xdr:col>
      <xdr:colOff>155841</xdr:colOff>
      <xdr:row>5</xdr:row>
      <xdr:rowOff>121023</xdr:rowOff>
    </xdr:to>
    <xdr:sp macro="[0]!View_NewAssets" textlink="">
      <xdr:nvSpPr>
        <xdr:cNvPr id="26" name="btn_New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6296315" y="699807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1</xdr:col>
      <xdr:colOff>1353669</xdr:colOff>
      <xdr:row>4</xdr:row>
      <xdr:rowOff>1121</xdr:rowOff>
    </xdr:from>
    <xdr:to>
      <xdr:col>2</xdr:col>
      <xdr:colOff>1315569</xdr:colOff>
      <xdr:row>5</xdr:row>
      <xdr:rowOff>124945</xdr:rowOff>
    </xdr:to>
    <xdr:sp macro="[0]!View_Transactions" textlink="">
      <xdr:nvSpPr>
        <xdr:cNvPr id="27" name="btn_Transactions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1487019" y="696446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314325</xdr:colOff>
      <xdr:row>0</xdr:row>
      <xdr:rowOff>0</xdr:rowOff>
    </xdr:from>
    <xdr:to>
      <xdr:col>11</xdr:col>
      <xdr:colOff>1000125</xdr:colOff>
      <xdr:row>3</xdr:row>
      <xdr:rowOff>124491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8105" y="0"/>
          <a:ext cx="678180" cy="638841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4</xdr:row>
      <xdr:rowOff>0</xdr:rowOff>
    </xdr:from>
    <xdr:to>
      <xdr:col>2</xdr:col>
      <xdr:colOff>216496</xdr:colOff>
      <xdr:row>5</xdr:row>
      <xdr:rowOff>116541</xdr:rowOff>
    </xdr:to>
    <xdr:sp macro="[0]!View_Summary" textlink="">
      <xdr:nvSpPr>
        <xdr:cNvPr id="31" name="btn_Summary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3350" y="695325"/>
          <a:ext cx="1329016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3</xdr:col>
      <xdr:colOff>399713</xdr:colOff>
      <xdr:row>4</xdr:row>
      <xdr:rowOff>0</xdr:rowOff>
    </xdr:from>
    <xdr:to>
      <xdr:col>4</xdr:col>
      <xdr:colOff>364078</xdr:colOff>
      <xdr:row>5</xdr:row>
      <xdr:rowOff>116541</xdr:rowOff>
    </xdr:to>
    <xdr:sp macro="[0]!View_AsCons" textlink="">
      <xdr:nvSpPr>
        <xdr:cNvPr id="32" name="btn_AsCons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3150533" y="695325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4</xdr:col>
      <xdr:colOff>399935</xdr:colOff>
      <xdr:row>4</xdr:row>
      <xdr:rowOff>1</xdr:rowOff>
    </xdr:from>
    <xdr:to>
      <xdr:col>6</xdr:col>
      <xdr:colOff>3438</xdr:colOff>
      <xdr:row>5</xdr:row>
      <xdr:rowOff>116542</xdr:rowOff>
    </xdr:to>
    <xdr:sp macro="[0]!View_Project_WideCosts" textlink="">
      <xdr:nvSpPr>
        <xdr:cNvPr id="33" name="btn_ProjectWide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4472825" y="695326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 Wide &amp; Write-off Costs</a:t>
          </a:r>
        </a:p>
      </xdr:txBody>
    </xdr:sp>
    <xdr:clientData/>
  </xdr:twoCellAnchor>
  <xdr:twoCellAnchor editAs="absolute">
    <xdr:from>
      <xdr:col>10</xdr:col>
      <xdr:colOff>218223</xdr:colOff>
      <xdr:row>4</xdr:row>
      <xdr:rowOff>1949</xdr:rowOff>
    </xdr:from>
    <xdr:to>
      <xdr:col>11</xdr:col>
      <xdr:colOff>924592</xdr:colOff>
      <xdr:row>5</xdr:row>
      <xdr:rowOff>117913</xdr:rowOff>
    </xdr:to>
    <xdr:sp macro="[0]!View_HandoverCost" textlink="">
      <xdr:nvSpPr>
        <xdr:cNvPr id="34" name="btn_CostReport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0345203" y="697274"/>
          <a:ext cx="1769359" cy="29693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7</xdr:col>
      <xdr:colOff>383986</xdr:colOff>
      <xdr:row>4</xdr:row>
      <xdr:rowOff>10198</xdr:rowOff>
    </xdr:from>
    <xdr:to>
      <xdr:col>8</xdr:col>
      <xdr:colOff>596686</xdr:colOff>
      <xdr:row>5</xdr:row>
      <xdr:rowOff>117214</xdr:rowOff>
    </xdr:to>
    <xdr:sp macro="[0]!View_RenewedAssets" textlink="">
      <xdr:nvSpPr>
        <xdr:cNvPr id="35" name="btn_Renew" hidden="1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7645846" y="699808"/>
          <a:ext cx="1317600" cy="297516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8</xdr:col>
      <xdr:colOff>631103</xdr:colOff>
      <xdr:row>4</xdr:row>
      <xdr:rowOff>2962</xdr:rowOff>
    </xdr:from>
    <xdr:to>
      <xdr:col>10</xdr:col>
      <xdr:colOff>190388</xdr:colOff>
      <xdr:row>5</xdr:row>
      <xdr:rowOff>117598</xdr:rowOff>
    </xdr:to>
    <xdr:sp macro="[0]!View_disposedAssets" textlink="">
      <xdr:nvSpPr>
        <xdr:cNvPr id="36" name="btn_Dispose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8997863" y="700192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6</xdr:col>
      <xdr:colOff>38390</xdr:colOff>
      <xdr:row>4</xdr:row>
      <xdr:rowOff>10197</xdr:rowOff>
    </xdr:from>
    <xdr:to>
      <xdr:col>7</xdr:col>
      <xdr:colOff>353961</xdr:colOff>
      <xdr:row>5</xdr:row>
      <xdr:rowOff>117213</xdr:rowOff>
    </xdr:to>
    <xdr:sp macro="[0]!View_NewAssets" textlink="">
      <xdr:nvSpPr>
        <xdr:cNvPr id="37" name="btn_New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/>
      </xdr:nvSpPr>
      <xdr:spPr>
        <a:xfrm>
          <a:off x="6296315" y="699807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2</xdr:col>
      <xdr:colOff>231624</xdr:colOff>
      <xdr:row>4</xdr:row>
      <xdr:rowOff>1121</xdr:rowOff>
    </xdr:from>
    <xdr:to>
      <xdr:col>3</xdr:col>
      <xdr:colOff>382119</xdr:colOff>
      <xdr:row>5</xdr:row>
      <xdr:rowOff>117325</xdr:rowOff>
    </xdr:to>
    <xdr:sp macro="[0]!View_Transactions" textlink="">
      <xdr:nvSpPr>
        <xdr:cNvPr id="38" name="btn_Transactions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/>
      </xdr:nvSpPr>
      <xdr:spPr>
        <a:xfrm>
          <a:off x="1487019" y="696446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712807</xdr:colOff>
      <xdr:row>0</xdr:row>
      <xdr:rowOff>0</xdr:rowOff>
    </xdr:from>
    <xdr:to>
      <xdr:col>8</xdr:col>
      <xdr:colOff>518497</xdr:colOff>
      <xdr:row>3</xdr:row>
      <xdr:rowOff>130206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8575" y="0"/>
          <a:ext cx="676275" cy="636936"/>
        </a:xfrm>
        <a:prstGeom prst="rect">
          <a:avLst/>
        </a:prstGeom>
      </xdr:spPr>
    </xdr:pic>
    <xdr:clientData/>
  </xdr:twoCellAnchor>
  <xdr:twoCellAnchor editAs="absolute">
    <xdr:from>
      <xdr:col>0</xdr:col>
      <xdr:colOff>129540</xdr:colOff>
      <xdr:row>4</xdr:row>
      <xdr:rowOff>0</xdr:rowOff>
    </xdr:from>
    <xdr:to>
      <xdr:col>1</xdr:col>
      <xdr:colOff>890866</xdr:colOff>
      <xdr:row>5</xdr:row>
      <xdr:rowOff>116541</xdr:rowOff>
    </xdr:to>
    <xdr:sp macro="[0]!View_Summary" textlink="">
      <xdr:nvSpPr>
        <xdr:cNvPr id="18" name="btn_Summary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133350" y="695325"/>
          <a:ext cx="1329016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3</xdr:col>
      <xdr:colOff>494627</xdr:colOff>
      <xdr:row>4</xdr:row>
      <xdr:rowOff>0</xdr:rowOff>
    </xdr:from>
    <xdr:to>
      <xdr:col>3</xdr:col>
      <xdr:colOff>1767278</xdr:colOff>
      <xdr:row>5</xdr:row>
      <xdr:rowOff>116541</xdr:rowOff>
    </xdr:to>
    <xdr:sp macro="[0]!View_AsCons" textlink="">
      <xdr:nvSpPr>
        <xdr:cNvPr id="19" name="btn_AsCons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3150533" y="695325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3</xdr:col>
      <xdr:colOff>1805040</xdr:colOff>
      <xdr:row>4</xdr:row>
      <xdr:rowOff>1</xdr:rowOff>
    </xdr:from>
    <xdr:to>
      <xdr:col>4</xdr:col>
      <xdr:colOff>1264885</xdr:colOff>
      <xdr:row>5</xdr:row>
      <xdr:rowOff>116542</xdr:rowOff>
    </xdr:to>
    <xdr:sp macro="[0]!View_Project_WideCosts" textlink="">
      <xdr:nvSpPr>
        <xdr:cNvPr id="20" name="btn_ProjectWide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4472825" y="695326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 Wide &amp; Write-off Costs</a:t>
          </a:r>
        </a:p>
      </xdr:txBody>
    </xdr:sp>
    <xdr:clientData/>
  </xdr:twoCellAnchor>
  <xdr:twoCellAnchor editAs="absolute">
    <xdr:from>
      <xdr:col>6</xdr:col>
      <xdr:colOff>692904</xdr:colOff>
      <xdr:row>4</xdr:row>
      <xdr:rowOff>1949</xdr:rowOff>
    </xdr:from>
    <xdr:to>
      <xdr:col>8</xdr:col>
      <xdr:colOff>480952</xdr:colOff>
      <xdr:row>5</xdr:row>
      <xdr:rowOff>117913</xdr:rowOff>
    </xdr:to>
    <xdr:sp macro="[0]!View_HandoverCost" textlink="">
      <xdr:nvSpPr>
        <xdr:cNvPr id="21" name="btn_CostReport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10345203" y="697274"/>
          <a:ext cx="1769359" cy="29693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4</xdr:col>
      <xdr:colOff>2648695</xdr:colOff>
      <xdr:row>4</xdr:row>
      <xdr:rowOff>15913</xdr:rowOff>
    </xdr:from>
    <xdr:to>
      <xdr:col>5</xdr:col>
      <xdr:colOff>933535</xdr:colOff>
      <xdr:row>5</xdr:row>
      <xdr:rowOff>117214</xdr:rowOff>
    </xdr:to>
    <xdr:sp macro="[0]!View_RenewedAssets" textlink="">
      <xdr:nvSpPr>
        <xdr:cNvPr id="22" name="btn_Renew" hidden="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7645846" y="699808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5</xdr:col>
      <xdr:colOff>972434</xdr:colOff>
      <xdr:row>4</xdr:row>
      <xdr:rowOff>2962</xdr:rowOff>
    </xdr:from>
    <xdr:to>
      <xdr:col>6</xdr:col>
      <xdr:colOff>666974</xdr:colOff>
      <xdr:row>5</xdr:row>
      <xdr:rowOff>117598</xdr:rowOff>
    </xdr:to>
    <xdr:sp macro="[0]!View_disposedAssets" textlink="">
      <xdr:nvSpPr>
        <xdr:cNvPr id="23" name="btn_Dispose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8997863" y="700192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4</xdr:col>
      <xdr:colOff>1276977</xdr:colOff>
      <xdr:row>4</xdr:row>
      <xdr:rowOff>15912</xdr:rowOff>
    </xdr:from>
    <xdr:to>
      <xdr:col>4</xdr:col>
      <xdr:colOff>2597715</xdr:colOff>
      <xdr:row>5</xdr:row>
      <xdr:rowOff>117213</xdr:rowOff>
    </xdr:to>
    <xdr:sp macro="[0]!View_NewAssets" textlink="">
      <xdr:nvSpPr>
        <xdr:cNvPr id="24" name="btn_New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6296315" y="699807"/>
          <a:ext cx="1317601" cy="29751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1</xdr:col>
      <xdr:colOff>909804</xdr:colOff>
      <xdr:row>4</xdr:row>
      <xdr:rowOff>1121</xdr:rowOff>
    </xdr:from>
    <xdr:to>
      <xdr:col>3</xdr:col>
      <xdr:colOff>507513</xdr:colOff>
      <xdr:row>5</xdr:row>
      <xdr:rowOff>117325</xdr:rowOff>
    </xdr:to>
    <xdr:sp macro="[0]!View_Transactions" textlink="">
      <xdr:nvSpPr>
        <xdr:cNvPr id="25" name="btn_Transactions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487019" y="696446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578485</xdr:colOff>
      <xdr:row>0</xdr:row>
      <xdr:rowOff>0</xdr:rowOff>
    </xdr:from>
    <xdr:to>
      <xdr:col>6</xdr:col>
      <xdr:colOff>211455</xdr:colOff>
      <xdr:row>3</xdr:row>
      <xdr:rowOff>126396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60480" y="0"/>
          <a:ext cx="676275" cy="63693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4</xdr:row>
      <xdr:rowOff>0</xdr:rowOff>
    </xdr:from>
    <xdr:to>
      <xdr:col>2</xdr:col>
      <xdr:colOff>283171</xdr:colOff>
      <xdr:row>5</xdr:row>
      <xdr:rowOff>116541</xdr:rowOff>
    </xdr:to>
    <xdr:sp macro="[0]!View_Summary" textlink="">
      <xdr:nvSpPr>
        <xdr:cNvPr id="11" name="btn_Summary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33350" y="695325"/>
          <a:ext cx="1329016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3</xdr:col>
      <xdr:colOff>54908</xdr:colOff>
      <xdr:row>4</xdr:row>
      <xdr:rowOff>0</xdr:rowOff>
    </xdr:from>
    <xdr:to>
      <xdr:col>3</xdr:col>
      <xdr:colOff>1343248</xdr:colOff>
      <xdr:row>5</xdr:row>
      <xdr:rowOff>116541</xdr:rowOff>
    </xdr:to>
    <xdr:sp macro="[0]!View_AsCons" textlink="">
      <xdr:nvSpPr>
        <xdr:cNvPr id="12" name="btn_AsCons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3150533" y="695325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3</xdr:col>
      <xdr:colOff>1386725</xdr:colOff>
      <xdr:row>4</xdr:row>
      <xdr:rowOff>1</xdr:rowOff>
    </xdr:from>
    <xdr:to>
      <xdr:col>3</xdr:col>
      <xdr:colOff>3167643</xdr:colOff>
      <xdr:row>5</xdr:row>
      <xdr:rowOff>116542</xdr:rowOff>
    </xdr:to>
    <xdr:sp macro="[0]!View_Project_WideCosts" textlink="">
      <xdr:nvSpPr>
        <xdr:cNvPr id="13" name="btn_ProjectWide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4472825" y="695326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 Wide &amp; Write-off Costs</a:t>
          </a:r>
        </a:p>
      </xdr:txBody>
    </xdr:sp>
    <xdr:clientData/>
  </xdr:twoCellAnchor>
  <xdr:twoCellAnchor editAs="absolute">
    <xdr:from>
      <xdr:col>4</xdr:col>
      <xdr:colOff>2624873</xdr:colOff>
      <xdr:row>4</xdr:row>
      <xdr:rowOff>1949</xdr:rowOff>
    </xdr:from>
    <xdr:to>
      <xdr:col>6</xdr:col>
      <xdr:colOff>189262</xdr:colOff>
      <xdr:row>5</xdr:row>
      <xdr:rowOff>117913</xdr:rowOff>
    </xdr:to>
    <xdr:sp macro="[0]!View_HandoverCost" textlink="">
      <xdr:nvSpPr>
        <xdr:cNvPr id="14" name="btn_CostReport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10345203" y="697274"/>
          <a:ext cx="1769359" cy="29693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3</xdr:col>
      <xdr:colOff>4547681</xdr:colOff>
      <xdr:row>4</xdr:row>
      <xdr:rowOff>8293</xdr:rowOff>
    </xdr:from>
    <xdr:to>
      <xdr:col>4</xdr:col>
      <xdr:colOff>1250101</xdr:colOff>
      <xdr:row>5</xdr:row>
      <xdr:rowOff>124834</xdr:rowOff>
    </xdr:to>
    <xdr:sp macro="[0]!View_RenewedAssets" textlink="">
      <xdr:nvSpPr>
        <xdr:cNvPr id="15" name="btn_Renew" hidden="1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7645846" y="699808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4</xdr:col>
      <xdr:colOff>1282613</xdr:colOff>
      <xdr:row>4</xdr:row>
      <xdr:rowOff>8677</xdr:rowOff>
    </xdr:from>
    <xdr:to>
      <xdr:col>4</xdr:col>
      <xdr:colOff>2589418</xdr:colOff>
      <xdr:row>5</xdr:row>
      <xdr:rowOff>125218</xdr:rowOff>
    </xdr:to>
    <xdr:sp macro="[0]!View_disposedAssets" textlink="">
      <xdr:nvSpPr>
        <xdr:cNvPr id="16" name="btn_Dispose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8997863" y="700192"/>
          <a:ext cx="1317600" cy="29751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3</xdr:col>
      <xdr:colOff>3200690</xdr:colOff>
      <xdr:row>4</xdr:row>
      <xdr:rowOff>8292</xdr:rowOff>
    </xdr:from>
    <xdr:to>
      <xdr:col>3</xdr:col>
      <xdr:colOff>4515751</xdr:colOff>
      <xdr:row>5</xdr:row>
      <xdr:rowOff>124833</xdr:rowOff>
    </xdr:to>
    <xdr:sp macro="[0]!View_NewAssets" textlink="">
      <xdr:nvSpPr>
        <xdr:cNvPr id="26" name="btn_New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6296315" y="699807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2</xdr:col>
      <xdr:colOff>321159</xdr:colOff>
      <xdr:row>4</xdr:row>
      <xdr:rowOff>1121</xdr:rowOff>
    </xdr:from>
    <xdr:to>
      <xdr:col>3</xdr:col>
      <xdr:colOff>39219</xdr:colOff>
      <xdr:row>5</xdr:row>
      <xdr:rowOff>130660</xdr:rowOff>
    </xdr:to>
    <xdr:sp macro="[0]!View_Transactions" textlink="">
      <xdr:nvSpPr>
        <xdr:cNvPr id="27" name="btn_Transactions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1487019" y="696446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559</xdr:colOff>
      <xdr:row>13</xdr:row>
      <xdr:rowOff>111387</xdr:rowOff>
    </xdr:from>
    <xdr:to>
      <xdr:col>3</xdr:col>
      <xdr:colOff>765586</xdr:colOff>
      <xdr:row>15</xdr:row>
      <xdr:rowOff>3249</xdr:rowOff>
    </xdr:to>
    <xdr:sp macro="[0]!Generate_Cost_and_Assetic" textlink="">
      <xdr:nvSpPr>
        <xdr:cNvPr id="3" name="btn_Generate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35030" y="2472018"/>
          <a:ext cx="2789705" cy="304799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Generate Cost of Project Details</a:t>
          </a:r>
        </a:p>
      </xdr:txBody>
    </xdr:sp>
    <xdr:clientData/>
  </xdr:twoCellAnchor>
  <xdr:twoCellAnchor editAs="absolute">
    <xdr:from>
      <xdr:col>13</xdr:col>
      <xdr:colOff>167976</xdr:colOff>
      <xdr:row>0</xdr:row>
      <xdr:rowOff>34290</xdr:rowOff>
    </xdr:from>
    <xdr:to>
      <xdr:col>13</xdr:col>
      <xdr:colOff>819598</xdr:colOff>
      <xdr:row>3</xdr:row>
      <xdr:rowOff>79219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9856" y="28575"/>
          <a:ext cx="670672" cy="56880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4</xdr:row>
      <xdr:rowOff>0</xdr:rowOff>
    </xdr:from>
    <xdr:to>
      <xdr:col>2</xdr:col>
      <xdr:colOff>365086</xdr:colOff>
      <xdr:row>5</xdr:row>
      <xdr:rowOff>116541</xdr:rowOff>
    </xdr:to>
    <xdr:sp macro="[0]!View_Summary" textlink="">
      <xdr:nvSpPr>
        <xdr:cNvPr id="20" name="btn_Summary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133350" y="695325"/>
          <a:ext cx="1329016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Summary</a:t>
          </a:r>
        </a:p>
      </xdr:txBody>
    </xdr:sp>
    <xdr:clientData/>
  </xdr:twoCellAnchor>
  <xdr:twoCellAnchor editAs="absolute">
    <xdr:from>
      <xdr:col>4</xdr:col>
      <xdr:colOff>41573</xdr:colOff>
      <xdr:row>4</xdr:row>
      <xdr:rowOff>0</xdr:rowOff>
    </xdr:from>
    <xdr:to>
      <xdr:col>5</xdr:col>
      <xdr:colOff>720313</xdr:colOff>
      <xdr:row>5</xdr:row>
      <xdr:rowOff>116541</xdr:rowOff>
    </xdr:to>
    <xdr:sp macro="[0]!View_AsCons" textlink="">
      <xdr:nvSpPr>
        <xdr:cNvPr id="21" name="btn_AsCons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3150533" y="695325"/>
          <a:ext cx="1286435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As Cons</a:t>
          </a:r>
        </a:p>
      </xdr:txBody>
    </xdr:sp>
    <xdr:clientData/>
  </xdr:twoCellAnchor>
  <xdr:twoCellAnchor editAs="absolute">
    <xdr:from>
      <xdr:col>5</xdr:col>
      <xdr:colOff>746645</xdr:colOff>
      <xdr:row>4</xdr:row>
      <xdr:rowOff>1</xdr:rowOff>
    </xdr:from>
    <xdr:to>
      <xdr:col>7</xdr:col>
      <xdr:colOff>287283</xdr:colOff>
      <xdr:row>5</xdr:row>
      <xdr:rowOff>116542</xdr:rowOff>
    </xdr:to>
    <xdr:sp macro="[0]!View_Project_WideCosts" textlink="">
      <xdr:nvSpPr>
        <xdr:cNvPr id="22" name="btn_ProjectWide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4472825" y="695326"/>
          <a:ext cx="1796158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Project Wide &amp; Write-off Costs</a:t>
          </a:r>
        </a:p>
      </xdr:txBody>
    </xdr:sp>
    <xdr:clientData/>
  </xdr:twoCellAnchor>
  <xdr:twoCellAnchor editAs="absolute">
    <xdr:from>
      <xdr:col>12</xdr:col>
      <xdr:colOff>244893</xdr:colOff>
      <xdr:row>4</xdr:row>
      <xdr:rowOff>1949</xdr:rowOff>
    </xdr:from>
    <xdr:to>
      <xdr:col>13</xdr:col>
      <xdr:colOff>896017</xdr:colOff>
      <xdr:row>5</xdr:row>
      <xdr:rowOff>117913</xdr:rowOff>
    </xdr:to>
    <xdr:sp macro="[0]!View_HandoverCost" textlink="">
      <xdr:nvSpPr>
        <xdr:cNvPr id="23" name="btn_CostReport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0345203" y="697274"/>
          <a:ext cx="1769359" cy="296939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Handover Cost Report</a:t>
          </a:r>
        </a:p>
      </xdr:txBody>
    </xdr:sp>
    <xdr:clientData/>
  </xdr:twoCellAnchor>
  <xdr:twoCellAnchor editAs="absolute">
    <xdr:from>
      <xdr:col>9</xdr:col>
      <xdr:colOff>130621</xdr:colOff>
      <xdr:row>4</xdr:row>
      <xdr:rowOff>15913</xdr:rowOff>
    </xdr:from>
    <xdr:to>
      <xdr:col>10</xdr:col>
      <xdr:colOff>476671</xdr:colOff>
      <xdr:row>5</xdr:row>
      <xdr:rowOff>117214</xdr:rowOff>
    </xdr:to>
    <xdr:sp macro="[0]!View_RenewedAssets" textlink="">
      <xdr:nvSpPr>
        <xdr:cNvPr id="24" name="btn_Renew" hidden="1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7645846" y="699808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Renewed Assets</a:t>
          </a:r>
        </a:p>
      </xdr:txBody>
    </xdr:sp>
    <xdr:clientData/>
  </xdr:twoCellAnchor>
  <xdr:twoCellAnchor editAs="absolute">
    <xdr:from>
      <xdr:col>10</xdr:col>
      <xdr:colOff>514898</xdr:colOff>
      <xdr:row>4</xdr:row>
      <xdr:rowOff>2962</xdr:rowOff>
    </xdr:from>
    <xdr:to>
      <xdr:col>12</xdr:col>
      <xdr:colOff>207533</xdr:colOff>
      <xdr:row>5</xdr:row>
      <xdr:rowOff>117598</xdr:rowOff>
    </xdr:to>
    <xdr:sp macro="[0]!View_disposedAssets" textlink="">
      <xdr:nvSpPr>
        <xdr:cNvPr id="25" name="btn_Dispose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8997863" y="700192"/>
          <a:ext cx="1317600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Disposed Assets</a:t>
          </a:r>
        </a:p>
      </xdr:txBody>
    </xdr:sp>
    <xdr:clientData/>
  </xdr:twoCellAnchor>
  <xdr:twoCellAnchor editAs="absolute">
    <xdr:from>
      <xdr:col>7</xdr:col>
      <xdr:colOff>324140</xdr:colOff>
      <xdr:row>4</xdr:row>
      <xdr:rowOff>15912</xdr:rowOff>
    </xdr:from>
    <xdr:to>
      <xdr:col>9</xdr:col>
      <xdr:colOff>92976</xdr:colOff>
      <xdr:row>5</xdr:row>
      <xdr:rowOff>117213</xdr:rowOff>
    </xdr:to>
    <xdr:sp macro="[0]!View_NewAssets" textlink="">
      <xdr:nvSpPr>
        <xdr:cNvPr id="26" name="btn_New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6296315" y="699807"/>
          <a:ext cx="1317601" cy="297516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New Assets</a:t>
          </a:r>
        </a:p>
      </xdr:txBody>
    </xdr:sp>
    <xdr:clientData/>
  </xdr:twoCellAnchor>
  <xdr:twoCellAnchor editAs="absolute">
    <xdr:from>
      <xdr:col>2</xdr:col>
      <xdr:colOff>382119</xdr:colOff>
      <xdr:row>4</xdr:row>
      <xdr:rowOff>1121</xdr:rowOff>
    </xdr:from>
    <xdr:to>
      <xdr:col>4</xdr:col>
      <xdr:colOff>22074</xdr:colOff>
      <xdr:row>5</xdr:row>
      <xdr:rowOff>117325</xdr:rowOff>
    </xdr:to>
    <xdr:sp macro="[0]!View_Transactions" textlink="">
      <xdr:nvSpPr>
        <xdr:cNvPr id="27" name="btn_Transactions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1487019" y="696446"/>
          <a:ext cx="1647825" cy="30479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Transaction History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285750</xdr:colOff>
      <xdr:row>0</xdr:row>
      <xdr:rowOff>228601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0" y="0"/>
          <a:ext cx="1562100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400050</xdr:colOff>
      <xdr:row>0</xdr:row>
      <xdr:rowOff>228601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0" y="0"/>
          <a:ext cx="1562100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22859</xdr:rowOff>
    </xdr:from>
    <xdr:to>
      <xdr:col>0</xdr:col>
      <xdr:colOff>1562100</xdr:colOff>
      <xdr:row>0</xdr:row>
      <xdr:rowOff>243840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0" y="19049"/>
          <a:ext cx="1562100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285750</xdr:colOff>
      <xdr:row>0</xdr:row>
      <xdr:rowOff>228601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0" y="0"/>
          <a:ext cx="1562100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304800</xdr:colOff>
      <xdr:row>0</xdr:row>
      <xdr:rowOff>228601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0" y="0"/>
          <a:ext cx="1562100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533400</xdr:colOff>
      <xdr:row>0</xdr:row>
      <xdr:rowOff>228601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0" y="0"/>
          <a:ext cx="1562100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16565</xdr:colOff>
      <xdr:row>0</xdr:row>
      <xdr:rowOff>16565</xdr:rowOff>
    </xdr:from>
    <xdr:to>
      <xdr:col>1</xdr:col>
      <xdr:colOff>115211</xdr:colOff>
      <xdr:row>0</xdr:row>
      <xdr:rowOff>245166</xdr:rowOff>
    </xdr:to>
    <xdr:sp macro="[0]!CurSheet_To_CSV" textlink="">
      <xdr:nvSpPr>
        <xdr:cNvPr id="2" name="btn_Generat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6565" y="16565"/>
          <a:ext cx="1556385" cy="228601"/>
        </a:xfrm>
        <a:prstGeom prst="rect">
          <a:avLst/>
        </a:prstGeom>
        <a:solidFill>
          <a:schemeClr val="accent1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Sheet to CSV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Temp\TRIM\Z8290+Z8289\Z8290%20New%20Assets_output.csv" TargetMode="External"/><Relationship Id="rId1" Type="http://schemas.openxmlformats.org/officeDocument/2006/relationships/externalLinkPath" Target="/Temp/TRIM/Z8290+Z8289/Z8290%20New%20Assets_outpu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8290 New Assets_output"/>
    </sheetNames>
    <sheetDataSet>
      <sheetData sheetId="0">
        <row r="1">
          <cell r="A1" t="str">
            <v>External ID</v>
          </cell>
          <cell r="B1" t="str">
            <v>Asset Category</v>
          </cell>
          <cell r="C1" t="str">
            <v>Asset ID</v>
          </cell>
        </row>
        <row r="2">
          <cell r="A2" t="str">
            <v>C10-3</v>
          </cell>
          <cell r="B2" t="str">
            <v>Electrical Conduits</v>
          </cell>
          <cell r="C2">
            <v>294916</v>
          </cell>
        </row>
        <row r="3">
          <cell r="A3" t="str">
            <v>C6</v>
          </cell>
          <cell r="B3" t="str">
            <v>Signals</v>
          </cell>
          <cell r="C3">
            <v>294906</v>
          </cell>
        </row>
        <row r="4">
          <cell r="A4" t="str">
            <v>P13</v>
          </cell>
          <cell r="B4" t="str">
            <v>Electrical Conduit Pits</v>
          </cell>
          <cell r="C4">
            <v>294899</v>
          </cell>
        </row>
        <row r="5">
          <cell r="A5" t="str">
            <v>P1</v>
          </cell>
          <cell r="B5" t="str">
            <v>Electrical Conduit Pits</v>
          </cell>
          <cell r="C5">
            <v>294886</v>
          </cell>
        </row>
        <row r="6">
          <cell r="A6" t="str">
            <v>C16</v>
          </cell>
          <cell r="B6" t="str">
            <v>Electrical Conduits</v>
          </cell>
          <cell r="C6">
            <v>294926</v>
          </cell>
        </row>
        <row r="7">
          <cell r="A7" t="str">
            <v>C14-3</v>
          </cell>
          <cell r="B7" t="str">
            <v>Electrical Conduits</v>
          </cell>
          <cell r="C7">
            <v>294923</v>
          </cell>
        </row>
        <row r="8">
          <cell r="A8" t="str">
            <v>C5-3</v>
          </cell>
          <cell r="B8" t="str">
            <v>Electrical Conduits</v>
          </cell>
          <cell r="C8">
            <v>294910</v>
          </cell>
        </row>
        <row r="9">
          <cell r="A9" t="str">
            <v>P3</v>
          </cell>
          <cell r="B9" t="str">
            <v>Electrical Conduit Pits</v>
          </cell>
          <cell r="C9">
            <v>294887</v>
          </cell>
        </row>
        <row r="10">
          <cell r="A10" t="str">
            <v>C11</v>
          </cell>
          <cell r="B10" t="str">
            <v>Electrical Conduits</v>
          </cell>
          <cell r="C10">
            <v>294917</v>
          </cell>
        </row>
        <row r="11">
          <cell r="A11" t="str">
            <v>C9-1</v>
          </cell>
          <cell r="B11" t="str">
            <v>Electrical Conduits</v>
          </cell>
          <cell r="C11">
            <v>294911</v>
          </cell>
        </row>
        <row r="12">
          <cell r="A12" t="str">
            <v>P10</v>
          </cell>
          <cell r="B12" t="str">
            <v>Electrical Conduit Pits</v>
          </cell>
          <cell r="C12">
            <v>294895</v>
          </cell>
        </row>
        <row r="13">
          <cell r="A13" t="str">
            <v>P2</v>
          </cell>
          <cell r="B13" t="str">
            <v>Electrical Conduit Pits</v>
          </cell>
          <cell r="C13">
            <v>294888</v>
          </cell>
        </row>
        <row r="14">
          <cell r="A14" t="str">
            <v>C12-2</v>
          </cell>
          <cell r="B14" t="str">
            <v>Electrical Conduits</v>
          </cell>
          <cell r="C14">
            <v>294920</v>
          </cell>
        </row>
        <row r="15">
          <cell r="A15" t="str">
            <v>C7</v>
          </cell>
          <cell r="B15" t="str">
            <v>Electrical Conduits</v>
          </cell>
          <cell r="C15">
            <v>294907</v>
          </cell>
        </row>
        <row r="16">
          <cell r="A16" t="str">
            <v>C4</v>
          </cell>
          <cell r="B16" t="str">
            <v>Electrical Conduits</v>
          </cell>
          <cell r="C16">
            <v>294904</v>
          </cell>
        </row>
        <row r="17">
          <cell r="A17" t="str">
            <v>P4</v>
          </cell>
          <cell r="B17" t="str">
            <v>Electrical Conduit Pits</v>
          </cell>
          <cell r="C17">
            <v>294889</v>
          </cell>
        </row>
        <row r="18">
          <cell r="A18" t="str">
            <v>C9-2</v>
          </cell>
          <cell r="B18" t="str">
            <v>Electrical Conduits</v>
          </cell>
          <cell r="C18">
            <v>294913</v>
          </cell>
        </row>
        <row r="19">
          <cell r="A19" t="str">
            <v>P5</v>
          </cell>
          <cell r="B19" t="str">
            <v>Electrical Conduit Pits</v>
          </cell>
          <cell r="C19">
            <v>294890</v>
          </cell>
        </row>
        <row r="20">
          <cell r="A20" t="str">
            <v>C2</v>
          </cell>
          <cell r="B20" t="str">
            <v>Electrical Conduits</v>
          </cell>
          <cell r="C20">
            <v>294900</v>
          </cell>
        </row>
        <row r="21">
          <cell r="A21" t="str">
            <v>P6</v>
          </cell>
          <cell r="B21" t="str">
            <v>Electrical Conduit Pits</v>
          </cell>
          <cell r="C21">
            <v>294891</v>
          </cell>
        </row>
        <row r="22">
          <cell r="A22" t="str">
            <v>C17</v>
          </cell>
          <cell r="B22" t="str">
            <v>Electrical Conduits</v>
          </cell>
          <cell r="C22">
            <v>294927</v>
          </cell>
        </row>
        <row r="23">
          <cell r="A23" t="str">
            <v>C12-3</v>
          </cell>
          <cell r="B23" t="str">
            <v>Electrical Conduits</v>
          </cell>
          <cell r="C23">
            <v>294918</v>
          </cell>
        </row>
        <row r="24">
          <cell r="A24" t="str">
            <v>P12</v>
          </cell>
          <cell r="B24" t="str">
            <v>Electrical Conduit Pits</v>
          </cell>
          <cell r="C24">
            <v>294896</v>
          </cell>
        </row>
        <row r="25">
          <cell r="A25" t="str">
            <v>P7</v>
          </cell>
          <cell r="B25" t="str">
            <v>Electrical Conduit Pits</v>
          </cell>
          <cell r="C25">
            <v>294892</v>
          </cell>
        </row>
        <row r="26">
          <cell r="A26" t="str">
            <v>C23</v>
          </cell>
          <cell r="B26" t="str">
            <v>Electrical Conduits</v>
          </cell>
          <cell r="C26">
            <v>294933</v>
          </cell>
        </row>
        <row r="27">
          <cell r="A27" t="str">
            <v>C10-1</v>
          </cell>
          <cell r="B27" t="str">
            <v>Electrical Conduits</v>
          </cell>
          <cell r="C27">
            <v>294915</v>
          </cell>
        </row>
        <row r="28">
          <cell r="A28" t="str">
            <v>C3-1</v>
          </cell>
          <cell r="B28" t="str">
            <v>Electrical Conduits</v>
          </cell>
          <cell r="C28">
            <v>294901</v>
          </cell>
        </row>
        <row r="29">
          <cell r="A29" t="str">
            <v>P8</v>
          </cell>
          <cell r="B29" t="str">
            <v>Electrical Conduit Pits</v>
          </cell>
          <cell r="C29">
            <v>294893</v>
          </cell>
        </row>
        <row r="30">
          <cell r="A30" t="str">
            <v>C18</v>
          </cell>
          <cell r="B30" t="str">
            <v>Electrical Conduits</v>
          </cell>
          <cell r="C30">
            <v>294929</v>
          </cell>
        </row>
        <row r="31">
          <cell r="A31" t="str">
            <v>C5-2</v>
          </cell>
          <cell r="B31" t="str">
            <v>Electrical Conduits</v>
          </cell>
          <cell r="C31">
            <v>294909</v>
          </cell>
        </row>
        <row r="32">
          <cell r="A32" t="str">
            <v>P11</v>
          </cell>
          <cell r="B32" t="str">
            <v>Electrical Conduit Pits</v>
          </cell>
          <cell r="C32">
            <v>294898</v>
          </cell>
        </row>
        <row r="33">
          <cell r="A33" t="str">
            <v>P9</v>
          </cell>
          <cell r="B33" t="str">
            <v>Electrical Conduit Pits</v>
          </cell>
          <cell r="C33">
            <v>294894</v>
          </cell>
        </row>
        <row r="34">
          <cell r="A34" t="str">
            <v>C19</v>
          </cell>
          <cell r="B34" t="str">
            <v>Signals</v>
          </cell>
          <cell r="C34">
            <v>294930</v>
          </cell>
        </row>
        <row r="35">
          <cell r="A35" t="str">
            <v>C13</v>
          </cell>
          <cell r="B35" t="str">
            <v>Electrical Conduits</v>
          </cell>
          <cell r="C35">
            <v>294921</v>
          </cell>
        </row>
        <row r="36">
          <cell r="A36" t="str">
            <v>C8</v>
          </cell>
          <cell r="B36" t="str">
            <v>Electrical Conduits</v>
          </cell>
          <cell r="C36">
            <v>294908</v>
          </cell>
        </row>
        <row r="37">
          <cell r="A37" t="str">
            <v>C1</v>
          </cell>
          <cell r="B37" t="str">
            <v>Signals</v>
          </cell>
          <cell r="C37">
            <v>294897</v>
          </cell>
        </row>
        <row r="38">
          <cell r="A38" t="str">
            <v>C15</v>
          </cell>
          <cell r="B38" t="str">
            <v>Signals</v>
          </cell>
          <cell r="C38">
            <v>294925</v>
          </cell>
        </row>
        <row r="39">
          <cell r="A39" t="str">
            <v>C3-3</v>
          </cell>
          <cell r="B39" t="str">
            <v>Electrical Conduits</v>
          </cell>
          <cell r="C39">
            <v>294902</v>
          </cell>
        </row>
        <row r="40">
          <cell r="A40" t="str">
            <v>C20</v>
          </cell>
          <cell r="B40" t="str">
            <v>Electrical Conduits</v>
          </cell>
          <cell r="C40">
            <v>294928</v>
          </cell>
        </row>
        <row r="41">
          <cell r="A41" t="str">
            <v>C14-2</v>
          </cell>
          <cell r="B41" t="str">
            <v>Electrical Conduits</v>
          </cell>
          <cell r="C41">
            <v>294924</v>
          </cell>
        </row>
        <row r="42">
          <cell r="A42" t="str">
            <v>C10-2</v>
          </cell>
          <cell r="B42" t="str">
            <v>Electrical Conduits</v>
          </cell>
          <cell r="C42">
            <v>294912</v>
          </cell>
        </row>
        <row r="43">
          <cell r="A43" t="str">
            <v>C5-1</v>
          </cell>
          <cell r="B43" t="str">
            <v>Electrical Conduits</v>
          </cell>
          <cell r="C43">
            <v>294903</v>
          </cell>
        </row>
        <row r="44">
          <cell r="A44" t="str">
            <v>C3-2</v>
          </cell>
          <cell r="B44" t="str">
            <v>Electrical Conduits</v>
          </cell>
          <cell r="C44">
            <v>294905</v>
          </cell>
        </row>
        <row r="45">
          <cell r="A45" t="str">
            <v>C22</v>
          </cell>
          <cell r="B45" t="str">
            <v>Electrical Conduits</v>
          </cell>
          <cell r="C45">
            <v>294932</v>
          </cell>
        </row>
        <row r="46">
          <cell r="A46" t="str">
            <v>C14-1</v>
          </cell>
          <cell r="B46" t="str">
            <v>Electrical Conduits</v>
          </cell>
          <cell r="C46">
            <v>294922</v>
          </cell>
        </row>
        <row r="47">
          <cell r="A47" t="str">
            <v>C9-3</v>
          </cell>
          <cell r="B47" t="str">
            <v>Electrical Conduits</v>
          </cell>
          <cell r="C47">
            <v>294914</v>
          </cell>
        </row>
        <row r="48">
          <cell r="A48" t="str">
            <v>C21</v>
          </cell>
          <cell r="B48" t="str">
            <v>Electrical Conduits</v>
          </cell>
          <cell r="C48">
            <v>294931</v>
          </cell>
        </row>
        <row r="49">
          <cell r="A49" t="str">
            <v>C12-1</v>
          </cell>
          <cell r="B49" t="str">
            <v>Electrical Conduits</v>
          </cell>
          <cell r="C49">
            <v>294919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18FB60B8-ADBF-4387-A464-356CDADF0E19}" autoFormatId="16" applyNumberFormats="0" applyBorderFormats="0" applyFontFormats="0" applyPatternFormats="0" applyAlignmentFormats="0" applyWidthHeightFormats="0">
  <queryTableRefresh nextId="5">
    <queryTableFields count="2">
      <queryTableField id="3" name="Title" tableColumnId="1"/>
      <queryTableField id="4" name="TreatmentTyp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8E32F702-58BB-4589-A742-35C675930981}" autoFormatId="16" applyNumberFormats="0" applyBorderFormats="0" applyFontFormats="0" applyPatternFormats="0" applyAlignmentFormats="0" applyWidthHeightFormats="0">
  <queryTableRefresh nextId="9">
    <queryTableFields count="2">
      <queryTableField id="7" name="Measurement_Unit" tableColumnId="6"/>
      <queryTableField id="8" name="Measurement_Typ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E128E183-9DD9-492B-BFD1-7AA6CE9D35FB}" autoFormatId="16" applyNumberFormats="0" applyBorderFormats="0" applyFontFormats="0" applyPatternFormats="0" applyAlignmentFormats="0" applyWidthHeightFormats="0">
  <queryTableRefresh nextId="7">
    <queryTableFields count="3">
      <queryTableField id="1" name="AssetType" tableColumnId="1"/>
      <queryTableField id="5" name="FinancialClass" tableColumnId="4"/>
      <queryTableField id="6" name="FinancialSubClass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4ACA6D88-1CD1-4CD9-8FC1-81762AEE5F26}" autoFormatId="16" applyNumberFormats="0" applyBorderFormats="0" applyFontFormats="0" applyPatternFormats="0" applyAlignmentFormats="0" applyWidthHeightFormats="0">
  <queryTableRefresh nextId="17">
    <queryTableFields count="9">
      <queryTableField id="3" name="Title" tableColumnId="2"/>
      <queryTableField id="5" name="AsseticCatalogue" tableColumnId="4"/>
      <queryTableField id="6" name="AsseticCategory" tableColumnId="5"/>
      <queryTableField id="4" name="ComponentType" tableColumnId="3"/>
      <queryTableField id="7" name="AssetClass" tableColumnId="6"/>
      <queryTableField id="8" name="AssetSubClass" tableColumnId="7"/>
      <queryTableField id="1" name="AssetType" tableColumnId="1"/>
      <queryTableField id="9" name="FinancialClass" tableColumnId="8"/>
      <queryTableField id="10" name="FinancialSubClas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13A6E117-B73E-4A11-9EC2-E88617838387}" autoFormatId="16" applyNumberFormats="0" applyBorderFormats="0" applyFontFormats="0" applyPatternFormats="0" applyAlignmentFormats="0" applyWidthHeightFormats="0">
  <queryTableRefresh nextId="5">
    <queryTableFields count="3">
      <queryTableField id="1" name="AssetType" tableColumnId="1"/>
      <queryTableField id="3" name="Title" tableColumnId="2"/>
      <queryTableField id="4" name="ComponentTyp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Project_Type" tableColumnId="1"/>
      <queryTableField id="2" name="Percentage" tableColumnId="2"/>
      <queryTableField id="4" name="Item Type" tableColumnId="3"/>
      <queryTableField id="3" name="Path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1A3520BC-7426-41E7-9EA2-805D48DF08B4}" autoFormatId="16" applyNumberFormats="0" applyBorderFormats="0" applyFontFormats="0" applyPatternFormats="0" applyAlignmentFormats="0" applyWidthHeightFormats="0">
  <queryTableRefresh nextId="3">
    <queryTableFields count="2">
      <queryTableField id="1" name="AssetType" tableColumnId="1"/>
      <queryTableField id="2" name="AssetSubTyp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8EADF6F8-34F9-4FA4-820A-4B9B91A4DAB0}" autoFormatId="16" applyNumberFormats="0" applyBorderFormats="0" applyFontFormats="0" applyPatternFormats="0" applyAlignmentFormats="0" applyWidthHeightFormats="0">
  <queryTableRefresh nextId="3">
    <queryTableFields count="2">
      <queryTableField id="1" name="AssetSubClass" tableColumnId="1"/>
      <queryTableField id="2" name="AssetTyp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A002C71D-1B2A-444E-9237-A435449C5521}" autoFormatId="16" applyNumberFormats="0" applyBorderFormats="0" applyFontFormats="0" applyPatternFormats="0" applyAlignmentFormats="0" applyWidthHeightFormats="0">
  <queryTableRefresh nextId="3">
    <queryTableFields count="2">
      <queryTableField id="1" name="AssetClass" tableColumnId="1"/>
      <queryTableField id="2" name="AssetSubClas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E97136E-678F-4B0E-8F16-7704EAE8BA45}" autoFormatId="16" applyNumberFormats="0" applyBorderFormats="0" applyFontFormats="0" applyPatternFormats="0" applyAlignmentFormats="0" applyWidthHeightFormats="0">
  <queryTableRefresh nextId="2">
    <queryTableFields count="1">
      <queryTableField id="1" name="AssetClass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(2)" backgroundRefresh="0" connectionId="11" xr16:uid="{00000000-0016-0000-0C00-000002000000}" autoFormatId="16" applyNumberFormats="0" applyBorderFormats="0" applyFontFormats="0" applyPatternFormats="0" applyAlignmentFormats="0" applyWidthHeightFormats="0">
  <queryTableRefresh nextId="5">
    <queryTableFields count="4">
      <queryTableField id="1" name="Asset_Class" tableColumnId="1"/>
      <queryTableField id="3" name="Item Type" tableColumnId="2"/>
      <queryTableField id="2" name="Path" tableColumnId="3"/>
      <queryTableField id="4" name="Account_Number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FEDC06-601D-4036-BF65-580B2D576811}" name="AssetSubClass3" displayName="AssetSubClass3" ref="A1:B165" tableType="queryTable" totalsRowShown="0">
  <autoFilter ref="A1:B165" xr:uid="{BBF0149A-2454-4998-800D-BF5DCE1CA755}"/>
  <tableColumns count="2">
    <tableColumn id="1" xr3:uid="{BC7F0B3C-4CF8-420B-B0F5-C8D37E1C4066}" uniqueName="1" name="Title" queryTableFieldId="3"/>
    <tableColumn id="2" xr3:uid="{B268974A-C3C8-4B8C-9889-A2DEE0373BEB}" uniqueName="2" name="TreatmentTyp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4D3EEF0-4D47-4DAA-9DFC-C64B4A93EA59}" name="Measurement_Type" displayName="Measurement_Type" ref="A1:B4" tableType="queryTable" totalsRowShown="0">
  <autoFilter ref="A1:B4" xr:uid="{DE0445C7-8506-4B84-B95F-B47A14FAC2AA}"/>
  <tableColumns count="2">
    <tableColumn id="6" xr3:uid="{BAFAE890-4379-40DA-B98E-F78F5E288768}" uniqueName="6" name="Measurement_Unit" queryTableFieldId="7"/>
    <tableColumn id="7" xr3:uid="{23FD0D03-8866-4413-9C42-0C7031A5E9E7}" uniqueName="7" name="Measurement_Type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670358A-AAD3-43F6-B761-C421C716C275}" name="SC_Financials" displayName="SC_Financials" ref="A1:C129" tableType="queryTable" totalsRowShown="0">
  <autoFilter ref="A1:C129" xr:uid="{DE0445C7-8506-4B84-B95F-B47A14FAC2AA}"/>
  <tableColumns count="3">
    <tableColumn id="1" xr3:uid="{0AE63A26-DF7F-4B47-9292-E18225E5D22E}" uniqueName="1" name="AssetType" queryTableFieldId="1"/>
    <tableColumn id="4" xr3:uid="{87423C91-CD6F-4928-9D7C-40D3431052E4}" uniqueName="4" name="FinancialClass" queryTableFieldId="5"/>
    <tableColumn id="5" xr3:uid="{1FF29C54-55AC-4A86-A420-E903E1178B69}" uniqueName="5" name="FinancialSubClas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12E14E-005C-4679-BE57-C6F826235A39}" name="CoA_Schema" displayName="CoA_Schema" ref="A1:I458" tableType="queryTable" totalsRowShown="0">
  <autoFilter ref="A1:I458" xr:uid="{DE0445C7-8506-4B84-B95F-B47A14FAC2AA}"/>
  <tableColumns count="9">
    <tableColumn id="2" xr3:uid="{6E9CEB2F-471D-4002-9130-D0D4DA6B109C}" uniqueName="2" name="Title" queryTableFieldId="3"/>
    <tableColumn id="4" xr3:uid="{9B24F35D-6EFA-493E-85C4-F68DDFAAD84C}" uniqueName="4" name="AsseticCatalogue" queryTableFieldId="5"/>
    <tableColumn id="5" xr3:uid="{7E371191-C53B-407E-AD29-A19E795CC554}" uniqueName="5" name="AsseticCategory" queryTableFieldId="6"/>
    <tableColumn id="3" xr3:uid="{55B756E3-0B37-4AE9-95E5-9B71D1112E44}" uniqueName="3" name="ComponentType" queryTableFieldId="4"/>
    <tableColumn id="6" xr3:uid="{217B7D3A-3F72-45F3-B590-49C3899DF5A1}" uniqueName="6" name="AssetClass" queryTableFieldId="7"/>
    <tableColumn id="7" xr3:uid="{86908F71-6230-4E4D-B53E-8213289FE10A}" uniqueName="7" name="AssetSubClass" queryTableFieldId="8"/>
    <tableColumn id="1" xr3:uid="{08893690-7C3C-4581-B5CA-74F338EB154F}" uniqueName="1" name="AssetType" queryTableFieldId="1"/>
    <tableColumn id="8" xr3:uid="{93C67BEA-EA00-427B-AA96-77CB4F1972ED}" uniqueName="8" name="FinancialClass" queryTableFieldId="9"/>
    <tableColumn id="9" xr3:uid="{6248A6BA-E283-4D84-8FFC-896B6579C39D}" uniqueName="9" name="FinancialSubClass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15CDDB9-B559-4432-84B1-0E12B85DBE42}" name="SC_Component" displayName="SC_Component" ref="A1:C385" tableType="queryTable" totalsRowShown="0">
  <autoFilter ref="A1:C385" xr:uid="{DE0445C7-8506-4B84-B95F-B47A14FAC2AA}"/>
  <tableColumns count="3">
    <tableColumn id="1" xr3:uid="{4EF21FF0-EC2E-40A1-B36C-C2BAE50B9DD0}" uniqueName="1" name="AssetType" queryTableFieldId="1"/>
    <tableColumn id="2" xr3:uid="{655B749B-1681-45CE-9F80-F9EE88E87FCA}" uniqueName="2" name="Title" queryTableFieldId="3"/>
    <tableColumn id="3" xr3:uid="{E25FB150-F4D5-4EF9-8937-435E42C787F2}" uniqueName="3" name="ComponentType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8C5CF4-B2B4-4FF2-8F6E-99D8C9CBE236}" name="Table_query" displayName="Table_query" ref="A1:D3" tableType="queryTable" totalsRowShown="0">
  <autoFilter ref="A1:D3" xr:uid="{64C16987-57BE-4A54-B620-E05453C4C1A6}"/>
  <tableColumns count="4">
    <tableColumn id="1" xr3:uid="{FDCD47AD-5E62-450B-92FF-5835576B3215}" uniqueName="Title" name="Project_Type" queryTableFieldId="1" dataDxfId="7"/>
    <tableColumn id="2" xr3:uid="{50718F5C-0BEA-4691-93D2-97B38570148F}" uniqueName="Percentage" name="Percentage" queryTableFieldId="2" dataDxfId="6"/>
    <tableColumn id="3" xr3:uid="{1FA81233-B797-453A-8FDE-BBA5E3BE2A02}" uniqueName="FSObjType" name="Item Type" queryTableFieldId="4" dataDxfId="5"/>
    <tableColumn id="4" xr3:uid="{66F2CC23-943D-43C3-BBD1-6365F30EA13E}" uniqueName="FileDirRef" name="Path" queryTableFieldId="3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C221302-BD4B-4E79-B8BD-16BFD9167473}" name="Table13" displayName="Table13" ref="A2:D21" totalsRowShown="0">
  <autoFilter ref="A2:D21" xr:uid="{C7195835-0735-4B68-BECF-92CA5A2FE462}"/>
  <tableColumns count="4">
    <tableColumn id="1" xr3:uid="{7D0A8B92-2226-4BD9-80A9-B1A2274B38DA}" name="Version Number"/>
    <tableColumn id="2" xr3:uid="{A642518E-CCF2-4AB7-B311-6E64B4A7954F}" name="Description"/>
    <tableColumn id="3" xr3:uid="{AD92738A-BF17-410D-9798-B9514ECC8237}" name="Author"/>
    <tableColumn id="4" xr3:uid="{E8F27074-73D7-4B04-B353-4B8522D80C4C}" name="D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0FE54B-7BD1-4AE9-B727-890254EB62FB}" name="AssetSubType" displayName="AssetSubType" ref="A1:B547" tableType="queryTable" totalsRowShown="0">
  <autoFilter ref="A1:B547" xr:uid="{DE0445C7-8506-4B84-B95F-B47A14FAC2AA}"/>
  <tableColumns count="2">
    <tableColumn id="1" xr3:uid="{42D98E43-1A8F-457C-87BF-94CDCA69E3BA}" uniqueName="1" name="AssetType" queryTableFieldId="1"/>
    <tableColumn id="2" xr3:uid="{725AB61C-CA14-42DD-AA27-3814E12C73A1}" uniqueName="2" name="AssetSubType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F8006C-6484-4F53-9F9B-09465923DF73}" name="AssetType" displayName="AssetType" ref="A1:B140" tableType="queryTable" totalsRowShown="0">
  <autoFilter ref="A1:B140" xr:uid="{6EB566AC-BAFC-4B79-AFAB-3C721C7D04EF}"/>
  <tableColumns count="2">
    <tableColumn id="1" xr3:uid="{D54C13DD-6488-4FB5-8952-95239E28DFE8}" uniqueName="1" name="AssetSubClass" queryTableFieldId="1"/>
    <tableColumn id="2" xr3:uid="{5FE3DAB8-074D-435C-91E8-F13F99ED7F71}" uniqueName="2" name="AssetType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AEC661-9388-41F5-9C5C-9A487526720A}" name="AssetSubClass" displayName="AssetSubClass" ref="A1:B53" tableType="queryTable" totalsRowShown="0">
  <autoFilter ref="A1:B53" xr:uid="{BBF0149A-2454-4998-800D-BF5DCE1CA755}"/>
  <tableColumns count="2">
    <tableColumn id="1" xr3:uid="{8E9CCFB8-E027-4393-B45D-14DD91B27057}" uniqueName="1" name="AssetClass" queryTableFieldId="1"/>
    <tableColumn id="2" xr3:uid="{81793BF3-88D6-4BCF-BA22-914B9FDD30FC}" uniqueName="2" name="AssetSubClass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10DAE4-2F39-4DDC-8252-43D59F1DBC92}" name="AssetClass" displayName="AssetClass" ref="A1:A12" tableType="queryTable" totalsRowShown="0">
  <autoFilter ref="A1:A12" xr:uid="{E6FB9C58-9793-438D-8BD3-0AA14F79AD89}"/>
  <tableColumns count="1">
    <tableColumn id="1" xr3:uid="{B12886DA-0DC5-4ECB-AE21-628556A2A79D}" uniqueName="1" name="AssetClass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C29FA7-F600-45C1-A743-91038D34133D}" name="Table_query__2" displayName="Table_query__2" ref="A1:D31" tableType="queryTable" totalsRowShown="0">
  <autoFilter ref="A1:D31" xr:uid="{A0748530-3BE5-4E69-B732-CF8637A06A0F}"/>
  <tableColumns count="4">
    <tableColumn id="1" xr3:uid="{3BC51DC8-27FB-4D33-BFB4-CB47970F9587}" uniqueName="Title" name="Asset_Class" queryTableFieldId="1" dataDxfId="3"/>
    <tableColumn id="2" xr3:uid="{C9BAD212-0086-4858-A8E1-DD967DFD6EE4}" uniqueName="FSObjType" name="Item Type" queryTableFieldId="3" dataDxfId="2"/>
    <tableColumn id="3" xr3:uid="{DB334671-FC2C-43C8-9716-8642C77A5E16}" uniqueName="FileDirRef" name="Path" queryTableFieldId="2" dataDxfId="1"/>
    <tableColumn id="4" xr3:uid="{7EE97980-2639-4A7B-BDCB-309AA3A84BEE}" uniqueName="Account_Number" name="Account_Number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3C107-401A-4376-9ECC-3D272EE0F442}">
  <sheetPr codeName="Sht_TreatmentType"/>
  <dimension ref="A1:G905"/>
  <sheetViews>
    <sheetView workbookViewId="0">
      <selection activeCell="F344" sqref="F344:G905"/>
    </sheetView>
  </sheetViews>
  <sheetFormatPr defaultRowHeight="14.25" x14ac:dyDescent="0.2"/>
  <cols>
    <col min="1" max="1" width="23.75" bestFit="1" customWidth="1"/>
    <col min="2" max="2" width="33.125" bestFit="1" customWidth="1"/>
    <col min="3" max="3" width="24.75" bestFit="1" customWidth="1"/>
    <col min="4" max="4" width="26" bestFit="1" customWidth="1"/>
  </cols>
  <sheetData>
    <row r="1" spans="1:7" x14ac:dyDescent="0.2">
      <c r="A1" t="s">
        <v>0</v>
      </c>
      <c r="B1" t="s">
        <v>1</v>
      </c>
    </row>
    <row r="2" spans="1:7" x14ac:dyDescent="0.2">
      <c r="A2" t="s">
        <v>1142</v>
      </c>
      <c r="B2" t="s">
        <v>229</v>
      </c>
      <c r="F2">
        <f t="shared" ref="F2:F65" ca="1" si="0">IFERROR(MATCH(OFFSET($A$1,ROW()-1,0,1,1),A:A,0),"")</f>
        <v>2</v>
      </c>
      <c r="G2">
        <f t="shared" ref="G2:G65" ca="1" si="1">COUNTIF(A:A,OFFSET($A$1,ROW()-1,0))</f>
        <v>2</v>
      </c>
    </row>
    <row r="3" spans="1:7" x14ac:dyDescent="0.2">
      <c r="A3" t="s">
        <v>1142</v>
      </c>
      <c r="B3" t="s">
        <v>34</v>
      </c>
      <c r="F3">
        <f t="shared" ca="1" si="0"/>
        <v>2</v>
      </c>
      <c r="G3">
        <f t="shared" ca="1" si="1"/>
        <v>2</v>
      </c>
    </row>
    <row r="4" spans="1:7" x14ac:dyDescent="0.2">
      <c r="A4" t="s">
        <v>1143</v>
      </c>
      <c r="B4" t="s">
        <v>1144</v>
      </c>
      <c r="F4">
        <f t="shared" ca="1" si="0"/>
        <v>4</v>
      </c>
      <c r="G4">
        <f t="shared" ca="1" si="1"/>
        <v>1</v>
      </c>
    </row>
    <row r="5" spans="1:7" x14ac:dyDescent="0.2">
      <c r="A5" t="s">
        <v>1145</v>
      </c>
      <c r="B5" t="s">
        <v>32</v>
      </c>
      <c r="F5">
        <f t="shared" ca="1" si="0"/>
        <v>5</v>
      </c>
      <c r="G5">
        <f t="shared" ca="1" si="1"/>
        <v>1</v>
      </c>
    </row>
    <row r="6" spans="1:7" x14ac:dyDescent="0.2">
      <c r="A6" t="s">
        <v>2</v>
      </c>
      <c r="B6" t="s">
        <v>3</v>
      </c>
      <c r="F6">
        <f t="shared" ca="1" si="0"/>
        <v>6</v>
      </c>
      <c r="G6">
        <f t="shared" ca="1" si="1"/>
        <v>4</v>
      </c>
    </row>
    <row r="7" spans="1:7" x14ac:dyDescent="0.2">
      <c r="A7" t="s">
        <v>2</v>
      </c>
      <c r="B7" t="s">
        <v>4</v>
      </c>
      <c r="F7">
        <f t="shared" ca="1" si="0"/>
        <v>6</v>
      </c>
      <c r="G7">
        <f t="shared" ca="1" si="1"/>
        <v>4</v>
      </c>
    </row>
    <row r="8" spans="1:7" x14ac:dyDescent="0.2">
      <c r="A8" t="s">
        <v>2</v>
      </c>
      <c r="B8" t="s">
        <v>5</v>
      </c>
      <c r="F8">
        <f t="shared" ca="1" si="0"/>
        <v>6</v>
      </c>
      <c r="G8">
        <f t="shared" ca="1" si="1"/>
        <v>4</v>
      </c>
    </row>
    <row r="9" spans="1:7" x14ac:dyDescent="0.2">
      <c r="A9" t="s">
        <v>2</v>
      </c>
      <c r="B9" t="s">
        <v>6</v>
      </c>
      <c r="F9">
        <f t="shared" ca="1" si="0"/>
        <v>6</v>
      </c>
      <c r="G9">
        <f t="shared" ca="1" si="1"/>
        <v>4</v>
      </c>
    </row>
    <row r="10" spans="1:7" x14ac:dyDescent="0.2">
      <c r="A10" t="s">
        <v>17</v>
      </c>
      <c r="B10" t="s">
        <v>20</v>
      </c>
      <c r="F10">
        <f t="shared" ca="1" si="0"/>
        <v>10</v>
      </c>
      <c r="G10">
        <f t="shared" ca="1" si="1"/>
        <v>2</v>
      </c>
    </row>
    <row r="11" spans="1:7" x14ac:dyDescent="0.2">
      <c r="A11" t="s">
        <v>17</v>
      </c>
      <c r="B11" t="s">
        <v>14</v>
      </c>
      <c r="F11">
        <f t="shared" ca="1" si="0"/>
        <v>10</v>
      </c>
      <c r="G11">
        <f t="shared" ca="1" si="1"/>
        <v>2</v>
      </c>
    </row>
    <row r="12" spans="1:7" x14ac:dyDescent="0.2">
      <c r="A12" t="s">
        <v>19</v>
      </c>
      <c r="B12" t="s">
        <v>20</v>
      </c>
      <c r="F12">
        <f t="shared" ca="1" si="0"/>
        <v>12</v>
      </c>
      <c r="G12">
        <f t="shared" ca="1" si="1"/>
        <v>3</v>
      </c>
    </row>
    <row r="13" spans="1:7" x14ac:dyDescent="0.2">
      <c r="A13" t="s">
        <v>19</v>
      </c>
      <c r="B13" t="s">
        <v>21</v>
      </c>
      <c r="F13">
        <f t="shared" ca="1" si="0"/>
        <v>12</v>
      </c>
      <c r="G13">
        <f t="shared" ca="1" si="1"/>
        <v>3</v>
      </c>
    </row>
    <row r="14" spans="1:7" x14ac:dyDescent="0.2">
      <c r="A14" t="s">
        <v>19</v>
      </c>
      <c r="B14" t="s">
        <v>3</v>
      </c>
      <c r="F14">
        <f t="shared" ca="1" si="0"/>
        <v>12</v>
      </c>
      <c r="G14">
        <f t="shared" ca="1" si="1"/>
        <v>3</v>
      </c>
    </row>
    <row r="15" spans="1:7" x14ac:dyDescent="0.2">
      <c r="A15" t="s">
        <v>22</v>
      </c>
      <c r="B15" t="s">
        <v>23</v>
      </c>
      <c r="F15">
        <f t="shared" ca="1" si="0"/>
        <v>15</v>
      </c>
      <c r="G15">
        <f t="shared" ca="1" si="1"/>
        <v>8</v>
      </c>
    </row>
    <row r="16" spans="1:7" x14ac:dyDescent="0.2">
      <c r="A16" t="s">
        <v>22</v>
      </c>
      <c r="B16" t="s">
        <v>20</v>
      </c>
      <c r="F16">
        <f t="shared" ca="1" si="0"/>
        <v>15</v>
      </c>
      <c r="G16">
        <f t="shared" ca="1" si="1"/>
        <v>8</v>
      </c>
    </row>
    <row r="17" spans="1:7" x14ac:dyDescent="0.2">
      <c r="A17" t="s">
        <v>22</v>
      </c>
      <c r="B17" t="s">
        <v>21</v>
      </c>
      <c r="F17">
        <f t="shared" ca="1" si="0"/>
        <v>15</v>
      </c>
      <c r="G17">
        <f t="shared" ca="1" si="1"/>
        <v>8</v>
      </c>
    </row>
    <row r="18" spans="1:7" x14ac:dyDescent="0.2">
      <c r="A18" t="s">
        <v>22</v>
      </c>
      <c r="B18" t="s">
        <v>14</v>
      </c>
      <c r="F18">
        <f t="shared" ca="1" si="0"/>
        <v>15</v>
      </c>
      <c r="G18">
        <f t="shared" ca="1" si="1"/>
        <v>8</v>
      </c>
    </row>
    <row r="19" spans="1:7" x14ac:dyDescent="0.2">
      <c r="A19" t="s">
        <v>22</v>
      </c>
      <c r="B19" t="s">
        <v>24</v>
      </c>
      <c r="F19">
        <f t="shared" ca="1" si="0"/>
        <v>15</v>
      </c>
      <c r="G19">
        <f t="shared" ca="1" si="1"/>
        <v>8</v>
      </c>
    </row>
    <row r="20" spans="1:7" x14ac:dyDescent="0.2">
      <c r="A20" t="s">
        <v>22</v>
      </c>
      <c r="B20" t="s">
        <v>25</v>
      </c>
      <c r="F20">
        <f t="shared" ca="1" si="0"/>
        <v>15</v>
      </c>
      <c r="G20">
        <f t="shared" ca="1" si="1"/>
        <v>8</v>
      </c>
    </row>
    <row r="21" spans="1:7" x14ac:dyDescent="0.2">
      <c r="A21" t="s">
        <v>22</v>
      </c>
      <c r="B21" t="s">
        <v>26</v>
      </c>
      <c r="F21">
        <f t="shared" ca="1" si="0"/>
        <v>15</v>
      </c>
      <c r="G21">
        <f t="shared" ca="1" si="1"/>
        <v>8</v>
      </c>
    </row>
    <row r="22" spans="1:7" x14ac:dyDescent="0.2">
      <c r="A22" t="s">
        <v>22</v>
      </c>
      <c r="B22" t="s">
        <v>3</v>
      </c>
      <c r="F22">
        <f t="shared" ca="1" si="0"/>
        <v>15</v>
      </c>
      <c r="G22">
        <f t="shared" ca="1" si="1"/>
        <v>8</v>
      </c>
    </row>
    <row r="23" spans="1:7" x14ac:dyDescent="0.2">
      <c r="A23" t="s">
        <v>27</v>
      </c>
      <c r="B23" t="s">
        <v>28</v>
      </c>
      <c r="F23">
        <f t="shared" ca="1" si="0"/>
        <v>23</v>
      </c>
      <c r="G23">
        <f t="shared" ca="1" si="1"/>
        <v>1</v>
      </c>
    </row>
    <row r="24" spans="1:7" x14ac:dyDescent="0.2">
      <c r="A24" t="s">
        <v>29</v>
      </c>
      <c r="B24" t="s">
        <v>3</v>
      </c>
      <c r="F24">
        <f t="shared" ca="1" si="0"/>
        <v>24</v>
      </c>
      <c r="G24">
        <f t="shared" ca="1" si="1"/>
        <v>1</v>
      </c>
    </row>
    <row r="25" spans="1:7" x14ac:dyDescent="0.2">
      <c r="A25" t="s">
        <v>31</v>
      </c>
      <c r="B25" t="s">
        <v>101</v>
      </c>
      <c r="F25">
        <f t="shared" ca="1" si="0"/>
        <v>25</v>
      </c>
      <c r="G25">
        <f t="shared" ca="1" si="1"/>
        <v>3</v>
      </c>
    </row>
    <row r="26" spans="1:7" x14ac:dyDescent="0.2">
      <c r="A26" t="s">
        <v>31</v>
      </c>
      <c r="B26" t="s">
        <v>14</v>
      </c>
      <c r="F26">
        <f t="shared" ca="1" si="0"/>
        <v>25</v>
      </c>
      <c r="G26">
        <f t="shared" ca="1" si="1"/>
        <v>3</v>
      </c>
    </row>
    <row r="27" spans="1:7" x14ac:dyDescent="0.2">
      <c r="A27" t="s">
        <v>31</v>
      </c>
      <c r="B27" t="s">
        <v>3</v>
      </c>
      <c r="F27">
        <f t="shared" ca="1" si="0"/>
        <v>25</v>
      </c>
      <c r="G27">
        <f t="shared" ca="1" si="1"/>
        <v>3</v>
      </c>
    </row>
    <row r="28" spans="1:7" x14ac:dyDescent="0.2">
      <c r="A28" t="s">
        <v>40</v>
      </c>
      <c r="B28" t="s">
        <v>3</v>
      </c>
      <c r="F28">
        <f t="shared" ca="1" si="0"/>
        <v>28</v>
      </c>
      <c r="G28">
        <f t="shared" ca="1" si="1"/>
        <v>2</v>
      </c>
    </row>
    <row r="29" spans="1:7" x14ac:dyDescent="0.2">
      <c r="A29" t="s">
        <v>40</v>
      </c>
      <c r="B29" t="s">
        <v>5</v>
      </c>
      <c r="F29">
        <f t="shared" ca="1" si="0"/>
        <v>28</v>
      </c>
      <c r="G29">
        <f t="shared" ca="1" si="1"/>
        <v>2</v>
      </c>
    </row>
    <row r="30" spans="1:7" x14ac:dyDescent="0.2">
      <c r="A30" t="s">
        <v>41</v>
      </c>
      <c r="B30" t="s">
        <v>3</v>
      </c>
      <c r="F30">
        <f t="shared" ca="1" si="0"/>
        <v>30</v>
      </c>
      <c r="G30">
        <f t="shared" ca="1" si="1"/>
        <v>1</v>
      </c>
    </row>
    <row r="31" spans="1:7" x14ac:dyDescent="0.2">
      <c r="A31" t="s">
        <v>42</v>
      </c>
      <c r="B31" t="s">
        <v>3</v>
      </c>
      <c r="F31">
        <f t="shared" ca="1" si="0"/>
        <v>31</v>
      </c>
      <c r="G31">
        <f t="shared" ca="1" si="1"/>
        <v>2</v>
      </c>
    </row>
    <row r="32" spans="1:7" x14ac:dyDescent="0.2">
      <c r="A32" t="s">
        <v>42</v>
      </c>
      <c r="B32" t="s">
        <v>6</v>
      </c>
      <c r="F32">
        <f t="shared" ca="1" si="0"/>
        <v>31</v>
      </c>
      <c r="G32">
        <f t="shared" ca="1" si="1"/>
        <v>2</v>
      </c>
    </row>
    <row r="33" spans="1:7" x14ac:dyDescent="0.2">
      <c r="A33" t="s">
        <v>43</v>
      </c>
      <c r="B33" t="s">
        <v>3</v>
      </c>
      <c r="F33">
        <f t="shared" ca="1" si="0"/>
        <v>33</v>
      </c>
      <c r="G33">
        <f t="shared" ca="1" si="1"/>
        <v>1</v>
      </c>
    </row>
    <row r="34" spans="1:7" x14ac:dyDescent="0.2">
      <c r="A34" t="s">
        <v>44</v>
      </c>
      <c r="B34" t="s">
        <v>14</v>
      </c>
      <c r="F34">
        <f t="shared" ca="1" si="0"/>
        <v>34</v>
      </c>
      <c r="G34">
        <f t="shared" ca="1" si="1"/>
        <v>3</v>
      </c>
    </row>
    <row r="35" spans="1:7" x14ac:dyDescent="0.2">
      <c r="A35" t="s">
        <v>44</v>
      </c>
      <c r="B35" t="s">
        <v>3</v>
      </c>
      <c r="F35">
        <f t="shared" ca="1" si="0"/>
        <v>34</v>
      </c>
      <c r="G35">
        <f t="shared" ca="1" si="1"/>
        <v>3</v>
      </c>
    </row>
    <row r="36" spans="1:7" x14ac:dyDescent="0.2">
      <c r="A36" t="s">
        <v>44</v>
      </c>
      <c r="B36" t="s">
        <v>6</v>
      </c>
      <c r="F36">
        <f t="shared" ca="1" si="0"/>
        <v>34</v>
      </c>
      <c r="G36">
        <f t="shared" ca="1" si="1"/>
        <v>3</v>
      </c>
    </row>
    <row r="37" spans="1:7" x14ac:dyDescent="0.2">
      <c r="A37" t="s">
        <v>52</v>
      </c>
      <c r="B37" t="s">
        <v>6</v>
      </c>
      <c r="F37">
        <f t="shared" ca="1" si="0"/>
        <v>37</v>
      </c>
      <c r="G37">
        <f t="shared" ca="1" si="1"/>
        <v>1</v>
      </c>
    </row>
    <row r="38" spans="1:7" x14ac:dyDescent="0.2">
      <c r="A38" t="s">
        <v>53</v>
      </c>
      <c r="B38" t="s">
        <v>54</v>
      </c>
      <c r="F38">
        <f t="shared" ca="1" si="0"/>
        <v>38</v>
      </c>
      <c r="G38">
        <f t="shared" ca="1" si="1"/>
        <v>1</v>
      </c>
    </row>
    <row r="39" spans="1:7" x14ac:dyDescent="0.2">
      <c r="A39" t="s">
        <v>55</v>
      </c>
      <c r="B39" t="s">
        <v>6</v>
      </c>
      <c r="F39">
        <f t="shared" ca="1" si="0"/>
        <v>39</v>
      </c>
      <c r="G39">
        <f t="shared" ca="1" si="1"/>
        <v>1</v>
      </c>
    </row>
    <row r="40" spans="1:7" x14ac:dyDescent="0.2">
      <c r="A40" t="s">
        <v>56</v>
      </c>
      <c r="B40" t="s">
        <v>3</v>
      </c>
      <c r="F40">
        <f t="shared" ca="1" si="0"/>
        <v>40</v>
      </c>
      <c r="G40">
        <f t="shared" ca="1" si="1"/>
        <v>1</v>
      </c>
    </row>
    <row r="41" spans="1:7" x14ac:dyDescent="0.2">
      <c r="A41" t="s">
        <v>57</v>
      </c>
      <c r="B41" t="s">
        <v>20</v>
      </c>
      <c r="F41">
        <f t="shared" ca="1" si="0"/>
        <v>41</v>
      </c>
      <c r="G41">
        <f t="shared" ca="1" si="1"/>
        <v>3</v>
      </c>
    </row>
    <row r="42" spans="1:7" x14ac:dyDescent="0.2">
      <c r="A42" t="s">
        <v>57</v>
      </c>
      <c r="B42" t="s">
        <v>3</v>
      </c>
      <c r="F42">
        <f t="shared" ca="1" si="0"/>
        <v>41</v>
      </c>
      <c r="G42">
        <f t="shared" ca="1" si="1"/>
        <v>3</v>
      </c>
    </row>
    <row r="43" spans="1:7" x14ac:dyDescent="0.2">
      <c r="A43" t="s">
        <v>57</v>
      </c>
      <c r="B43" t="s">
        <v>58</v>
      </c>
      <c r="F43">
        <f t="shared" ca="1" si="0"/>
        <v>41</v>
      </c>
      <c r="G43">
        <f t="shared" ca="1" si="1"/>
        <v>3</v>
      </c>
    </row>
    <row r="44" spans="1:7" x14ac:dyDescent="0.2">
      <c r="A44" t="s">
        <v>59</v>
      </c>
      <c r="B44" t="s">
        <v>3</v>
      </c>
      <c r="F44">
        <f t="shared" ca="1" si="0"/>
        <v>44</v>
      </c>
      <c r="G44">
        <f t="shared" ca="1" si="1"/>
        <v>1</v>
      </c>
    </row>
    <row r="45" spans="1:7" x14ac:dyDescent="0.2">
      <c r="A45" t="s">
        <v>1146</v>
      </c>
      <c r="B45" t="s">
        <v>3</v>
      </c>
      <c r="F45">
        <f t="shared" ca="1" si="0"/>
        <v>45</v>
      </c>
      <c r="G45">
        <f t="shared" ca="1" si="1"/>
        <v>1</v>
      </c>
    </row>
    <row r="46" spans="1:7" x14ac:dyDescent="0.2">
      <c r="A46" t="s">
        <v>63</v>
      </c>
      <c r="B46" t="s">
        <v>20</v>
      </c>
      <c r="F46">
        <f t="shared" ca="1" si="0"/>
        <v>46</v>
      </c>
      <c r="G46">
        <f t="shared" ca="1" si="1"/>
        <v>2</v>
      </c>
    </row>
    <row r="47" spans="1:7" x14ac:dyDescent="0.2">
      <c r="A47" t="s">
        <v>63</v>
      </c>
      <c r="B47" t="s">
        <v>3</v>
      </c>
      <c r="F47">
        <f t="shared" ca="1" si="0"/>
        <v>46</v>
      </c>
      <c r="G47">
        <f t="shared" ca="1" si="1"/>
        <v>2</v>
      </c>
    </row>
    <row r="48" spans="1:7" x14ac:dyDescent="0.2">
      <c r="A48" t="s">
        <v>67</v>
      </c>
      <c r="B48" t="s">
        <v>14</v>
      </c>
      <c r="F48">
        <f t="shared" ca="1" si="0"/>
        <v>48</v>
      </c>
      <c r="G48">
        <f t="shared" ca="1" si="1"/>
        <v>3</v>
      </c>
    </row>
    <row r="49" spans="1:7" x14ac:dyDescent="0.2">
      <c r="A49" t="s">
        <v>67</v>
      </c>
      <c r="B49" t="s">
        <v>3</v>
      </c>
      <c r="F49">
        <f t="shared" ca="1" si="0"/>
        <v>48</v>
      </c>
      <c r="G49">
        <f t="shared" ca="1" si="1"/>
        <v>3</v>
      </c>
    </row>
    <row r="50" spans="1:7" x14ac:dyDescent="0.2">
      <c r="A50" t="s">
        <v>67</v>
      </c>
      <c r="B50" t="s">
        <v>6</v>
      </c>
      <c r="F50">
        <f t="shared" ca="1" si="0"/>
        <v>48</v>
      </c>
      <c r="G50">
        <f t="shared" ca="1" si="1"/>
        <v>3</v>
      </c>
    </row>
    <row r="51" spans="1:7" x14ac:dyDescent="0.2">
      <c r="A51" t="s">
        <v>68</v>
      </c>
      <c r="B51" t="s">
        <v>14</v>
      </c>
      <c r="F51">
        <f t="shared" ca="1" si="0"/>
        <v>51</v>
      </c>
      <c r="G51">
        <f t="shared" ca="1" si="1"/>
        <v>3</v>
      </c>
    </row>
    <row r="52" spans="1:7" x14ac:dyDescent="0.2">
      <c r="A52" t="s">
        <v>68</v>
      </c>
      <c r="B52" t="s">
        <v>3</v>
      </c>
      <c r="F52">
        <f t="shared" ca="1" si="0"/>
        <v>51</v>
      </c>
      <c r="G52">
        <f t="shared" ca="1" si="1"/>
        <v>3</v>
      </c>
    </row>
    <row r="53" spans="1:7" x14ac:dyDescent="0.2">
      <c r="A53" t="s">
        <v>68</v>
      </c>
      <c r="B53" t="s">
        <v>6</v>
      </c>
      <c r="F53">
        <f t="shared" ca="1" si="0"/>
        <v>51</v>
      </c>
      <c r="G53">
        <f t="shared" ca="1" si="1"/>
        <v>3</v>
      </c>
    </row>
    <row r="54" spans="1:7" x14ac:dyDescent="0.2">
      <c r="A54" t="s">
        <v>69</v>
      </c>
      <c r="B54" t="s">
        <v>70</v>
      </c>
      <c r="F54">
        <f t="shared" ca="1" si="0"/>
        <v>54</v>
      </c>
      <c r="G54">
        <f t="shared" ca="1" si="1"/>
        <v>1</v>
      </c>
    </row>
    <row r="55" spans="1:7" x14ac:dyDescent="0.2">
      <c r="A55" t="s">
        <v>71</v>
      </c>
      <c r="B55" t="s">
        <v>101</v>
      </c>
      <c r="F55">
        <f t="shared" ca="1" si="0"/>
        <v>55</v>
      </c>
      <c r="G55">
        <f t="shared" ca="1" si="1"/>
        <v>4</v>
      </c>
    </row>
    <row r="56" spans="1:7" x14ac:dyDescent="0.2">
      <c r="A56" t="s">
        <v>71</v>
      </c>
      <c r="B56" t="s">
        <v>14</v>
      </c>
      <c r="F56">
        <f t="shared" ca="1" si="0"/>
        <v>55</v>
      </c>
      <c r="G56">
        <f t="shared" ca="1" si="1"/>
        <v>4</v>
      </c>
    </row>
    <row r="57" spans="1:7" x14ac:dyDescent="0.2">
      <c r="A57" t="s">
        <v>71</v>
      </c>
      <c r="B57" t="s">
        <v>3</v>
      </c>
      <c r="F57">
        <f t="shared" ca="1" si="0"/>
        <v>55</v>
      </c>
      <c r="G57">
        <f t="shared" ca="1" si="1"/>
        <v>4</v>
      </c>
    </row>
    <row r="58" spans="1:7" x14ac:dyDescent="0.2">
      <c r="A58" t="s">
        <v>71</v>
      </c>
      <c r="B58" t="s">
        <v>6</v>
      </c>
      <c r="F58">
        <f t="shared" ca="1" si="0"/>
        <v>55</v>
      </c>
      <c r="G58">
        <f t="shared" ca="1" si="1"/>
        <v>4</v>
      </c>
    </row>
    <row r="59" spans="1:7" x14ac:dyDescent="0.2">
      <c r="A59" t="s">
        <v>78</v>
      </c>
      <c r="B59" t="s">
        <v>14</v>
      </c>
      <c r="F59">
        <f t="shared" ca="1" si="0"/>
        <v>59</v>
      </c>
      <c r="G59">
        <f t="shared" ca="1" si="1"/>
        <v>2</v>
      </c>
    </row>
    <row r="60" spans="1:7" x14ac:dyDescent="0.2">
      <c r="A60" t="s">
        <v>78</v>
      </c>
      <c r="B60" t="s">
        <v>3</v>
      </c>
      <c r="F60">
        <f t="shared" ca="1" si="0"/>
        <v>59</v>
      </c>
      <c r="G60">
        <f t="shared" ca="1" si="1"/>
        <v>2</v>
      </c>
    </row>
    <row r="61" spans="1:7" x14ac:dyDescent="0.2">
      <c r="A61" t="s">
        <v>79</v>
      </c>
      <c r="B61" t="s">
        <v>3</v>
      </c>
      <c r="F61">
        <f t="shared" ca="1" si="0"/>
        <v>61</v>
      </c>
      <c r="G61">
        <f t="shared" ca="1" si="1"/>
        <v>1</v>
      </c>
    </row>
    <row r="62" spans="1:7" x14ac:dyDescent="0.2">
      <c r="A62" t="s">
        <v>86</v>
      </c>
      <c r="B62" t="s">
        <v>20</v>
      </c>
      <c r="F62">
        <f t="shared" ca="1" si="0"/>
        <v>62</v>
      </c>
      <c r="G62">
        <f t="shared" ca="1" si="1"/>
        <v>3</v>
      </c>
    </row>
    <row r="63" spans="1:7" x14ac:dyDescent="0.2">
      <c r="A63" t="s">
        <v>86</v>
      </c>
      <c r="B63" t="s">
        <v>3</v>
      </c>
      <c r="F63">
        <f t="shared" ca="1" si="0"/>
        <v>62</v>
      </c>
      <c r="G63">
        <f t="shared" ca="1" si="1"/>
        <v>3</v>
      </c>
    </row>
    <row r="64" spans="1:7" x14ac:dyDescent="0.2">
      <c r="A64" t="s">
        <v>86</v>
      </c>
      <c r="B64" t="s">
        <v>87</v>
      </c>
      <c r="F64">
        <f t="shared" ca="1" si="0"/>
        <v>62</v>
      </c>
      <c r="G64">
        <f t="shared" ca="1" si="1"/>
        <v>3</v>
      </c>
    </row>
    <row r="65" spans="1:7" x14ac:dyDescent="0.2">
      <c r="A65" t="s">
        <v>89</v>
      </c>
      <c r="B65" t="s">
        <v>3</v>
      </c>
      <c r="F65">
        <f t="shared" ca="1" si="0"/>
        <v>65</v>
      </c>
      <c r="G65">
        <f t="shared" ca="1" si="1"/>
        <v>2</v>
      </c>
    </row>
    <row r="66" spans="1:7" x14ac:dyDescent="0.2">
      <c r="A66" t="s">
        <v>89</v>
      </c>
      <c r="B66" t="s">
        <v>6</v>
      </c>
      <c r="F66">
        <f t="shared" ref="F66:F129" ca="1" si="2">IFERROR(MATCH(OFFSET($A$1,ROW()-1,0,1,1),A:A,0),"")</f>
        <v>65</v>
      </c>
      <c r="G66">
        <f t="shared" ref="G66:G129" ca="1" si="3">COUNTIF(A:A,OFFSET($A$1,ROW()-1,0))</f>
        <v>2</v>
      </c>
    </row>
    <row r="67" spans="1:7" x14ac:dyDescent="0.2">
      <c r="A67" t="s">
        <v>91</v>
      </c>
      <c r="B67" t="s">
        <v>3</v>
      </c>
      <c r="F67">
        <f t="shared" ca="1" si="2"/>
        <v>67</v>
      </c>
      <c r="G67">
        <f t="shared" ca="1" si="3"/>
        <v>2</v>
      </c>
    </row>
    <row r="68" spans="1:7" x14ac:dyDescent="0.2">
      <c r="A68" t="s">
        <v>91</v>
      </c>
      <c r="B68" t="s">
        <v>6</v>
      </c>
      <c r="F68">
        <f t="shared" ca="1" si="2"/>
        <v>67</v>
      </c>
      <c r="G68">
        <f t="shared" ca="1" si="3"/>
        <v>2</v>
      </c>
    </row>
    <row r="69" spans="1:7" x14ac:dyDescent="0.2">
      <c r="A69" t="s">
        <v>92</v>
      </c>
      <c r="B69" t="s">
        <v>101</v>
      </c>
      <c r="F69">
        <f t="shared" ca="1" si="2"/>
        <v>69</v>
      </c>
      <c r="G69">
        <f t="shared" ca="1" si="3"/>
        <v>3</v>
      </c>
    </row>
    <row r="70" spans="1:7" x14ac:dyDescent="0.2">
      <c r="A70" t="s">
        <v>92</v>
      </c>
      <c r="B70" t="s">
        <v>14</v>
      </c>
      <c r="F70">
        <f t="shared" ca="1" si="2"/>
        <v>69</v>
      </c>
      <c r="G70">
        <f t="shared" ca="1" si="3"/>
        <v>3</v>
      </c>
    </row>
    <row r="71" spans="1:7" x14ac:dyDescent="0.2">
      <c r="A71" t="s">
        <v>92</v>
      </c>
      <c r="B71" t="s">
        <v>3</v>
      </c>
      <c r="F71">
        <f t="shared" ca="1" si="2"/>
        <v>69</v>
      </c>
      <c r="G71">
        <f t="shared" ca="1" si="3"/>
        <v>3</v>
      </c>
    </row>
    <row r="72" spans="1:7" x14ac:dyDescent="0.2">
      <c r="A72" t="s">
        <v>93</v>
      </c>
      <c r="B72" t="s">
        <v>20</v>
      </c>
      <c r="F72">
        <f t="shared" ca="1" si="2"/>
        <v>72</v>
      </c>
      <c r="G72">
        <f t="shared" ca="1" si="3"/>
        <v>1</v>
      </c>
    </row>
    <row r="73" spans="1:7" x14ac:dyDescent="0.2">
      <c r="A73" t="s">
        <v>95</v>
      </c>
      <c r="B73" t="s">
        <v>14</v>
      </c>
      <c r="F73">
        <f t="shared" ca="1" si="2"/>
        <v>73</v>
      </c>
      <c r="G73">
        <f t="shared" ca="1" si="3"/>
        <v>2</v>
      </c>
    </row>
    <row r="74" spans="1:7" x14ac:dyDescent="0.2">
      <c r="A74" t="s">
        <v>95</v>
      </c>
      <c r="B74" t="s">
        <v>3</v>
      </c>
      <c r="F74">
        <f t="shared" ca="1" si="2"/>
        <v>73</v>
      </c>
      <c r="G74">
        <f t="shared" ca="1" si="3"/>
        <v>2</v>
      </c>
    </row>
    <row r="75" spans="1:7" x14ac:dyDescent="0.2">
      <c r="A75" t="s">
        <v>96</v>
      </c>
      <c r="B75" t="s">
        <v>3</v>
      </c>
      <c r="F75">
        <f t="shared" ca="1" si="2"/>
        <v>75</v>
      </c>
      <c r="G75">
        <f t="shared" ca="1" si="3"/>
        <v>2</v>
      </c>
    </row>
    <row r="76" spans="1:7" x14ac:dyDescent="0.2">
      <c r="A76" t="s">
        <v>96</v>
      </c>
      <c r="B76" t="s">
        <v>6</v>
      </c>
      <c r="F76">
        <f t="shared" ca="1" si="2"/>
        <v>75</v>
      </c>
      <c r="G76">
        <f t="shared" ca="1" si="3"/>
        <v>2</v>
      </c>
    </row>
    <row r="77" spans="1:7" x14ac:dyDescent="0.2">
      <c r="A77" t="s">
        <v>97</v>
      </c>
      <c r="B77" t="s">
        <v>3</v>
      </c>
      <c r="F77">
        <f t="shared" ca="1" si="2"/>
        <v>77</v>
      </c>
      <c r="G77">
        <f t="shared" ca="1" si="3"/>
        <v>1</v>
      </c>
    </row>
    <row r="78" spans="1:7" x14ac:dyDescent="0.2">
      <c r="A78" t="s">
        <v>98</v>
      </c>
      <c r="B78" t="s">
        <v>14</v>
      </c>
      <c r="F78">
        <f t="shared" ca="1" si="2"/>
        <v>78</v>
      </c>
      <c r="G78">
        <f t="shared" ca="1" si="3"/>
        <v>2</v>
      </c>
    </row>
    <row r="79" spans="1:7" x14ac:dyDescent="0.2">
      <c r="A79" t="s">
        <v>98</v>
      </c>
      <c r="B79" t="s">
        <v>3</v>
      </c>
      <c r="F79">
        <f t="shared" ca="1" si="2"/>
        <v>78</v>
      </c>
      <c r="G79">
        <f t="shared" ca="1" si="3"/>
        <v>2</v>
      </c>
    </row>
    <row r="80" spans="1:7" x14ac:dyDescent="0.2">
      <c r="A80" t="s">
        <v>100</v>
      </c>
      <c r="B80" t="s">
        <v>3</v>
      </c>
      <c r="F80">
        <f t="shared" ca="1" si="2"/>
        <v>80</v>
      </c>
      <c r="G80">
        <f t="shared" ca="1" si="3"/>
        <v>1</v>
      </c>
    </row>
    <row r="81" spans="1:7" x14ac:dyDescent="0.2">
      <c r="A81" t="s">
        <v>105</v>
      </c>
      <c r="B81" t="s">
        <v>14</v>
      </c>
      <c r="F81">
        <f t="shared" ca="1" si="2"/>
        <v>81</v>
      </c>
      <c r="G81">
        <f t="shared" ca="1" si="3"/>
        <v>2</v>
      </c>
    </row>
    <row r="82" spans="1:7" x14ac:dyDescent="0.2">
      <c r="A82" t="s">
        <v>105</v>
      </c>
      <c r="B82" t="s">
        <v>3</v>
      </c>
      <c r="F82">
        <f t="shared" ca="1" si="2"/>
        <v>81</v>
      </c>
      <c r="G82">
        <f t="shared" ca="1" si="3"/>
        <v>2</v>
      </c>
    </row>
    <row r="83" spans="1:7" x14ac:dyDescent="0.2">
      <c r="A83" t="s">
        <v>115</v>
      </c>
      <c r="B83" t="s">
        <v>3</v>
      </c>
      <c r="F83">
        <f t="shared" ca="1" si="2"/>
        <v>83</v>
      </c>
      <c r="G83">
        <f t="shared" ca="1" si="3"/>
        <v>2</v>
      </c>
    </row>
    <row r="84" spans="1:7" x14ac:dyDescent="0.2">
      <c r="A84" t="s">
        <v>115</v>
      </c>
      <c r="B84" t="s">
        <v>6</v>
      </c>
      <c r="F84">
        <f t="shared" ca="1" si="2"/>
        <v>83</v>
      </c>
      <c r="G84">
        <f t="shared" ca="1" si="3"/>
        <v>2</v>
      </c>
    </row>
    <row r="85" spans="1:7" x14ac:dyDescent="0.2">
      <c r="A85" t="s">
        <v>116</v>
      </c>
      <c r="B85" t="s">
        <v>3</v>
      </c>
      <c r="F85">
        <f t="shared" ca="1" si="2"/>
        <v>85</v>
      </c>
      <c r="G85">
        <f t="shared" ca="1" si="3"/>
        <v>1</v>
      </c>
    </row>
    <row r="86" spans="1:7" x14ac:dyDescent="0.2">
      <c r="A86" t="s">
        <v>117</v>
      </c>
      <c r="B86" t="s">
        <v>20</v>
      </c>
      <c r="F86">
        <f t="shared" ca="1" si="2"/>
        <v>86</v>
      </c>
      <c r="G86">
        <f t="shared" ca="1" si="3"/>
        <v>1</v>
      </c>
    </row>
    <row r="87" spans="1:7" x14ac:dyDescent="0.2">
      <c r="A87" t="s">
        <v>119</v>
      </c>
      <c r="B87" t="s">
        <v>20</v>
      </c>
      <c r="F87">
        <f t="shared" ca="1" si="2"/>
        <v>87</v>
      </c>
      <c r="G87">
        <f t="shared" ca="1" si="3"/>
        <v>2</v>
      </c>
    </row>
    <row r="88" spans="1:7" x14ac:dyDescent="0.2">
      <c r="A88" t="s">
        <v>119</v>
      </c>
      <c r="B88" t="s">
        <v>120</v>
      </c>
      <c r="F88">
        <f t="shared" ca="1" si="2"/>
        <v>87</v>
      </c>
      <c r="G88">
        <f t="shared" ca="1" si="3"/>
        <v>2</v>
      </c>
    </row>
    <row r="89" spans="1:7" x14ac:dyDescent="0.2">
      <c r="A89" t="s">
        <v>122</v>
      </c>
      <c r="B89" t="s">
        <v>3</v>
      </c>
      <c r="F89">
        <f t="shared" ca="1" si="2"/>
        <v>89</v>
      </c>
      <c r="G89">
        <f t="shared" ca="1" si="3"/>
        <v>3</v>
      </c>
    </row>
    <row r="90" spans="1:7" x14ac:dyDescent="0.2">
      <c r="A90" t="s">
        <v>122</v>
      </c>
      <c r="B90" t="s">
        <v>123</v>
      </c>
      <c r="F90">
        <f t="shared" ca="1" si="2"/>
        <v>89</v>
      </c>
      <c r="G90">
        <f t="shared" ca="1" si="3"/>
        <v>3</v>
      </c>
    </row>
    <row r="91" spans="1:7" x14ac:dyDescent="0.2">
      <c r="A91" t="s">
        <v>122</v>
      </c>
      <c r="B91" t="s">
        <v>124</v>
      </c>
      <c r="F91">
        <f t="shared" ca="1" si="2"/>
        <v>89</v>
      </c>
      <c r="G91">
        <f t="shared" ca="1" si="3"/>
        <v>3</v>
      </c>
    </row>
    <row r="92" spans="1:7" x14ac:dyDescent="0.2">
      <c r="A92" t="s">
        <v>125</v>
      </c>
      <c r="B92" t="s">
        <v>14</v>
      </c>
      <c r="F92">
        <f t="shared" ca="1" si="2"/>
        <v>92</v>
      </c>
      <c r="G92">
        <f t="shared" ca="1" si="3"/>
        <v>3</v>
      </c>
    </row>
    <row r="93" spans="1:7" x14ac:dyDescent="0.2">
      <c r="A93" t="s">
        <v>125</v>
      </c>
      <c r="B93" t="s">
        <v>3</v>
      </c>
      <c r="F93">
        <f t="shared" ca="1" si="2"/>
        <v>92</v>
      </c>
      <c r="G93">
        <f t="shared" ca="1" si="3"/>
        <v>3</v>
      </c>
    </row>
    <row r="94" spans="1:7" x14ac:dyDescent="0.2">
      <c r="A94" t="s">
        <v>125</v>
      </c>
      <c r="B94" t="s">
        <v>6</v>
      </c>
      <c r="F94">
        <f t="shared" ca="1" si="2"/>
        <v>92</v>
      </c>
      <c r="G94">
        <f t="shared" ca="1" si="3"/>
        <v>3</v>
      </c>
    </row>
    <row r="95" spans="1:7" x14ac:dyDescent="0.2">
      <c r="A95" t="s">
        <v>129</v>
      </c>
      <c r="B95" t="s">
        <v>3</v>
      </c>
      <c r="F95">
        <f t="shared" ca="1" si="2"/>
        <v>95</v>
      </c>
      <c r="G95">
        <f t="shared" ca="1" si="3"/>
        <v>1</v>
      </c>
    </row>
    <row r="96" spans="1:7" x14ac:dyDescent="0.2">
      <c r="A96" t="s">
        <v>130</v>
      </c>
      <c r="B96" t="s">
        <v>3</v>
      </c>
      <c r="F96">
        <f t="shared" ca="1" si="2"/>
        <v>96</v>
      </c>
      <c r="G96">
        <f t="shared" ca="1" si="3"/>
        <v>2</v>
      </c>
    </row>
    <row r="97" spans="1:7" x14ac:dyDescent="0.2">
      <c r="A97" t="s">
        <v>130</v>
      </c>
      <c r="B97" t="s">
        <v>6</v>
      </c>
      <c r="F97">
        <f t="shared" ca="1" si="2"/>
        <v>96</v>
      </c>
      <c r="G97">
        <f t="shared" ca="1" si="3"/>
        <v>2</v>
      </c>
    </row>
    <row r="98" spans="1:7" x14ac:dyDescent="0.2">
      <c r="A98" t="s">
        <v>131</v>
      </c>
      <c r="B98" t="s">
        <v>101</v>
      </c>
      <c r="F98">
        <f t="shared" ca="1" si="2"/>
        <v>98</v>
      </c>
      <c r="G98">
        <f t="shared" ca="1" si="3"/>
        <v>4</v>
      </c>
    </row>
    <row r="99" spans="1:7" x14ac:dyDescent="0.2">
      <c r="A99" t="s">
        <v>131</v>
      </c>
      <c r="B99" t="s">
        <v>14</v>
      </c>
      <c r="F99">
        <f t="shared" ca="1" si="2"/>
        <v>98</v>
      </c>
      <c r="G99">
        <f t="shared" ca="1" si="3"/>
        <v>4</v>
      </c>
    </row>
    <row r="100" spans="1:7" x14ac:dyDescent="0.2">
      <c r="A100" t="s">
        <v>131</v>
      </c>
      <c r="B100" t="s">
        <v>3</v>
      </c>
      <c r="F100">
        <f t="shared" ca="1" si="2"/>
        <v>98</v>
      </c>
      <c r="G100">
        <f t="shared" ca="1" si="3"/>
        <v>4</v>
      </c>
    </row>
    <row r="101" spans="1:7" x14ac:dyDescent="0.2">
      <c r="A101" t="s">
        <v>131</v>
      </c>
      <c r="B101" t="s">
        <v>6</v>
      </c>
      <c r="F101">
        <f t="shared" ca="1" si="2"/>
        <v>98</v>
      </c>
      <c r="G101">
        <f t="shared" ca="1" si="3"/>
        <v>4</v>
      </c>
    </row>
    <row r="102" spans="1:7" x14ac:dyDescent="0.2">
      <c r="A102" t="s">
        <v>134</v>
      </c>
      <c r="B102" t="s">
        <v>3</v>
      </c>
      <c r="F102">
        <f t="shared" ca="1" si="2"/>
        <v>102</v>
      </c>
      <c r="G102">
        <f t="shared" ca="1" si="3"/>
        <v>2</v>
      </c>
    </row>
    <row r="103" spans="1:7" x14ac:dyDescent="0.2">
      <c r="A103" t="s">
        <v>134</v>
      </c>
      <c r="B103" t="s">
        <v>6</v>
      </c>
      <c r="F103">
        <f t="shared" ca="1" si="2"/>
        <v>102</v>
      </c>
      <c r="G103">
        <f t="shared" ca="1" si="3"/>
        <v>2</v>
      </c>
    </row>
    <row r="104" spans="1:7" x14ac:dyDescent="0.2">
      <c r="A104" t="s">
        <v>135</v>
      </c>
      <c r="B104" t="s">
        <v>20</v>
      </c>
      <c r="F104">
        <f t="shared" ca="1" si="2"/>
        <v>104</v>
      </c>
      <c r="G104">
        <f t="shared" ca="1" si="3"/>
        <v>1</v>
      </c>
    </row>
    <row r="105" spans="1:7" x14ac:dyDescent="0.2">
      <c r="A105" t="s">
        <v>147</v>
      </c>
      <c r="B105" t="s">
        <v>26</v>
      </c>
      <c r="F105">
        <f t="shared" ca="1" si="2"/>
        <v>105</v>
      </c>
      <c r="G105">
        <f t="shared" ca="1" si="3"/>
        <v>2</v>
      </c>
    </row>
    <row r="106" spans="1:7" x14ac:dyDescent="0.2">
      <c r="A106" t="s">
        <v>147</v>
      </c>
      <c r="B106" t="s">
        <v>3</v>
      </c>
      <c r="F106">
        <f t="shared" ca="1" si="2"/>
        <v>105</v>
      </c>
      <c r="G106">
        <f t="shared" ca="1" si="3"/>
        <v>2</v>
      </c>
    </row>
    <row r="107" spans="1:7" x14ac:dyDescent="0.2">
      <c r="A107" t="s">
        <v>149</v>
      </c>
      <c r="B107" t="s">
        <v>3</v>
      </c>
      <c r="F107">
        <f t="shared" ca="1" si="2"/>
        <v>107</v>
      </c>
      <c r="G107">
        <f t="shared" ca="1" si="3"/>
        <v>1</v>
      </c>
    </row>
    <row r="108" spans="1:7" x14ac:dyDescent="0.2">
      <c r="A108" t="s">
        <v>150</v>
      </c>
      <c r="B108" t="s">
        <v>32</v>
      </c>
      <c r="F108">
        <f t="shared" ca="1" si="2"/>
        <v>108</v>
      </c>
      <c r="G108">
        <f t="shared" ca="1" si="3"/>
        <v>4</v>
      </c>
    </row>
    <row r="109" spans="1:7" x14ac:dyDescent="0.2">
      <c r="A109" t="s">
        <v>150</v>
      </c>
      <c r="B109" t="s">
        <v>33</v>
      </c>
      <c r="F109">
        <f t="shared" ca="1" si="2"/>
        <v>108</v>
      </c>
      <c r="G109">
        <f t="shared" ca="1" si="3"/>
        <v>4</v>
      </c>
    </row>
    <row r="110" spans="1:7" x14ac:dyDescent="0.2">
      <c r="A110" t="s">
        <v>150</v>
      </c>
      <c r="B110" t="s">
        <v>227</v>
      </c>
      <c r="F110">
        <f t="shared" ca="1" si="2"/>
        <v>108</v>
      </c>
      <c r="G110">
        <f t="shared" ca="1" si="3"/>
        <v>4</v>
      </c>
    </row>
    <row r="111" spans="1:7" x14ac:dyDescent="0.2">
      <c r="A111" t="s">
        <v>150</v>
      </c>
      <c r="B111" t="s">
        <v>20</v>
      </c>
      <c r="F111">
        <f t="shared" ca="1" si="2"/>
        <v>108</v>
      </c>
      <c r="G111">
        <f t="shared" ca="1" si="3"/>
        <v>4</v>
      </c>
    </row>
    <row r="112" spans="1:7" x14ac:dyDescent="0.2">
      <c r="A112" t="s">
        <v>158</v>
      </c>
      <c r="B112" t="s">
        <v>3</v>
      </c>
      <c r="F112">
        <f t="shared" ca="1" si="2"/>
        <v>112</v>
      </c>
      <c r="G112">
        <f t="shared" ca="1" si="3"/>
        <v>2</v>
      </c>
    </row>
    <row r="113" spans="1:7" x14ac:dyDescent="0.2">
      <c r="A113" t="s">
        <v>158</v>
      </c>
      <c r="B113" t="s">
        <v>159</v>
      </c>
      <c r="F113">
        <f t="shared" ca="1" si="2"/>
        <v>112</v>
      </c>
      <c r="G113">
        <f t="shared" ca="1" si="3"/>
        <v>2</v>
      </c>
    </row>
    <row r="114" spans="1:7" x14ac:dyDescent="0.2">
      <c r="A114" t="s">
        <v>160</v>
      </c>
      <c r="B114" t="s">
        <v>3</v>
      </c>
      <c r="F114">
        <f t="shared" ca="1" si="2"/>
        <v>114</v>
      </c>
      <c r="G114">
        <f t="shared" ca="1" si="3"/>
        <v>1</v>
      </c>
    </row>
    <row r="115" spans="1:7" x14ac:dyDescent="0.2">
      <c r="A115" t="s">
        <v>161</v>
      </c>
      <c r="B115" t="s">
        <v>3</v>
      </c>
      <c r="F115">
        <f t="shared" ca="1" si="2"/>
        <v>115</v>
      </c>
      <c r="G115">
        <f t="shared" ca="1" si="3"/>
        <v>1</v>
      </c>
    </row>
    <row r="116" spans="1:7" x14ac:dyDescent="0.2">
      <c r="A116" t="s">
        <v>162</v>
      </c>
      <c r="B116" t="s">
        <v>3</v>
      </c>
      <c r="F116">
        <f t="shared" ca="1" si="2"/>
        <v>116</v>
      </c>
      <c r="G116">
        <f t="shared" ca="1" si="3"/>
        <v>1</v>
      </c>
    </row>
    <row r="117" spans="1:7" x14ac:dyDescent="0.2">
      <c r="A117" t="s">
        <v>163</v>
      </c>
      <c r="B117" t="s">
        <v>14</v>
      </c>
      <c r="F117">
        <f t="shared" ca="1" si="2"/>
        <v>117</v>
      </c>
      <c r="G117">
        <f t="shared" ca="1" si="3"/>
        <v>2</v>
      </c>
    </row>
    <row r="118" spans="1:7" x14ac:dyDescent="0.2">
      <c r="A118" t="s">
        <v>163</v>
      </c>
      <c r="B118" t="s">
        <v>3</v>
      </c>
      <c r="F118">
        <f t="shared" ca="1" si="2"/>
        <v>117</v>
      </c>
      <c r="G118">
        <f t="shared" ca="1" si="3"/>
        <v>2</v>
      </c>
    </row>
    <row r="119" spans="1:7" x14ac:dyDescent="0.2">
      <c r="A119" t="s">
        <v>164</v>
      </c>
      <c r="B119" t="s">
        <v>20</v>
      </c>
      <c r="F119">
        <f t="shared" ca="1" si="2"/>
        <v>119</v>
      </c>
      <c r="G119">
        <f t="shared" ca="1" si="3"/>
        <v>3</v>
      </c>
    </row>
    <row r="120" spans="1:7" x14ac:dyDescent="0.2">
      <c r="A120" t="s">
        <v>164</v>
      </c>
      <c r="B120" t="s">
        <v>3</v>
      </c>
      <c r="F120">
        <f t="shared" ca="1" si="2"/>
        <v>119</v>
      </c>
      <c r="G120">
        <f t="shared" ca="1" si="3"/>
        <v>3</v>
      </c>
    </row>
    <row r="121" spans="1:7" x14ac:dyDescent="0.2">
      <c r="A121" t="s">
        <v>164</v>
      </c>
      <c r="B121" t="s">
        <v>165</v>
      </c>
      <c r="F121">
        <f t="shared" ca="1" si="2"/>
        <v>119</v>
      </c>
      <c r="G121">
        <f t="shared" ca="1" si="3"/>
        <v>3</v>
      </c>
    </row>
    <row r="122" spans="1:7" x14ac:dyDescent="0.2">
      <c r="A122" t="s">
        <v>1147</v>
      </c>
      <c r="B122" t="s">
        <v>3</v>
      </c>
      <c r="F122">
        <f t="shared" ca="1" si="2"/>
        <v>122</v>
      </c>
      <c r="G122">
        <f t="shared" ca="1" si="3"/>
        <v>1</v>
      </c>
    </row>
    <row r="123" spans="1:7" x14ac:dyDescent="0.2">
      <c r="A123" t="s">
        <v>169</v>
      </c>
      <c r="B123" t="s">
        <v>3</v>
      </c>
      <c r="F123">
        <f t="shared" ca="1" si="2"/>
        <v>123</v>
      </c>
      <c r="G123">
        <f t="shared" ca="1" si="3"/>
        <v>1</v>
      </c>
    </row>
    <row r="124" spans="1:7" x14ac:dyDescent="0.2">
      <c r="A124" t="s">
        <v>170</v>
      </c>
      <c r="B124" t="s">
        <v>20</v>
      </c>
      <c r="F124">
        <f t="shared" ca="1" si="2"/>
        <v>124</v>
      </c>
      <c r="G124">
        <f t="shared" ca="1" si="3"/>
        <v>3</v>
      </c>
    </row>
    <row r="125" spans="1:7" x14ac:dyDescent="0.2">
      <c r="A125" t="s">
        <v>170</v>
      </c>
      <c r="B125" t="s">
        <v>3</v>
      </c>
      <c r="F125">
        <f t="shared" ca="1" si="2"/>
        <v>124</v>
      </c>
      <c r="G125">
        <f t="shared" ca="1" si="3"/>
        <v>3</v>
      </c>
    </row>
    <row r="126" spans="1:7" x14ac:dyDescent="0.2">
      <c r="A126" t="s">
        <v>170</v>
      </c>
      <c r="B126" t="s">
        <v>6</v>
      </c>
      <c r="F126">
        <f t="shared" ca="1" si="2"/>
        <v>124</v>
      </c>
      <c r="G126">
        <f t="shared" ca="1" si="3"/>
        <v>3</v>
      </c>
    </row>
    <row r="127" spans="1:7" x14ac:dyDescent="0.2">
      <c r="A127" t="s">
        <v>173</v>
      </c>
      <c r="B127" t="s">
        <v>3</v>
      </c>
      <c r="F127">
        <f t="shared" ca="1" si="2"/>
        <v>127</v>
      </c>
      <c r="G127">
        <f t="shared" ca="1" si="3"/>
        <v>1</v>
      </c>
    </row>
    <row r="128" spans="1:7" x14ac:dyDescent="0.2">
      <c r="A128" t="s">
        <v>175</v>
      </c>
      <c r="B128" t="s">
        <v>3</v>
      </c>
      <c r="F128">
        <f t="shared" ca="1" si="2"/>
        <v>128</v>
      </c>
      <c r="G128">
        <f t="shared" ca="1" si="3"/>
        <v>2</v>
      </c>
    </row>
    <row r="129" spans="1:7" x14ac:dyDescent="0.2">
      <c r="A129" t="s">
        <v>175</v>
      </c>
      <c r="B129" t="s">
        <v>6</v>
      </c>
      <c r="F129">
        <f t="shared" ca="1" si="2"/>
        <v>128</v>
      </c>
      <c r="G129">
        <f t="shared" ca="1" si="3"/>
        <v>2</v>
      </c>
    </row>
    <row r="130" spans="1:7" x14ac:dyDescent="0.2">
      <c r="A130" t="s">
        <v>176</v>
      </c>
      <c r="B130" t="s">
        <v>177</v>
      </c>
      <c r="F130">
        <f t="shared" ref="F130:F193" ca="1" si="4">IFERROR(MATCH(OFFSET($A$1,ROW()-1,0,1,1),A:A,0),"")</f>
        <v>130</v>
      </c>
      <c r="G130">
        <f t="shared" ref="G130:G193" ca="1" si="5">COUNTIF(A:A,OFFSET($A$1,ROW()-1,0))</f>
        <v>2</v>
      </c>
    </row>
    <row r="131" spans="1:7" x14ac:dyDescent="0.2">
      <c r="A131" t="s">
        <v>176</v>
      </c>
      <c r="B131" t="s">
        <v>3</v>
      </c>
      <c r="F131">
        <f t="shared" ca="1" si="4"/>
        <v>130</v>
      </c>
      <c r="G131">
        <f t="shared" ca="1" si="5"/>
        <v>2</v>
      </c>
    </row>
    <row r="132" spans="1:7" x14ac:dyDescent="0.2">
      <c r="A132" t="s">
        <v>178</v>
      </c>
      <c r="B132" t="s">
        <v>3</v>
      </c>
      <c r="F132">
        <f t="shared" ca="1" si="4"/>
        <v>132</v>
      </c>
      <c r="G132">
        <f t="shared" ca="1" si="5"/>
        <v>2</v>
      </c>
    </row>
    <row r="133" spans="1:7" x14ac:dyDescent="0.2">
      <c r="A133" t="s">
        <v>178</v>
      </c>
      <c r="B133" t="s">
        <v>6</v>
      </c>
      <c r="F133">
        <f t="shared" ca="1" si="4"/>
        <v>132</v>
      </c>
      <c r="G133">
        <f t="shared" ca="1" si="5"/>
        <v>2</v>
      </c>
    </row>
    <row r="134" spans="1:7" x14ac:dyDescent="0.2">
      <c r="A134" t="s">
        <v>180</v>
      </c>
      <c r="B134" t="s">
        <v>14</v>
      </c>
      <c r="F134">
        <f t="shared" ca="1" si="4"/>
        <v>134</v>
      </c>
      <c r="G134">
        <f t="shared" ca="1" si="5"/>
        <v>3</v>
      </c>
    </row>
    <row r="135" spans="1:7" x14ac:dyDescent="0.2">
      <c r="A135" t="s">
        <v>180</v>
      </c>
      <c r="B135" t="s">
        <v>3</v>
      </c>
      <c r="F135">
        <f t="shared" ca="1" si="4"/>
        <v>134</v>
      </c>
      <c r="G135">
        <f t="shared" ca="1" si="5"/>
        <v>3</v>
      </c>
    </row>
    <row r="136" spans="1:7" x14ac:dyDescent="0.2">
      <c r="A136" t="s">
        <v>180</v>
      </c>
      <c r="B136" t="s">
        <v>6</v>
      </c>
      <c r="F136">
        <f t="shared" ca="1" si="4"/>
        <v>134</v>
      </c>
      <c r="G136">
        <f t="shared" ca="1" si="5"/>
        <v>3</v>
      </c>
    </row>
    <row r="137" spans="1:7" x14ac:dyDescent="0.2">
      <c r="A137" t="s">
        <v>183</v>
      </c>
      <c r="B137" t="s">
        <v>3</v>
      </c>
      <c r="F137">
        <f t="shared" ca="1" si="4"/>
        <v>137</v>
      </c>
      <c r="G137">
        <f t="shared" ca="1" si="5"/>
        <v>1</v>
      </c>
    </row>
    <row r="138" spans="1:7" x14ac:dyDescent="0.2">
      <c r="A138" t="s">
        <v>186</v>
      </c>
      <c r="B138" t="s">
        <v>3</v>
      </c>
      <c r="F138">
        <f t="shared" ca="1" si="4"/>
        <v>138</v>
      </c>
      <c r="G138">
        <f t="shared" ca="1" si="5"/>
        <v>1</v>
      </c>
    </row>
    <row r="139" spans="1:7" x14ac:dyDescent="0.2">
      <c r="A139" t="s">
        <v>187</v>
      </c>
      <c r="B139" t="s">
        <v>14</v>
      </c>
      <c r="F139">
        <f t="shared" ca="1" si="4"/>
        <v>139</v>
      </c>
      <c r="G139">
        <f t="shared" ca="1" si="5"/>
        <v>1</v>
      </c>
    </row>
    <row r="140" spans="1:7" x14ac:dyDescent="0.2">
      <c r="A140" t="s">
        <v>188</v>
      </c>
      <c r="B140" t="s">
        <v>101</v>
      </c>
      <c r="F140">
        <f t="shared" ca="1" si="4"/>
        <v>140</v>
      </c>
      <c r="G140">
        <f t="shared" ca="1" si="5"/>
        <v>3</v>
      </c>
    </row>
    <row r="141" spans="1:7" x14ac:dyDescent="0.2">
      <c r="A141" t="s">
        <v>188</v>
      </c>
      <c r="B141" t="s">
        <v>14</v>
      </c>
      <c r="F141">
        <f t="shared" ca="1" si="4"/>
        <v>140</v>
      </c>
      <c r="G141">
        <f t="shared" ca="1" si="5"/>
        <v>3</v>
      </c>
    </row>
    <row r="142" spans="1:7" x14ac:dyDescent="0.2">
      <c r="A142" t="s">
        <v>188</v>
      </c>
      <c r="B142" t="s">
        <v>3</v>
      </c>
      <c r="F142">
        <f t="shared" ca="1" si="4"/>
        <v>140</v>
      </c>
      <c r="G142">
        <f t="shared" ca="1" si="5"/>
        <v>3</v>
      </c>
    </row>
    <row r="143" spans="1:7" x14ac:dyDescent="0.2">
      <c r="A143" t="s">
        <v>222</v>
      </c>
      <c r="B143" t="s">
        <v>223</v>
      </c>
      <c r="F143">
        <f t="shared" ca="1" si="4"/>
        <v>143</v>
      </c>
      <c r="G143">
        <f t="shared" ca="1" si="5"/>
        <v>4</v>
      </c>
    </row>
    <row r="144" spans="1:7" x14ac:dyDescent="0.2">
      <c r="A144" t="s">
        <v>222</v>
      </c>
      <c r="B144" t="s">
        <v>14</v>
      </c>
      <c r="F144">
        <f t="shared" ca="1" si="4"/>
        <v>143</v>
      </c>
      <c r="G144">
        <f t="shared" ca="1" si="5"/>
        <v>4</v>
      </c>
    </row>
    <row r="145" spans="1:7" x14ac:dyDescent="0.2">
      <c r="A145" t="s">
        <v>222</v>
      </c>
      <c r="B145" t="s">
        <v>3</v>
      </c>
      <c r="F145">
        <f t="shared" ca="1" si="4"/>
        <v>143</v>
      </c>
      <c r="G145">
        <f t="shared" ca="1" si="5"/>
        <v>4</v>
      </c>
    </row>
    <row r="146" spans="1:7" x14ac:dyDescent="0.2">
      <c r="A146" t="s">
        <v>222</v>
      </c>
      <c r="B146" t="s">
        <v>6</v>
      </c>
      <c r="F146">
        <f t="shared" ca="1" si="4"/>
        <v>143</v>
      </c>
      <c r="G146">
        <f t="shared" ca="1" si="5"/>
        <v>4</v>
      </c>
    </row>
    <row r="147" spans="1:7" x14ac:dyDescent="0.2">
      <c r="A147" t="s">
        <v>225</v>
      </c>
      <c r="B147" t="s">
        <v>3</v>
      </c>
      <c r="F147">
        <f t="shared" ca="1" si="4"/>
        <v>147</v>
      </c>
      <c r="G147">
        <f t="shared" ca="1" si="5"/>
        <v>1</v>
      </c>
    </row>
    <row r="148" spans="1:7" x14ac:dyDescent="0.2">
      <c r="A148" t="s">
        <v>226</v>
      </c>
      <c r="B148" t="s">
        <v>227</v>
      </c>
      <c r="F148">
        <f t="shared" ca="1" si="4"/>
        <v>148</v>
      </c>
      <c r="G148">
        <f t="shared" ca="1" si="5"/>
        <v>5</v>
      </c>
    </row>
    <row r="149" spans="1:7" x14ac:dyDescent="0.2">
      <c r="A149" t="s">
        <v>226</v>
      </c>
      <c r="B149" t="s">
        <v>20</v>
      </c>
      <c r="F149">
        <f t="shared" ca="1" si="4"/>
        <v>148</v>
      </c>
      <c r="G149">
        <f t="shared" ca="1" si="5"/>
        <v>5</v>
      </c>
    </row>
    <row r="150" spans="1:7" x14ac:dyDescent="0.2">
      <c r="A150" t="s">
        <v>226</v>
      </c>
      <c r="B150" t="s">
        <v>228</v>
      </c>
      <c r="F150">
        <f t="shared" ca="1" si="4"/>
        <v>148</v>
      </c>
      <c r="G150">
        <f t="shared" ca="1" si="5"/>
        <v>5</v>
      </c>
    </row>
    <row r="151" spans="1:7" x14ac:dyDescent="0.2">
      <c r="A151" t="s">
        <v>226</v>
      </c>
      <c r="B151" t="s">
        <v>3</v>
      </c>
      <c r="F151">
        <f t="shared" ca="1" si="4"/>
        <v>148</v>
      </c>
      <c r="G151">
        <f t="shared" ca="1" si="5"/>
        <v>5</v>
      </c>
    </row>
    <row r="152" spans="1:7" x14ac:dyDescent="0.2">
      <c r="A152" t="s">
        <v>226</v>
      </c>
      <c r="B152" t="s">
        <v>34</v>
      </c>
      <c r="F152">
        <f t="shared" ca="1" si="4"/>
        <v>148</v>
      </c>
      <c r="G152">
        <f t="shared" ca="1" si="5"/>
        <v>5</v>
      </c>
    </row>
    <row r="153" spans="1:7" x14ac:dyDescent="0.2">
      <c r="A153" t="s">
        <v>230</v>
      </c>
      <c r="B153" t="s">
        <v>3</v>
      </c>
      <c r="F153">
        <f t="shared" ca="1" si="4"/>
        <v>153</v>
      </c>
      <c r="G153">
        <f t="shared" ca="1" si="5"/>
        <v>2</v>
      </c>
    </row>
    <row r="154" spans="1:7" x14ac:dyDescent="0.2">
      <c r="A154" t="s">
        <v>230</v>
      </c>
      <c r="B154" t="s">
        <v>231</v>
      </c>
      <c r="F154">
        <f t="shared" ca="1" si="4"/>
        <v>153</v>
      </c>
      <c r="G154">
        <f t="shared" ca="1" si="5"/>
        <v>2</v>
      </c>
    </row>
    <row r="155" spans="1:7" x14ac:dyDescent="0.2">
      <c r="A155" t="s">
        <v>232</v>
      </c>
      <c r="B155" t="s">
        <v>70</v>
      </c>
      <c r="F155">
        <f t="shared" ca="1" si="4"/>
        <v>155</v>
      </c>
      <c r="G155">
        <f t="shared" ca="1" si="5"/>
        <v>2</v>
      </c>
    </row>
    <row r="156" spans="1:7" x14ac:dyDescent="0.2">
      <c r="A156" t="s">
        <v>232</v>
      </c>
      <c r="B156" t="s">
        <v>233</v>
      </c>
      <c r="F156">
        <f t="shared" ca="1" si="4"/>
        <v>155</v>
      </c>
      <c r="G156">
        <f t="shared" ca="1" si="5"/>
        <v>2</v>
      </c>
    </row>
    <row r="157" spans="1:7" x14ac:dyDescent="0.2">
      <c r="A157" t="s">
        <v>234</v>
      </c>
      <c r="B157" t="s">
        <v>235</v>
      </c>
      <c r="F157">
        <f t="shared" ca="1" si="4"/>
        <v>157</v>
      </c>
      <c r="G157">
        <f t="shared" ca="1" si="5"/>
        <v>2</v>
      </c>
    </row>
    <row r="158" spans="1:7" x14ac:dyDescent="0.2">
      <c r="A158" t="s">
        <v>234</v>
      </c>
      <c r="B158" t="s">
        <v>6</v>
      </c>
      <c r="F158">
        <f t="shared" ca="1" si="4"/>
        <v>157</v>
      </c>
      <c r="G158">
        <f t="shared" ca="1" si="5"/>
        <v>2</v>
      </c>
    </row>
    <row r="159" spans="1:7" x14ac:dyDescent="0.2">
      <c r="A159" t="s">
        <v>236</v>
      </c>
      <c r="B159" t="s">
        <v>3</v>
      </c>
      <c r="F159">
        <f t="shared" ca="1" si="4"/>
        <v>159</v>
      </c>
      <c r="G159">
        <f t="shared" ca="1" si="5"/>
        <v>1</v>
      </c>
    </row>
    <row r="160" spans="1:7" x14ac:dyDescent="0.2">
      <c r="A160" t="s">
        <v>1148</v>
      </c>
      <c r="B160" t="s">
        <v>3</v>
      </c>
      <c r="F160">
        <f t="shared" ca="1" si="4"/>
        <v>160</v>
      </c>
      <c r="G160">
        <f t="shared" ca="1" si="5"/>
        <v>1</v>
      </c>
    </row>
    <row r="161" spans="1:7" x14ac:dyDescent="0.2">
      <c r="A161" t="s">
        <v>238</v>
      </c>
      <c r="B161" t="s">
        <v>101</v>
      </c>
      <c r="F161">
        <f t="shared" ca="1" si="4"/>
        <v>161</v>
      </c>
      <c r="G161">
        <f t="shared" ca="1" si="5"/>
        <v>4</v>
      </c>
    </row>
    <row r="162" spans="1:7" x14ac:dyDescent="0.2">
      <c r="A162" t="s">
        <v>238</v>
      </c>
      <c r="B162" t="s">
        <v>14</v>
      </c>
      <c r="F162">
        <f t="shared" ca="1" si="4"/>
        <v>161</v>
      </c>
      <c r="G162">
        <f t="shared" ca="1" si="5"/>
        <v>4</v>
      </c>
    </row>
    <row r="163" spans="1:7" x14ac:dyDescent="0.2">
      <c r="A163" t="s">
        <v>238</v>
      </c>
      <c r="B163" t="s">
        <v>3</v>
      </c>
      <c r="F163">
        <f t="shared" ca="1" si="4"/>
        <v>161</v>
      </c>
      <c r="G163">
        <f t="shared" ca="1" si="5"/>
        <v>4</v>
      </c>
    </row>
    <row r="164" spans="1:7" x14ac:dyDescent="0.2">
      <c r="A164" t="s">
        <v>238</v>
      </c>
      <c r="B164" t="s">
        <v>6</v>
      </c>
      <c r="F164">
        <f t="shared" ca="1" si="4"/>
        <v>161</v>
      </c>
      <c r="G164">
        <f t="shared" ca="1" si="5"/>
        <v>4</v>
      </c>
    </row>
    <row r="165" spans="1:7" x14ac:dyDescent="0.2">
      <c r="A165" t="s">
        <v>239</v>
      </c>
      <c r="B165" t="s">
        <v>3</v>
      </c>
      <c r="F165">
        <f t="shared" ca="1" si="4"/>
        <v>165</v>
      </c>
      <c r="G165">
        <f t="shared" ca="1" si="5"/>
        <v>1</v>
      </c>
    </row>
    <row r="166" spans="1:7" x14ac:dyDescent="0.2">
      <c r="F166" t="str">
        <f t="shared" ca="1" si="4"/>
        <v/>
      </c>
      <c r="G166">
        <f t="shared" ca="1" si="5"/>
        <v>0</v>
      </c>
    </row>
    <row r="167" spans="1:7" x14ac:dyDescent="0.2">
      <c r="F167" t="str">
        <f t="shared" ca="1" si="4"/>
        <v/>
      </c>
      <c r="G167">
        <f t="shared" ca="1" si="5"/>
        <v>0</v>
      </c>
    </row>
    <row r="168" spans="1:7" x14ac:dyDescent="0.2">
      <c r="F168" t="str">
        <f t="shared" ca="1" si="4"/>
        <v/>
      </c>
      <c r="G168">
        <f t="shared" ca="1" si="5"/>
        <v>0</v>
      </c>
    </row>
    <row r="169" spans="1:7" x14ac:dyDescent="0.2">
      <c r="F169" t="str">
        <f t="shared" ca="1" si="4"/>
        <v/>
      </c>
      <c r="G169">
        <f t="shared" ca="1" si="5"/>
        <v>0</v>
      </c>
    </row>
    <row r="170" spans="1:7" x14ac:dyDescent="0.2">
      <c r="F170" t="str">
        <f t="shared" ca="1" si="4"/>
        <v/>
      </c>
      <c r="G170">
        <f t="shared" ca="1" si="5"/>
        <v>0</v>
      </c>
    </row>
    <row r="171" spans="1:7" x14ac:dyDescent="0.2">
      <c r="F171" t="str">
        <f t="shared" ca="1" si="4"/>
        <v/>
      </c>
      <c r="G171">
        <f t="shared" ca="1" si="5"/>
        <v>0</v>
      </c>
    </row>
    <row r="172" spans="1:7" x14ac:dyDescent="0.2">
      <c r="F172" t="str">
        <f t="shared" ca="1" si="4"/>
        <v/>
      </c>
      <c r="G172">
        <f t="shared" ca="1" si="5"/>
        <v>0</v>
      </c>
    </row>
    <row r="173" spans="1:7" x14ac:dyDescent="0.2">
      <c r="F173" t="str">
        <f t="shared" ca="1" si="4"/>
        <v/>
      </c>
      <c r="G173">
        <f t="shared" ca="1" si="5"/>
        <v>0</v>
      </c>
    </row>
    <row r="174" spans="1:7" x14ac:dyDescent="0.2">
      <c r="F174" t="str">
        <f t="shared" ca="1" si="4"/>
        <v/>
      </c>
      <c r="G174">
        <f t="shared" ca="1" si="5"/>
        <v>0</v>
      </c>
    </row>
    <row r="175" spans="1:7" x14ac:dyDescent="0.2">
      <c r="F175" t="str">
        <f t="shared" ca="1" si="4"/>
        <v/>
      </c>
      <c r="G175">
        <f t="shared" ca="1" si="5"/>
        <v>0</v>
      </c>
    </row>
    <row r="176" spans="1:7" x14ac:dyDescent="0.2">
      <c r="F176" t="str">
        <f t="shared" ca="1" si="4"/>
        <v/>
      </c>
      <c r="G176">
        <f t="shared" ca="1" si="5"/>
        <v>0</v>
      </c>
    </row>
    <row r="177" spans="6:7" x14ac:dyDescent="0.2">
      <c r="F177" t="str">
        <f t="shared" ca="1" si="4"/>
        <v/>
      </c>
      <c r="G177">
        <f t="shared" ca="1" si="5"/>
        <v>0</v>
      </c>
    </row>
    <row r="178" spans="6:7" x14ac:dyDescent="0.2">
      <c r="F178" t="str">
        <f t="shared" ca="1" si="4"/>
        <v/>
      </c>
      <c r="G178">
        <f t="shared" ca="1" si="5"/>
        <v>0</v>
      </c>
    </row>
    <row r="179" spans="6:7" x14ac:dyDescent="0.2">
      <c r="F179" t="str">
        <f t="shared" ca="1" si="4"/>
        <v/>
      </c>
      <c r="G179">
        <f t="shared" ca="1" si="5"/>
        <v>0</v>
      </c>
    </row>
    <row r="180" spans="6:7" x14ac:dyDescent="0.2">
      <c r="F180" t="str">
        <f t="shared" ca="1" si="4"/>
        <v/>
      </c>
      <c r="G180">
        <f t="shared" ca="1" si="5"/>
        <v>0</v>
      </c>
    </row>
    <row r="181" spans="6:7" x14ac:dyDescent="0.2">
      <c r="F181" t="str">
        <f t="shared" ca="1" si="4"/>
        <v/>
      </c>
      <c r="G181">
        <f t="shared" ca="1" si="5"/>
        <v>0</v>
      </c>
    </row>
    <row r="182" spans="6:7" x14ac:dyDescent="0.2">
      <c r="F182" t="str">
        <f t="shared" ca="1" si="4"/>
        <v/>
      </c>
      <c r="G182">
        <f t="shared" ca="1" si="5"/>
        <v>0</v>
      </c>
    </row>
    <row r="183" spans="6:7" x14ac:dyDescent="0.2">
      <c r="F183" t="str">
        <f t="shared" ca="1" si="4"/>
        <v/>
      </c>
      <c r="G183">
        <f t="shared" ca="1" si="5"/>
        <v>0</v>
      </c>
    </row>
    <row r="184" spans="6:7" x14ac:dyDescent="0.2">
      <c r="F184" t="str">
        <f t="shared" ca="1" si="4"/>
        <v/>
      </c>
      <c r="G184">
        <f t="shared" ca="1" si="5"/>
        <v>0</v>
      </c>
    </row>
    <row r="185" spans="6:7" x14ac:dyDescent="0.2">
      <c r="F185" t="str">
        <f t="shared" ca="1" si="4"/>
        <v/>
      </c>
      <c r="G185">
        <f t="shared" ca="1" si="5"/>
        <v>0</v>
      </c>
    </row>
    <row r="186" spans="6:7" x14ac:dyDescent="0.2">
      <c r="F186" t="str">
        <f t="shared" ca="1" si="4"/>
        <v/>
      </c>
      <c r="G186">
        <f t="shared" ca="1" si="5"/>
        <v>0</v>
      </c>
    </row>
    <row r="187" spans="6:7" x14ac:dyDescent="0.2">
      <c r="F187" t="str">
        <f t="shared" ca="1" si="4"/>
        <v/>
      </c>
      <c r="G187">
        <f t="shared" ca="1" si="5"/>
        <v>0</v>
      </c>
    </row>
    <row r="188" spans="6:7" x14ac:dyDescent="0.2">
      <c r="F188" t="str">
        <f t="shared" ca="1" si="4"/>
        <v/>
      </c>
      <c r="G188">
        <f t="shared" ca="1" si="5"/>
        <v>0</v>
      </c>
    </row>
    <row r="189" spans="6:7" x14ac:dyDescent="0.2">
      <c r="F189" t="str">
        <f t="shared" ca="1" si="4"/>
        <v/>
      </c>
      <c r="G189">
        <f t="shared" ca="1" si="5"/>
        <v>0</v>
      </c>
    </row>
    <row r="190" spans="6:7" x14ac:dyDescent="0.2">
      <c r="F190" t="str">
        <f t="shared" ca="1" si="4"/>
        <v/>
      </c>
      <c r="G190">
        <f t="shared" ca="1" si="5"/>
        <v>0</v>
      </c>
    </row>
    <row r="191" spans="6:7" x14ac:dyDescent="0.2">
      <c r="F191" t="str">
        <f t="shared" ca="1" si="4"/>
        <v/>
      </c>
      <c r="G191">
        <f t="shared" ca="1" si="5"/>
        <v>0</v>
      </c>
    </row>
    <row r="192" spans="6:7" x14ac:dyDescent="0.2">
      <c r="F192" t="str">
        <f t="shared" ca="1" si="4"/>
        <v/>
      </c>
      <c r="G192">
        <f t="shared" ca="1" si="5"/>
        <v>0</v>
      </c>
    </row>
    <row r="193" spans="6:7" x14ac:dyDescent="0.2">
      <c r="F193" t="str">
        <f t="shared" ca="1" si="4"/>
        <v/>
      </c>
      <c r="G193">
        <f t="shared" ca="1" si="5"/>
        <v>0</v>
      </c>
    </row>
    <row r="194" spans="6:7" x14ac:dyDescent="0.2">
      <c r="F194" t="str">
        <f t="shared" ref="F194:F257" ca="1" si="6">IFERROR(MATCH(OFFSET($A$1,ROW()-1,0,1,1),A:A,0),"")</f>
        <v/>
      </c>
      <c r="G194">
        <f t="shared" ref="G194:G257" ca="1" si="7">COUNTIF(A:A,OFFSET($A$1,ROW()-1,0))</f>
        <v>0</v>
      </c>
    </row>
    <row r="195" spans="6:7" x14ac:dyDescent="0.2">
      <c r="F195" t="str">
        <f t="shared" ca="1" si="6"/>
        <v/>
      </c>
      <c r="G195">
        <f t="shared" ca="1" si="7"/>
        <v>0</v>
      </c>
    </row>
    <row r="196" spans="6:7" x14ac:dyDescent="0.2">
      <c r="F196" t="str">
        <f t="shared" ca="1" si="6"/>
        <v/>
      </c>
      <c r="G196">
        <f t="shared" ca="1" si="7"/>
        <v>0</v>
      </c>
    </row>
    <row r="197" spans="6:7" x14ac:dyDescent="0.2">
      <c r="F197" t="str">
        <f t="shared" ca="1" si="6"/>
        <v/>
      </c>
      <c r="G197">
        <f t="shared" ca="1" si="7"/>
        <v>0</v>
      </c>
    </row>
    <row r="198" spans="6:7" x14ac:dyDescent="0.2">
      <c r="F198" t="str">
        <f t="shared" ca="1" si="6"/>
        <v/>
      </c>
      <c r="G198">
        <f t="shared" ca="1" si="7"/>
        <v>0</v>
      </c>
    </row>
    <row r="199" spans="6:7" x14ac:dyDescent="0.2">
      <c r="F199" t="str">
        <f t="shared" ca="1" si="6"/>
        <v/>
      </c>
      <c r="G199">
        <f t="shared" ca="1" si="7"/>
        <v>0</v>
      </c>
    </row>
    <row r="200" spans="6:7" x14ac:dyDescent="0.2">
      <c r="F200" t="str">
        <f t="shared" ca="1" si="6"/>
        <v/>
      </c>
      <c r="G200">
        <f t="shared" ca="1" si="7"/>
        <v>0</v>
      </c>
    </row>
    <row r="201" spans="6:7" x14ac:dyDescent="0.2">
      <c r="F201" t="str">
        <f t="shared" ca="1" si="6"/>
        <v/>
      </c>
      <c r="G201">
        <f t="shared" ca="1" si="7"/>
        <v>0</v>
      </c>
    </row>
    <row r="202" spans="6:7" x14ac:dyDescent="0.2">
      <c r="F202" t="str">
        <f t="shared" ca="1" si="6"/>
        <v/>
      </c>
      <c r="G202">
        <f t="shared" ca="1" si="7"/>
        <v>0</v>
      </c>
    </row>
    <row r="203" spans="6:7" x14ac:dyDescent="0.2">
      <c r="F203" t="str">
        <f t="shared" ca="1" si="6"/>
        <v/>
      </c>
      <c r="G203">
        <f t="shared" ca="1" si="7"/>
        <v>0</v>
      </c>
    </row>
    <row r="204" spans="6:7" x14ac:dyDescent="0.2">
      <c r="F204" t="str">
        <f t="shared" ca="1" si="6"/>
        <v/>
      </c>
      <c r="G204">
        <f t="shared" ca="1" si="7"/>
        <v>0</v>
      </c>
    </row>
    <row r="205" spans="6:7" x14ac:dyDescent="0.2">
      <c r="F205" t="str">
        <f t="shared" ca="1" si="6"/>
        <v/>
      </c>
      <c r="G205">
        <f t="shared" ca="1" si="7"/>
        <v>0</v>
      </c>
    </row>
    <row r="206" spans="6:7" x14ac:dyDescent="0.2">
      <c r="F206" t="str">
        <f t="shared" ca="1" si="6"/>
        <v/>
      </c>
      <c r="G206">
        <f t="shared" ca="1" si="7"/>
        <v>0</v>
      </c>
    </row>
    <row r="207" spans="6:7" x14ac:dyDescent="0.2">
      <c r="F207" t="str">
        <f t="shared" ca="1" si="6"/>
        <v/>
      </c>
      <c r="G207">
        <f t="shared" ca="1" si="7"/>
        <v>0</v>
      </c>
    </row>
    <row r="208" spans="6:7" x14ac:dyDescent="0.2">
      <c r="F208" t="str">
        <f t="shared" ca="1" si="6"/>
        <v/>
      </c>
      <c r="G208">
        <f t="shared" ca="1" si="7"/>
        <v>0</v>
      </c>
    </row>
    <row r="209" spans="6:7" x14ac:dyDescent="0.2">
      <c r="F209" t="str">
        <f t="shared" ca="1" si="6"/>
        <v/>
      </c>
      <c r="G209">
        <f t="shared" ca="1" si="7"/>
        <v>0</v>
      </c>
    </row>
    <row r="210" spans="6:7" x14ac:dyDescent="0.2">
      <c r="F210" t="str">
        <f t="shared" ca="1" si="6"/>
        <v/>
      </c>
      <c r="G210">
        <f t="shared" ca="1" si="7"/>
        <v>0</v>
      </c>
    </row>
    <row r="211" spans="6:7" x14ac:dyDescent="0.2">
      <c r="F211" t="str">
        <f t="shared" ca="1" si="6"/>
        <v/>
      </c>
      <c r="G211">
        <f t="shared" ca="1" si="7"/>
        <v>0</v>
      </c>
    </row>
    <row r="212" spans="6:7" x14ac:dyDescent="0.2">
      <c r="F212" t="str">
        <f t="shared" ca="1" si="6"/>
        <v/>
      </c>
      <c r="G212">
        <f t="shared" ca="1" si="7"/>
        <v>0</v>
      </c>
    </row>
    <row r="213" spans="6:7" x14ac:dyDescent="0.2">
      <c r="F213" t="str">
        <f t="shared" ca="1" si="6"/>
        <v/>
      </c>
      <c r="G213">
        <f t="shared" ca="1" si="7"/>
        <v>0</v>
      </c>
    </row>
    <row r="214" spans="6:7" x14ac:dyDescent="0.2">
      <c r="F214" t="str">
        <f t="shared" ca="1" si="6"/>
        <v/>
      </c>
      <c r="G214">
        <f t="shared" ca="1" si="7"/>
        <v>0</v>
      </c>
    </row>
    <row r="215" spans="6:7" x14ac:dyDescent="0.2">
      <c r="F215" t="str">
        <f t="shared" ca="1" si="6"/>
        <v/>
      </c>
      <c r="G215">
        <f t="shared" ca="1" si="7"/>
        <v>0</v>
      </c>
    </row>
    <row r="216" spans="6:7" x14ac:dyDescent="0.2">
      <c r="F216" t="str">
        <f t="shared" ca="1" si="6"/>
        <v/>
      </c>
      <c r="G216">
        <f t="shared" ca="1" si="7"/>
        <v>0</v>
      </c>
    </row>
    <row r="217" spans="6:7" x14ac:dyDescent="0.2">
      <c r="F217" t="str">
        <f t="shared" ca="1" si="6"/>
        <v/>
      </c>
      <c r="G217">
        <f t="shared" ca="1" si="7"/>
        <v>0</v>
      </c>
    </row>
    <row r="218" spans="6:7" x14ac:dyDescent="0.2">
      <c r="F218" t="str">
        <f t="shared" ca="1" si="6"/>
        <v/>
      </c>
      <c r="G218">
        <f t="shared" ca="1" si="7"/>
        <v>0</v>
      </c>
    </row>
    <row r="219" spans="6:7" x14ac:dyDescent="0.2">
      <c r="F219" t="str">
        <f t="shared" ca="1" si="6"/>
        <v/>
      </c>
      <c r="G219">
        <f t="shared" ca="1" si="7"/>
        <v>0</v>
      </c>
    </row>
    <row r="220" spans="6:7" x14ac:dyDescent="0.2">
      <c r="F220" t="str">
        <f t="shared" ca="1" si="6"/>
        <v/>
      </c>
      <c r="G220">
        <f t="shared" ca="1" si="7"/>
        <v>0</v>
      </c>
    </row>
    <row r="221" spans="6:7" x14ac:dyDescent="0.2">
      <c r="F221" t="str">
        <f t="shared" ca="1" si="6"/>
        <v/>
      </c>
      <c r="G221">
        <f t="shared" ca="1" si="7"/>
        <v>0</v>
      </c>
    </row>
    <row r="222" spans="6:7" x14ac:dyDescent="0.2">
      <c r="F222" t="str">
        <f t="shared" ca="1" si="6"/>
        <v/>
      </c>
      <c r="G222">
        <f t="shared" ca="1" si="7"/>
        <v>0</v>
      </c>
    </row>
    <row r="223" spans="6:7" x14ac:dyDescent="0.2">
      <c r="F223" t="str">
        <f t="shared" ca="1" si="6"/>
        <v/>
      </c>
      <c r="G223">
        <f t="shared" ca="1" si="7"/>
        <v>0</v>
      </c>
    </row>
    <row r="224" spans="6:7" x14ac:dyDescent="0.2">
      <c r="F224" t="str">
        <f t="shared" ca="1" si="6"/>
        <v/>
      </c>
      <c r="G224">
        <f t="shared" ca="1" si="7"/>
        <v>0</v>
      </c>
    </row>
    <row r="225" spans="6:7" x14ac:dyDescent="0.2">
      <c r="F225" t="str">
        <f t="shared" ca="1" si="6"/>
        <v/>
      </c>
      <c r="G225">
        <f t="shared" ca="1" si="7"/>
        <v>0</v>
      </c>
    </row>
    <row r="226" spans="6:7" x14ac:dyDescent="0.2">
      <c r="F226" t="str">
        <f t="shared" ca="1" si="6"/>
        <v/>
      </c>
      <c r="G226">
        <f t="shared" ca="1" si="7"/>
        <v>0</v>
      </c>
    </row>
    <row r="227" spans="6:7" x14ac:dyDescent="0.2">
      <c r="F227" t="str">
        <f t="shared" ca="1" si="6"/>
        <v/>
      </c>
      <c r="G227">
        <f t="shared" ca="1" si="7"/>
        <v>0</v>
      </c>
    </row>
    <row r="228" spans="6:7" x14ac:dyDescent="0.2">
      <c r="F228" t="str">
        <f t="shared" ca="1" si="6"/>
        <v/>
      </c>
      <c r="G228">
        <f t="shared" ca="1" si="7"/>
        <v>0</v>
      </c>
    </row>
    <row r="229" spans="6:7" x14ac:dyDescent="0.2">
      <c r="F229" t="str">
        <f t="shared" ca="1" si="6"/>
        <v/>
      </c>
      <c r="G229">
        <f t="shared" ca="1" si="7"/>
        <v>0</v>
      </c>
    </row>
    <row r="230" spans="6:7" x14ac:dyDescent="0.2">
      <c r="F230" t="str">
        <f t="shared" ca="1" si="6"/>
        <v/>
      </c>
      <c r="G230">
        <f t="shared" ca="1" si="7"/>
        <v>0</v>
      </c>
    </row>
    <row r="231" spans="6:7" x14ac:dyDescent="0.2">
      <c r="F231" t="str">
        <f t="shared" ca="1" si="6"/>
        <v/>
      </c>
      <c r="G231">
        <f t="shared" ca="1" si="7"/>
        <v>0</v>
      </c>
    </row>
    <row r="232" spans="6:7" x14ac:dyDescent="0.2">
      <c r="F232" t="str">
        <f t="shared" ca="1" si="6"/>
        <v/>
      </c>
      <c r="G232">
        <f t="shared" ca="1" si="7"/>
        <v>0</v>
      </c>
    </row>
    <row r="233" spans="6:7" x14ac:dyDescent="0.2">
      <c r="F233" t="str">
        <f t="shared" ca="1" si="6"/>
        <v/>
      </c>
      <c r="G233">
        <f t="shared" ca="1" si="7"/>
        <v>0</v>
      </c>
    </row>
    <row r="234" spans="6:7" x14ac:dyDescent="0.2">
      <c r="F234" t="str">
        <f t="shared" ca="1" si="6"/>
        <v/>
      </c>
      <c r="G234">
        <f t="shared" ca="1" si="7"/>
        <v>0</v>
      </c>
    </row>
    <row r="235" spans="6:7" x14ac:dyDescent="0.2">
      <c r="F235" t="str">
        <f t="shared" ca="1" si="6"/>
        <v/>
      </c>
      <c r="G235">
        <f t="shared" ca="1" si="7"/>
        <v>0</v>
      </c>
    </row>
    <row r="236" spans="6:7" x14ac:dyDescent="0.2">
      <c r="F236" t="str">
        <f t="shared" ca="1" si="6"/>
        <v/>
      </c>
      <c r="G236">
        <f t="shared" ca="1" si="7"/>
        <v>0</v>
      </c>
    </row>
    <row r="237" spans="6:7" x14ac:dyDescent="0.2">
      <c r="F237" t="str">
        <f t="shared" ca="1" si="6"/>
        <v/>
      </c>
      <c r="G237">
        <f t="shared" ca="1" si="7"/>
        <v>0</v>
      </c>
    </row>
    <row r="238" spans="6:7" x14ac:dyDescent="0.2">
      <c r="F238" t="str">
        <f t="shared" ca="1" si="6"/>
        <v/>
      </c>
      <c r="G238">
        <f t="shared" ca="1" si="7"/>
        <v>0</v>
      </c>
    </row>
    <row r="239" spans="6:7" x14ac:dyDescent="0.2">
      <c r="F239" t="str">
        <f t="shared" ca="1" si="6"/>
        <v/>
      </c>
      <c r="G239">
        <f t="shared" ca="1" si="7"/>
        <v>0</v>
      </c>
    </row>
    <row r="240" spans="6:7" x14ac:dyDescent="0.2">
      <c r="F240" t="str">
        <f t="shared" ca="1" si="6"/>
        <v/>
      </c>
      <c r="G240">
        <f t="shared" ca="1" si="7"/>
        <v>0</v>
      </c>
    </row>
    <row r="241" spans="6:7" x14ac:dyDescent="0.2">
      <c r="F241" t="str">
        <f t="shared" ca="1" si="6"/>
        <v/>
      </c>
      <c r="G241">
        <f t="shared" ca="1" si="7"/>
        <v>0</v>
      </c>
    </row>
    <row r="242" spans="6:7" x14ac:dyDescent="0.2">
      <c r="F242" t="str">
        <f t="shared" ca="1" si="6"/>
        <v/>
      </c>
      <c r="G242">
        <f t="shared" ca="1" si="7"/>
        <v>0</v>
      </c>
    </row>
    <row r="243" spans="6:7" x14ac:dyDescent="0.2">
      <c r="F243" t="str">
        <f t="shared" ca="1" si="6"/>
        <v/>
      </c>
      <c r="G243">
        <f t="shared" ca="1" si="7"/>
        <v>0</v>
      </c>
    </row>
    <row r="244" spans="6:7" x14ac:dyDescent="0.2">
      <c r="F244" t="str">
        <f t="shared" ca="1" si="6"/>
        <v/>
      </c>
      <c r="G244">
        <f t="shared" ca="1" si="7"/>
        <v>0</v>
      </c>
    </row>
    <row r="245" spans="6:7" x14ac:dyDescent="0.2">
      <c r="F245" t="str">
        <f t="shared" ca="1" si="6"/>
        <v/>
      </c>
      <c r="G245">
        <f t="shared" ca="1" si="7"/>
        <v>0</v>
      </c>
    </row>
    <row r="246" spans="6:7" x14ac:dyDescent="0.2">
      <c r="F246" t="str">
        <f t="shared" ca="1" si="6"/>
        <v/>
      </c>
      <c r="G246">
        <f t="shared" ca="1" si="7"/>
        <v>0</v>
      </c>
    </row>
    <row r="247" spans="6:7" x14ac:dyDescent="0.2">
      <c r="F247" t="str">
        <f t="shared" ca="1" si="6"/>
        <v/>
      </c>
      <c r="G247">
        <f t="shared" ca="1" si="7"/>
        <v>0</v>
      </c>
    </row>
    <row r="248" spans="6:7" x14ac:dyDescent="0.2">
      <c r="F248" t="str">
        <f t="shared" ca="1" si="6"/>
        <v/>
      </c>
      <c r="G248">
        <f t="shared" ca="1" si="7"/>
        <v>0</v>
      </c>
    </row>
    <row r="249" spans="6:7" x14ac:dyDescent="0.2">
      <c r="F249" t="str">
        <f t="shared" ca="1" si="6"/>
        <v/>
      </c>
      <c r="G249">
        <f t="shared" ca="1" si="7"/>
        <v>0</v>
      </c>
    </row>
    <row r="250" spans="6:7" x14ac:dyDescent="0.2">
      <c r="F250" t="str">
        <f t="shared" ca="1" si="6"/>
        <v/>
      </c>
      <c r="G250">
        <f t="shared" ca="1" si="7"/>
        <v>0</v>
      </c>
    </row>
    <row r="251" spans="6:7" x14ac:dyDescent="0.2">
      <c r="F251" t="str">
        <f t="shared" ca="1" si="6"/>
        <v/>
      </c>
      <c r="G251">
        <f t="shared" ca="1" si="7"/>
        <v>0</v>
      </c>
    </row>
    <row r="252" spans="6:7" x14ac:dyDescent="0.2">
      <c r="F252" t="str">
        <f t="shared" ca="1" si="6"/>
        <v/>
      </c>
      <c r="G252">
        <f t="shared" ca="1" si="7"/>
        <v>0</v>
      </c>
    </row>
    <row r="253" spans="6:7" x14ac:dyDescent="0.2">
      <c r="F253" t="str">
        <f t="shared" ca="1" si="6"/>
        <v/>
      </c>
      <c r="G253">
        <f t="shared" ca="1" si="7"/>
        <v>0</v>
      </c>
    </row>
    <row r="254" spans="6:7" x14ac:dyDescent="0.2">
      <c r="F254" t="str">
        <f t="shared" ca="1" si="6"/>
        <v/>
      </c>
      <c r="G254">
        <f t="shared" ca="1" si="7"/>
        <v>0</v>
      </c>
    </row>
    <row r="255" spans="6:7" x14ac:dyDescent="0.2">
      <c r="F255" t="str">
        <f t="shared" ca="1" si="6"/>
        <v/>
      </c>
      <c r="G255">
        <f t="shared" ca="1" si="7"/>
        <v>0</v>
      </c>
    </row>
    <row r="256" spans="6:7" x14ac:dyDescent="0.2">
      <c r="F256" t="str">
        <f t="shared" ca="1" si="6"/>
        <v/>
      </c>
      <c r="G256">
        <f t="shared" ca="1" si="7"/>
        <v>0</v>
      </c>
    </row>
    <row r="257" spans="6:7" x14ac:dyDescent="0.2">
      <c r="F257" t="str">
        <f t="shared" ca="1" si="6"/>
        <v/>
      </c>
      <c r="G257">
        <f t="shared" ca="1" si="7"/>
        <v>0</v>
      </c>
    </row>
    <row r="258" spans="6:7" x14ac:dyDescent="0.2">
      <c r="F258" t="str">
        <f t="shared" ref="F258:F321" ca="1" si="8">IFERROR(MATCH(OFFSET($A$1,ROW()-1,0,1,1),A:A,0),"")</f>
        <v/>
      </c>
      <c r="G258">
        <f t="shared" ref="G258:G321" ca="1" si="9">COUNTIF(A:A,OFFSET($A$1,ROW()-1,0))</f>
        <v>0</v>
      </c>
    </row>
    <row r="259" spans="6:7" x14ac:dyDescent="0.2">
      <c r="F259" t="str">
        <f t="shared" ca="1" si="8"/>
        <v/>
      </c>
      <c r="G259">
        <f t="shared" ca="1" si="9"/>
        <v>0</v>
      </c>
    </row>
    <row r="260" spans="6:7" x14ac:dyDescent="0.2">
      <c r="F260" t="str">
        <f t="shared" ca="1" si="8"/>
        <v/>
      </c>
      <c r="G260">
        <f t="shared" ca="1" si="9"/>
        <v>0</v>
      </c>
    </row>
    <row r="261" spans="6:7" x14ac:dyDescent="0.2">
      <c r="F261" t="str">
        <f t="shared" ca="1" si="8"/>
        <v/>
      </c>
      <c r="G261">
        <f t="shared" ca="1" si="9"/>
        <v>0</v>
      </c>
    </row>
    <row r="262" spans="6:7" x14ac:dyDescent="0.2">
      <c r="F262" t="str">
        <f t="shared" ca="1" si="8"/>
        <v/>
      </c>
      <c r="G262">
        <f t="shared" ca="1" si="9"/>
        <v>0</v>
      </c>
    </row>
    <row r="263" spans="6:7" x14ac:dyDescent="0.2">
      <c r="F263" t="str">
        <f t="shared" ca="1" si="8"/>
        <v/>
      </c>
      <c r="G263">
        <f t="shared" ca="1" si="9"/>
        <v>0</v>
      </c>
    </row>
    <row r="264" spans="6:7" x14ac:dyDescent="0.2">
      <c r="F264" t="str">
        <f t="shared" ca="1" si="8"/>
        <v/>
      </c>
      <c r="G264">
        <f t="shared" ca="1" si="9"/>
        <v>0</v>
      </c>
    </row>
    <row r="265" spans="6:7" x14ac:dyDescent="0.2">
      <c r="F265" t="str">
        <f t="shared" ca="1" si="8"/>
        <v/>
      </c>
      <c r="G265">
        <f t="shared" ca="1" si="9"/>
        <v>0</v>
      </c>
    </row>
    <row r="266" spans="6:7" x14ac:dyDescent="0.2">
      <c r="F266" t="str">
        <f t="shared" ca="1" si="8"/>
        <v/>
      </c>
      <c r="G266">
        <f t="shared" ca="1" si="9"/>
        <v>0</v>
      </c>
    </row>
    <row r="267" spans="6:7" x14ac:dyDescent="0.2">
      <c r="F267" t="str">
        <f t="shared" ca="1" si="8"/>
        <v/>
      </c>
      <c r="G267">
        <f t="shared" ca="1" si="9"/>
        <v>0</v>
      </c>
    </row>
    <row r="268" spans="6:7" x14ac:dyDescent="0.2">
      <c r="F268" t="str">
        <f t="shared" ca="1" si="8"/>
        <v/>
      </c>
      <c r="G268">
        <f t="shared" ca="1" si="9"/>
        <v>0</v>
      </c>
    </row>
    <row r="269" spans="6:7" x14ac:dyDescent="0.2">
      <c r="F269" t="str">
        <f t="shared" ca="1" si="8"/>
        <v/>
      </c>
      <c r="G269">
        <f t="shared" ca="1" si="9"/>
        <v>0</v>
      </c>
    </row>
    <row r="270" spans="6:7" x14ac:dyDescent="0.2">
      <c r="F270" t="str">
        <f t="shared" ca="1" si="8"/>
        <v/>
      </c>
      <c r="G270">
        <f t="shared" ca="1" si="9"/>
        <v>0</v>
      </c>
    </row>
    <row r="271" spans="6:7" x14ac:dyDescent="0.2">
      <c r="F271" t="str">
        <f t="shared" ca="1" si="8"/>
        <v/>
      </c>
      <c r="G271">
        <f t="shared" ca="1" si="9"/>
        <v>0</v>
      </c>
    </row>
    <row r="272" spans="6:7" x14ac:dyDescent="0.2">
      <c r="F272" t="str">
        <f t="shared" ca="1" si="8"/>
        <v/>
      </c>
      <c r="G272">
        <f t="shared" ca="1" si="9"/>
        <v>0</v>
      </c>
    </row>
    <row r="273" spans="6:7" x14ac:dyDescent="0.2">
      <c r="F273" t="str">
        <f t="shared" ca="1" si="8"/>
        <v/>
      </c>
      <c r="G273">
        <f t="shared" ca="1" si="9"/>
        <v>0</v>
      </c>
    </row>
    <row r="274" spans="6:7" x14ac:dyDescent="0.2">
      <c r="F274" t="str">
        <f t="shared" ca="1" si="8"/>
        <v/>
      </c>
      <c r="G274">
        <f t="shared" ca="1" si="9"/>
        <v>0</v>
      </c>
    </row>
    <row r="275" spans="6:7" x14ac:dyDescent="0.2">
      <c r="F275" t="str">
        <f t="shared" ca="1" si="8"/>
        <v/>
      </c>
      <c r="G275">
        <f t="shared" ca="1" si="9"/>
        <v>0</v>
      </c>
    </row>
    <row r="276" spans="6:7" x14ac:dyDescent="0.2">
      <c r="F276" t="str">
        <f t="shared" ca="1" si="8"/>
        <v/>
      </c>
      <c r="G276">
        <f t="shared" ca="1" si="9"/>
        <v>0</v>
      </c>
    </row>
    <row r="277" spans="6:7" x14ac:dyDescent="0.2">
      <c r="F277" t="str">
        <f t="shared" ca="1" si="8"/>
        <v/>
      </c>
      <c r="G277">
        <f t="shared" ca="1" si="9"/>
        <v>0</v>
      </c>
    </row>
    <row r="278" spans="6:7" x14ac:dyDescent="0.2">
      <c r="F278" t="str">
        <f t="shared" ca="1" si="8"/>
        <v/>
      </c>
      <c r="G278">
        <f t="shared" ca="1" si="9"/>
        <v>0</v>
      </c>
    </row>
    <row r="279" spans="6:7" x14ac:dyDescent="0.2">
      <c r="F279" t="str">
        <f t="shared" ca="1" si="8"/>
        <v/>
      </c>
      <c r="G279">
        <f t="shared" ca="1" si="9"/>
        <v>0</v>
      </c>
    </row>
    <row r="280" spans="6:7" x14ac:dyDescent="0.2">
      <c r="F280" t="str">
        <f t="shared" ca="1" si="8"/>
        <v/>
      </c>
      <c r="G280">
        <f t="shared" ca="1" si="9"/>
        <v>0</v>
      </c>
    </row>
    <row r="281" spans="6:7" x14ac:dyDescent="0.2">
      <c r="F281" t="str">
        <f t="shared" ca="1" si="8"/>
        <v/>
      </c>
      <c r="G281">
        <f t="shared" ca="1" si="9"/>
        <v>0</v>
      </c>
    </row>
    <row r="282" spans="6:7" x14ac:dyDescent="0.2">
      <c r="F282" t="str">
        <f t="shared" ca="1" si="8"/>
        <v/>
      </c>
      <c r="G282">
        <f t="shared" ca="1" si="9"/>
        <v>0</v>
      </c>
    </row>
    <row r="283" spans="6:7" x14ac:dyDescent="0.2">
      <c r="F283" t="str">
        <f t="shared" ca="1" si="8"/>
        <v/>
      </c>
      <c r="G283">
        <f t="shared" ca="1" si="9"/>
        <v>0</v>
      </c>
    </row>
    <row r="284" spans="6:7" x14ac:dyDescent="0.2">
      <c r="F284" t="str">
        <f t="shared" ca="1" si="8"/>
        <v/>
      </c>
      <c r="G284">
        <f t="shared" ca="1" si="9"/>
        <v>0</v>
      </c>
    </row>
    <row r="285" spans="6:7" x14ac:dyDescent="0.2">
      <c r="F285" t="str">
        <f t="shared" ca="1" si="8"/>
        <v/>
      </c>
      <c r="G285">
        <f t="shared" ca="1" si="9"/>
        <v>0</v>
      </c>
    </row>
    <row r="286" spans="6:7" x14ac:dyDescent="0.2">
      <c r="F286" t="str">
        <f t="shared" ca="1" si="8"/>
        <v/>
      </c>
      <c r="G286">
        <f t="shared" ca="1" si="9"/>
        <v>0</v>
      </c>
    </row>
    <row r="287" spans="6:7" x14ac:dyDescent="0.2">
      <c r="F287" t="str">
        <f t="shared" ca="1" si="8"/>
        <v/>
      </c>
      <c r="G287">
        <f t="shared" ca="1" si="9"/>
        <v>0</v>
      </c>
    </row>
    <row r="288" spans="6:7" x14ac:dyDescent="0.2">
      <c r="F288" t="str">
        <f t="shared" ca="1" si="8"/>
        <v/>
      </c>
      <c r="G288">
        <f t="shared" ca="1" si="9"/>
        <v>0</v>
      </c>
    </row>
    <row r="289" spans="6:7" x14ac:dyDescent="0.2">
      <c r="F289" t="str">
        <f t="shared" ca="1" si="8"/>
        <v/>
      </c>
      <c r="G289">
        <f t="shared" ca="1" si="9"/>
        <v>0</v>
      </c>
    </row>
    <row r="290" spans="6:7" x14ac:dyDescent="0.2">
      <c r="F290" t="str">
        <f t="shared" ca="1" si="8"/>
        <v/>
      </c>
      <c r="G290">
        <f t="shared" ca="1" si="9"/>
        <v>0</v>
      </c>
    </row>
    <row r="291" spans="6:7" x14ac:dyDescent="0.2">
      <c r="F291" t="str">
        <f t="shared" ca="1" si="8"/>
        <v/>
      </c>
      <c r="G291">
        <f t="shared" ca="1" si="9"/>
        <v>0</v>
      </c>
    </row>
    <row r="292" spans="6:7" x14ac:dyDescent="0.2">
      <c r="F292" t="str">
        <f t="shared" ca="1" si="8"/>
        <v/>
      </c>
      <c r="G292">
        <f t="shared" ca="1" si="9"/>
        <v>0</v>
      </c>
    </row>
    <row r="293" spans="6:7" x14ac:dyDescent="0.2">
      <c r="F293" t="str">
        <f t="shared" ca="1" si="8"/>
        <v/>
      </c>
      <c r="G293">
        <f t="shared" ca="1" si="9"/>
        <v>0</v>
      </c>
    </row>
    <row r="294" spans="6:7" x14ac:dyDescent="0.2">
      <c r="F294" t="str">
        <f t="shared" ca="1" si="8"/>
        <v/>
      </c>
      <c r="G294">
        <f t="shared" ca="1" si="9"/>
        <v>0</v>
      </c>
    </row>
    <row r="295" spans="6:7" x14ac:dyDescent="0.2">
      <c r="F295" t="str">
        <f t="shared" ca="1" si="8"/>
        <v/>
      </c>
      <c r="G295">
        <f t="shared" ca="1" si="9"/>
        <v>0</v>
      </c>
    </row>
    <row r="296" spans="6:7" x14ac:dyDescent="0.2">
      <c r="F296" t="str">
        <f t="shared" ca="1" si="8"/>
        <v/>
      </c>
      <c r="G296">
        <f t="shared" ca="1" si="9"/>
        <v>0</v>
      </c>
    </row>
    <row r="297" spans="6:7" x14ac:dyDescent="0.2">
      <c r="F297" t="str">
        <f t="shared" ca="1" si="8"/>
        <v/>
      </c>
      <c r="G297">
        <f t="shared" ca="1" si="9"/>
        <v>0</v>
      </c>
    </row>
    <row r="298" spans="6:7" x14ac:dyDescent="0.2">
      <c r="F298" t="str">
        <f t="shared" ca="1" si="8"/>
        <v/>
      </c>
      <c r="G298">
        <f t="shared" ca="1" si="9"/>
        <v>0</v>
      </c>
    </row>
    <row r="299" spans="6:7" x14ac:dyDescent="0.2">
      <c r="F299" t="str">
        <f t="shared" ca="1" si="8"/>
        <v/>
      </c>
      <c r="G299">
        <f t="shared" ca="1" si="9"/>
        <v>0</v>
      </c>
    </row>
    <row r="300" spans="6:7" x14ac:dyDescent="0.2">
      <c r="F300" t="str">
        <f t="shared" ca="1" si="8"/>
        <v/>
      </c>
      <c r="G300">
        <f t="shared" ca="1" si="9"/>
        <v>0</v>
      </c>
    </row>
    <row r="301" spans="6:7" x14ac:dyDescent="0.2">
      <c r="F301" t="str">
        <f t="shared" ca="1" si="8"/>
        <v/>
      </c>
      <c r="G301">
        <f t="shared" ca="1" si="9"/>
        <v>0</v>
      </c>
    </row>
    <row r="302" spans="6:7" x14ac:dyDescent="0.2">
      <c r="F302" t="str">
        <f t="shared" ca="1" si="8"/>
        <v/>
      </c>
      <c r="G302">
        <f t="shared" ca="1" si="9"/>
        <v>0</v>
      </c>
    </row>
    <row r="303" spans="6:7" x14ac:dyDescent="0.2">
      <c r="F303" t="str">
        <f t="shared" ca="1" si="8"/>
        <v/>
      </c>
      <c r="G303">
        <f t="shared" ca="1" si="9"/>
        <v>0</v>
      </c>
    </row>
    <row r="304" spans="6:7" x14ac:dyDescent="0.2">
      <c r="F304" t="str">
        <f t="shared" ca="1" si="8"/>
        <v/>
      </c>
      <c r="G304">
        <f t="shared" ca="1" si="9"/>
        <v>0</v>
      </c>
    </row>
    <row r="305" spans="6:7" x14ac:dyDescent="0.2">
      <c r="F305" t="str">
        <f t="shared" ca="1" si="8"/>
        <v/>
      </c>
      <c r="G305">
        <f t="shared" ca="1" si="9"/>
        <v>0</v>
      </c>
    </row>
    <row r="306" spans="6:7" x14ac:dyDescent="0.2">
      <c r="F306" t="str">
        <f t="shared" ca="1" si="8"/>
        <v/>
      </c>
      <c r="G306">
        <f t="shared" ca="1" si="9"/>
        <v>0</v>
      </c>
    </row>
    <row r="307" spans="6:7" x14ac:dyDescent="0.2">
      <c r="F307" t="str">
        <f t="shared" ca="1" si="8"/>
        <v/>
      </c>
      <c r="G307">
        <f t="shared" ca="1" si="9"/>
        <v>0</v>
      </c>
    </row>
    <row r="308" spans="6:7" x14ac:dyDescent="0.2">
      <c r="F308" t="str">
        <f t="shared" ca="1" si="8"/>
        <v/>
      </c>
      <c r="G308">
        <f t="shared" ca="1" si="9"/>
        <v>0</v>
      </c>
    </row>
    <row r="309" spans="6:7" x14ac:dyDescent="0.2">
      <c r="F309" t="str">
        <f t="shared" ca="1" si="8"/>
        <v/>
      </c>
      <c r="G309">
        <f t="shared" ca="1" si="9"/>
        <v>0</v>
      </c>
    </row>
    <row r="310" spans="6:7" x14ac:dyDescent="0.2">
      <c r="F310" t="str">
        <f t="shared" ca="1" si="8"/>
        <v/>
      </c>
      <c r="G310">
        <f t="shared" ca="1" si="9"/>
        <v>0</v>
      </c>
    </row>
    <row r="311" spans="6:7" x14ac:dyDescent="0.2">
      <c r="F311" t="str">
        <f t="shared" ca="1" si="8"/>
        <v/>
      </c>
      <c r="G311">
        <f t="shared" ca="1" si="9"/>
        <v>0</v>
      </c>
    </row>
    <row r="312" spans="6:7" x14ac:dyDescent="0.2">
      <c r="F312" t="str">
        <f t="shared" ca="1" si="8"/>
        <v/>
      </c>
      <c r="G312">
        <f t="shared" ca="1" si="9"/>
        <v>0</v>
      </c>
    </row>
    <row r="313" spans="6:7" x14ac:dyDescent="0.2">
      <c r="F313" t="str">
        <f t="shared" ca="1" si="8"/>
        <v/>
      </c>
      <c r="G313">
        <f t="shared" ca="1" si="9"/>
        <v>0</v>
      </c>
    </row>
    <row r="314" spans="6:7" x14ac:dyDescent="0.2">
      <c r="F314" t="str">
        <f t="shared" ca="1" si="8"/>
        <v/>
      </c>
      <c r="G314">
        <f t="shared" ca="1" si="9"/>
        <v>0</v>
      </c>
    </row>
    <row r="315" spans="6:7" x14ac:dyDescent="0.2">
      <c r="F315" t="str">
        <f t="shared" ca="1" si="8"/>
        <v/>
      </c>
      <c r="G315">
        <f t="shared" ca="1" si="9"/>
        <v>0</v>
      </c>
    </row>
    <row r="316" spans="6:7" x14ac:dyDescent="0.2">
      <c r="F316" t="str">
        <f t="shared" ca="1" si="8"/>
        <v/>
      </c>
      <c r="G316">
        <f t="shared" ca="1" si="9"/>
        <v>0</v>
      </c>
    </row>
    <row r="317" spans="6:7" x14ac:dyDescent="0.2">
      <c r="F317" t="str">
        <f t="shared" ca="1" si="8"/>
        <v/>
      </c>
      <c r="G317">
        <f t="shared" ca="1" si="9"/>
        <v>0</v>
      </c>
    </row>
    <row r="318" spans="6:7" x14ac:dyDescent="0.2">
      <c r="F318" t="str">
        <f t="shared" ca="1" si="8"/>
        <v/>
      </c>
      <c r="G318">
        <f t="shared" ca="1" si="9"/>
        <v>0</v>
      </c>
    </row>
    <row r="319" spans="6:7" x14ac:dyDescent="0.2">
      <c r="F319" t="str">
        <f t="shared" ca="1" si="8"/>
        <v/>
      </c>
      <c r="G319">
        <f t="shared" ca="1" si="9"/>
        <v>0</v>
      </c>
    </row>
    <row r="320" spans="6:7" x14ac:dyDescent="0.2">
      <c r="F320" t="str">
        <f t="shared" ca="1" si="8"/>
        <v/>
      </c>
      <c r="G320">
        <f t="shared" ca="1" si="9"/>
        <v>0</v>
      </c>
    </row>
    <row r="321" spans="6:7" x14ac:dyDescent="0.2">
      <c r="F321" t="str">
        <f t="shared" ca="1" si="8"/>
        <v/>
      </c>
      <c r="G321">
        <f t="shared" ca="1" si="9"/>
        <v>0</v>
      </c>
    </row>
    <row r="322" spans="6:7" x14ac:dyDescent="0.2">
      <c r="F322" t="str">
        <f t="shared" ref="F322:F385" ca="1" si="10">IFERROR(MATCH(OFFSET($A$1,ROW()-1,0,1,1),A:A,0),"")</f>
        <v/>
      </c>
      <c r="G322">
        <f t="shared" ref="G322:G385" ca="1" si="11">COUNTIF(A:A,OFFSET($A$1,ROW()-1,0))</f>
        <v>0</v>
      </c>
    </row>
    <row r="323" spans="6:7" x14ac:dyDescent="0.2">
      <c r="F323" t="str">
        <f t="shared" ca="1" si="10"/>
        <v/>
      </c>
      <c r="G323">
        <f t="shared" ca="1" si="11"/>
        <v>0</v>
      </c>
    </row>
    <row r="324" spans="6:7" x14ac:dyDescent="0.2">
      <c r="F324" t="str">
        <f t="shared" ca="1" si="10"/>
        <v/>
      </c>
      <c r="G324">
        <f t="shared" ca="1" si="11"/>
        <v>0</v>
      </c>
    </row>
    <row r="325" spans="6:7" x14ac:dyDescent="0.2">
      <c r="F325" t="str">
        <f t="shared" ca="1" si="10"/>
        <v/>
      </c>
      <c r="G325">
        <f t="shared" ca="1" si="11"/>
        <v>0</v>
      </c>
    </row>
    <row r="326" spans="6:7" x14ac:dyDescent="0.2">
      <c r="F326" t="str">
        <f t="shared" ca="1" si="10"/>
        <v/>
      </c>
      <c r="G326">
        <f t="shared" ca="1" si="11"/>
        <v>0</v>
      </c>
    </row>
    <row r="327" spans="6:7" x14ac:dyDescent="0.2">
      <c r="F327" t="str">
        <f t="shared" ca="1" si="10"/>
        <v/>
      </c>
      <c r="G327">
        <f t="shared" ca="1" si="11"/>
        <v>0</v>
      </c>
    </row>
    <row r="328" spans="6:7" x14ac:dyDescent="0.2">
      <c r="F328" t="str">
        <f t="shared" ca="1" si="10"/>
        <v/>
      </c>
      <c r="G328">
        <f t="shared" ca="1" si="11"/>
        <v>0</v>
      </c>
    </row>
    <row r="329" spans="6:7" x14ac:dyDescent="0.2">
      <c r="F329" t="str">
        <f t="shared" ca="1" si="10"/>
        <v/>
      </c>
      <c r="G329">
        <f t="shared" ca="1" si="11"/>
        <v>0</v>
      </c>
    </row>
    <row r="330" spans="6:7" x14ac:dyDescent="0.2">
      <c r="F330" t="str">
        <f t="shared" ca="1" si="10"/>
        <v/>
      </c>
      <c r="G330">
        <f t="shared" ca="1" si="11"/>
        <v>0</v>
      </c>
    </row>
    <row r="331" spans="6:7" x14ac:dyDescent="0.2">
      <c r="F331" t="str">
        <f t="shared" ca="1" si="10"/>
        <v/>
      </c>
      <c r="G331">
        <f t="shared" ca="1" si="11"/>
        <v>0</v>
      </c>
    </row>
    <row r="332" spans="6:7" x14ac:dyDescent="0.2">
      <c r="F332" t="str">
        <f t="shared" ca="1" si="10"/>
        <v/>
      </c>
      <c r="G332">
        <f t="shared" ca="1" si="11"/>
        <v>0</v>
      </c>
    </row>
    <row r="333" spans="6:7" x14ac:dyDescent="0.2">
      <c r="F333" t="str">
        <f t="shared" ca="1" si="10"/>
        <v/>
      </c>
      <c r="G333">
        <f t="shared" ca="1" si="11"/>
        <v>0</v>
      </c>
    </row>
    <row r="334" spans="6:7" x14ac:dyDescent="0.2">
      <c r="F334" t="str">
        <f t="shared" ca="1" si="10"/>
        <v/>
      </c>
      <c r="G334">
        <f t="shared" ca="1" si="11"/>
        <v>0</v>
      </c>
    </row>
    <row r="335" spans="6:7" x14ac:dyDescent="0.2">
      <c r="F335" t="str">
        <f t="shared" ca="1" si="10"/>
        <v/>
      </c>
      <c r="G335">
        <f t="shared" ca="1" si="11"/>
        <v>0</v>
      </c>
    </row>
    <row r="336" spans="6:7" x14ac:dyDescent="0.2">
      <c r="F336" t="str">
        <f t="shared" ca="1" si="10"/>
        <v/>
      </c>
      <c r="G336">
        <f t="shared" ca="1" si="11"/>
        <v>0</v>
      </c>
    </row>
    <row r="337" spans="6:7" x14ac:dyDescent="0.2">
      <c r="F337" t="str">
        <f t="shared" ca="1" si="10"/>
        <v/>
      </c>
      <c r="G337">
        <f t="shared" ca="1" si="11"/>
        <v>0</v>
      </c>
    </row>
    <row r="338" spans="6:7" x14ac:dyDescent="0.2">
      <c r="F338" t="str">
        <f t="shared" ca="1" si="10"/>
        <v/>
      </c>
      <c r="G338">
        <f t="shared" ca="1" si="11"/>
        <v>0</v>
      </c>
    </row>
    <row r="339" spans="6:7" x14ac:dyDescent="0.2">
      <c r="F339" t="str">
        <f t="shared" ca="1" si="10"/>
        <v/>
      </c>
      <c r="G339">
        <f t="shared" ca="1" si="11"/>
        <v>0</v>
      </c>
    </row>
    <row r="340" spans="6:7" x14ac:dyDescent="0.2">
      <c r="F340" t="str">
        <f t="shared" ca="1" si="10"/>
        <v/>
      </c>
      <c r="G340">
        <f t="shared" ca="1" si="11"/>
        <v>0</v>
      </c>
    </row>
    <row r="341" spans="6:7" x14ac:dyDescent="0.2">
      <c r="F341" t="str">
        <f t="shared" ca="1" si="10"/>
        <v/>
      </c>
      <c r="G341">
        <f t="shared" ca="1" si="11"/>
        <v>0</v>
      </c>
    </row>
    <row r="342" spans="6:7" x14ac:dyDescent="0.2">
      <c r="F342" t="str">
        <f t="shared" ca="1" si="10"/>
        <v/>
      </c>
      <c r="G342">
        <f t="shared" ca="1" si="11"/>
        <v>0</v>
      </c>
    </row>
    <row r="343" spans="6:7" x14ac:dyDescent="0.2">
      <c r="F343" t="str">
        <f t="shared" ca="1" si="10"/>
        <v/>
      </c>
      <c r="G343">
        <f t="shared" ca="1" si="11"/>
        <v>0</v>
      </c>
    </row>
    <row r="344" spans="6:7" x14ac:dyDescent="0.2">
      <c r="F344" t="str">
        <f t="shared" ca="1" si="10"/>
        <v/>
      </c>
      <c r="G344">
        <f t="shared" ca="1" si="11"/>
        <v>0</v>
      </c>
    </row>
    <row r="345" spans="6:7" x14ac:dyDescent="0.2">
      <c r="F345" t="str">
        <f t="shared" ca="1" si="10"/>
        <v/>
      </c>
      <c r="G345">
        <f t="shared" ca="1" si="11"/>
        <v>0</v>
      </c>
    </row>
    <row r="346" spans="6:7" x14ac:dyDescent="0.2">
      <c r="F346" t="str">
        <f t="shared" ca="1" si="10"/>
        <v/>
      </c>
      <c r="G346">
        <f t="shared" ca="1" si="11"/>
        <v>0</v>
      </c>
    </row>
    <row r="347" spans="6:7" x14ac:dyDescent="0.2">
      <c r="F347" t="str">
        <f t="shared" ca="1" si="10"/>
        <v/>
      </c>
      <c r="G347">
        <f t="shared" ca="1" si="11"/>
        <v>0</v>
      </c>
    </row>
    <row r="348" spans="6:7" x14ac:dyDescent="0.2">
      <c r="F348" t="str">
        <f t="shared" ca="1" si="10"/>
        <v/>
      </c>
      <c r="G348">
        <f t="shared" ca="1" si="11"/>
        <v>0</v>
      </c>
    </row>
    <row r="349" spans="6:7" x14ac:dyDescent="0.2">
      <c r="F349" t="str">
        <f t="shared" ca="1" si="10"/>
        <v/>
      </c>
      <c r="G349">
        <f t="shared" ca="1" si="11"/>
        <v>0</v>
      </c>
    </row>
    <row r="350" spans="6:7" x14ac:dyDescent="0.2">
      <c r="F350" t="str">
        <f t="shared" ca="1" si="10"/>
        <v/>
      </c>
      <c r="G350">
        <f t="shared" ca="1" si="11"/>
        <v>0</v>
      </c>
    </row>
    <row r="351" spans="6:7" x14ac:dyDescent="0.2">
      <c r="F351" t="str">
        <f t="shared" ca="1" si="10"/>
        <v/>
      </c>
      <c r="G351">
        <f t="shared" ca="1" si="11"/>
        <v>0</v>
      </c>
    </row>
    <row r="352" spans="6:7" x14ac:dyDescent="0.2">
      <c r="F352" t="str">
        <f t="shared" ca="1" si="10"/>
        <v/>
      </c>
      <c r="G352">
        <f t="shared" ca="1" si="11"/>
        <v>0</v>
      </c>
    </row>
    <row r="353" spans="6:7" x14ac:dyDescent="0.2">
      <c r="F353" t="str">
        <f t="shared" ca="1" si="10"/>
        <v/>
      </c>
      <c r="G353">
        <f t="shared" ca="1" si="11"/>
        <v>0</v>
      </c>
    </row>
    <row r="354" spans="6:7" x14ac:dyDescent="0.2">
      <c r="F354" t="str">
        <f t="shared" ca="1" si="10"/>
        <v/>
      </c>
      <c r="G354">
        <f t="shared" ca="1" si="11"/>
        <v>0</v>
      </c>
    </row>
    <row r="355" spans="6:7" x14ac:dyDescent="0.2">
      <c r="F355" t="str">
        <f t="shared" ca="1" si="10"/>
        <v/>
      </c>
      <c r="G355">
        <f t="shared" ca="1" si="11"/>
        <v>0</v>
      </c>
    </row>
    <row r="356" spans="6:7" x14ac:dyDescent="0.2">
      <c r="F356" t="str">
        <f t="shared" ca="1" si="10"/>
        <v/>
      </c>
      <c r="G356">
        <f t="shared" ca="1" si="11"/>
        <v>0</v>
      </c>
    </row>
    <row r="357" spans="6:7" x14ac:dyDescent="0.2">
      <c r="F357" t="str">
        <f t="shared" ca="1" si="10"/>
        <v/>
      </c>
      <c r="G357">
        <f t="shared" ca="1" si="11"/>
        <v>0</v>
      </c>
    </row>
    <row r="358" spans="6:7" x14ac:dyDescent="0.2">
      <c r="F358" t="str">
        <f t="shared" ca="1" si="10"/>
        <v/>
      </c>
      <c r="G358">
        <f t="shared" ca="1" si="11"/>
        <v>0</v>
      </c>
    </row>
    <row r="359" spans="6:7" x14ac:dyDescent="0.2">
      <c r="F359" t="str">
        <f t="shared" ca="1" si="10"/>
        <v/>
      </c>
      <c r="G359">
        <f t="shared" ca="1" si="11"/>
        <v>0</v>
      </c>
    </row>
    <row r="360" spans="6:7" x14ac:dyDescent="0.2">
      <c r="F360" t="str">
        <f t="shared" ca="1" si="10"/>
        <v/>
      </c>
      <c r="G360">
        <f t="shared" ca="1" si="11"/>
        <v>0</v>
      </c>
    </row>
    <row r="361" spans="6:7" x14ac:dyDescent="0.2">
      <c r="F361" t="str">
        <f t="shared" ca="1" si="10"/>
        <v/>
      </c>
      <c r="G361">
        <f t="shared" ca="1" si="11"/>
        <v>0</v>
      </c>
    </row>
    <row r="362" spans="6:7" x14ac:dyDescent="0.2">
      <c r="F362" t="str">
        <f t="shared" ca="1" si="10"/>
        <v/>
      </c>
      <c r="G362">
        <f t="shared" ca="1" si="11"/>
        <v>0</v>
      </c>
    </row>
    <row r="363" spans="6:7" x14ac:dyDescent="0.2">
      <c r="F363" t="str">
        <f t="shared" ca="1" si="10"/>
        <v/>
      </c>
      <c r="G363">
        <f t="shared" ca="1" si="11"/>
        <v>0</v>
      </c>
    </row>
    <row r="364" spans="6:7" x14ac:dyDescent="0.2">
      <c r="F364" t="str">
        <f t="shared" ca="1" si="10"/>
        <v/>
      </c>
      <c r="G364">
        <f t="shared" ca="1" si="11"/>
        <v>0</v>
      </c>
    </row>
    <row r="365" spans="6:7" x14ac:dyDescent="0.2">
      <c r="F365" t="str">
        <f t="shared" ca="1" si="10"/>
        <v/>
      </c>
      <c r="G365">
        <f t="shared" ca="1" si="11"/>
        <v>0</v>
      </c>
    </row>
    <row r="366" spans="6:7" x14ac:dyDescent="0.2">
      <c r="F366" t="str">
        <f t="shared" ca="1" si="10"/>
        <v/>
      </c>
      <c r="G366">
        <f t="shared" ca="1" si="11"/>
        <v>0</v>
      </c>
    </row>
    <row r="367" spans="6:7" x14ac:dyDescent="0.2">
      <c r="F367" t="str">
        <f t="shared" ca="1" si="10"/>
        <v/>
      </c>
      <c r="G367">
        <f t="shared" ca="1" si="11"/>
        <v>0</v>
      </c>
    </row>
    <row r="368" spans="6:7" x14ac:dyDescent="0.2">
      <c r="F368" t="str">
        <f t="shared" ca="1" si="10"/>
        <v/>
      </c>
      <c r="G368">
        <f t="shared" ca="1" si="11"/>
        <v>0</v>
      </c>
    </row>
    <row r="369" spans="6:7" x14ac:dyDescent="0.2">
      <c r="F369" t="str">
        <f t="shared" ca="1" si="10"/>
        <v/>
      </c>
      <c r="G369">
        <f t="shared" ca="1" si="11"/>
        <v>0</v>
      </c>
    </row>
    <row r="370" spans="6:7" x14ac:dyDescent="0.2">
      <c r="F370" t="str">
        <f t="shared" ca="1" si="10"/>
        <v/>
      </c>
      <c r="G370">
        <f t="shared" ca="1" si="11"/>
        <v>0</v>
      </c>
    </row>
    <row r="371" spans="6:7" x14ac:dyDescent="0.2">
      <c r="F371" t="str">
        <f t="shared" ca="1" si="10"/>
        <v/>
      </c>
      <c r="G371">
        <f t="shared" ca="1" si="11"/>
        <v>0</v>
      </c>
    </row>
    <row r="372" spans="6:7" x14ac:dyDescent="0.2">
      <c r="F372" t="str">
        <f t="shared" ca="1" si="10"/>
        <v/>
      </c>
      <c r="G372">
        <f t="shared" ca="1" si="11"/>
        <v>0</v>
      </c>
    </row>
    <row r="373" spans="6:7" x14ac:dyDescent="0.2">
      <c r="F373" t="str">
        <f t="shared" ca="1" si="10"/>
        <v/>
      </c>
      <c r="G373">
        <f t="shared" ca="1" si="11"/>
        <v>0</v>
      </c>
    </row>
    <row r="374" spans="6:7" x14ac:dyDescent="0.2">
      <c r="F374" t="str">
        <f t="shared" ca="1" si="10"/>
        <v/>
      </c>
      <c r="G374">
        <f t="shared" ca="1" si="11"/>
        <v>0</v>
      </c>
    </row>
    <row r="375" spans="6:7" x14ac:dyDescent="0.2">
      <c r="F375" t="str">
        <f t="shared" ca="1" si="10"/>
        <v/>
      </c>
      <c r="G375">
        <f t="shared" ca="1" si="11"/>
        <v>0</v>
      </c>
    </row>
    <row r="376" spans="6:7" x14ac:dyDescent="0.2">
      <c r="F376" t="str">
        <f t="shared" ca="1" si="10"/>
        <v/>
      </c>
      <c r="G376">
        <f t="shared" ca="1" si="11"/>
        <v>0</v>
      </c>
    </row>
    <row r="377" spans="6:7" x14ac:dyDescent="0.2">
      <c r="F377" t="str">
        <f t="shared" ca="1" si="10"/>
        <v/>
      </c>
      <c r="G377">
        <f t="shared" ca="1" si="11"/>
        <v>0</v>
      </c>
    </row>
    <row r="378" spans="6:7" x14ac:dyDescent="0.2">
      <c r="F378" t="str">
        <f t="shared" ca="1" si="10"/>
        <v/>
      </c>
      <c r="G378">
        <f t="shared" ca="1" si="11"/>
        <v>0</v>
      </c>
    </row>
    <row r="379" spans="6:7" x14ac:dyDescent="0.2">
      <c r="F379" t="str">
        <f t="shared" ca="1" si="10"/>
        <v/>
      </c>
      <c r="G379">
        <f t="shared" ca="1" si="11"/>
        <v>0</v>
      </c>
    </row>
    <row r="380" spans="6:7" x14ac:dyDescent="0.2">
      <c r="F380" t="str">
        <f t="shared" ca="1" si="10"/>
        <v/>
      </c>
      <c r="G380">
        <f t="shared" ca="1" si="11"/>
        <v>0</v>
      </c>
    </row>
    <row r="381" spans="6:7" x14ac:dyDescent="0.2">
      <c r="F381" t="str">
        <f t="shared" ca="1" si="10"/>
        <v/>
      </c>
      <c r="G381">
        <f t="shared" ca="1" si="11"/>
        <v>0</v>
      </c>
    </row>
    <row r="382" spans="6:7" x14ac:dyDescent="0.2">
      <c r="F382" t="str">
        <f t="shared" ca="1" si="10"/>
        <v/>
      </c>
      <c r="G382">
        <f t="shared" ca="1" si="11"/>
        <v>0</v>
      </c>
    </row>
    <row r="383" spans="6:7" x14ac:dyDescent="0.2">
      <c r="F383" t="str">
        <f t="shared" ca="1" si="10"/>
        <v/>
      </c>
      <c r="G383">
        <f t="shared" ca="1" si="11"/>
        <v>0</v>
      </c>
    </row>
    <row r="384" spans="6:7" x14ac:dyDescent="0.2">
      <c r="F384" t="str">
        <f t="shared" ca="1" si="10"/>
        <v/>
      </c>
      <c r="G384">
        <f t="shared" ca="1" si="11"/>
        <v>0</v>
      </c>
    </row>
    <row r="385" spans="6:7" x14ac:dyDescent="0.2">
      <c r="F385" t="str">
        <f t="shared" ca="1" si="10"/>
        <v/>
      </c>
      <c r="G385">
        <f t="shared" ca="1" si="11"/>
        <v>0</v>
      </c>
    </row>
    <row r="386" spans="6:7" x14ac:dyDescent="0.2">
      <c r="F386" t="str">
        <f t="shared" ref="F386:F449" ca="1" si="12">IFERROR(MATCH(OFFSET($A$1,ROW()-1,0,1,1),A:A,0),"")</f>
        <v/>
      </c>
      <c r="G386">
        <f t="shared" ref="G386:G449" ca="1" si="13">COUNTIF(A:A,OFFSET($A$1,ROW()-1,0))</f>
        <v>0</v>
      </c>
    </row>
    <row r="387" spans="6:7" x14ac:dyDescent="0.2">
      <c r="F387" t="str">
        <f t="shared" ca="1" si="12"/>
        <v/>
      </c>
      <c r="G387">
        <f t="shared" ca="1" si="13"/>
        <v>0</v>
      </c>
    </row>
    <row r="388" spans="6:7" x14ac:dyDescent="0.2">
      <c r="F388" t="str">
        <f t="shared" ca="1" si="12"/>
        <v/>
      </c>
      <c r="G388">
        <f t="shared" ca="1" si="13"/>
        <v>0</v>
      </c>
    </row>
    <row r="389" spans="6:7" x14ac:dyDescent="0.2">
      <c r="F389" t="str">
        <f t="shared" ca="1" si="12"/>
        <v/>
      </c>
      <c r="G389">
        <f t="shared" ca="1" si="13"/>
        <v>0</v>
      </c>
    </row>
    <row r="390" spans="6:7" x14ac:dyDescent="0.2">
      <c r="F390" t="str">
        <f t="shared" ca="1" si="12"/>
        <v/>
      </c>
      <c r="G390">
        <f t="shared" ca="1" si="13"/>
        <v>0</v>
      </c>
    </row>
    <row r="391" spans="6:7" x14ac:dyDescent="0.2">
      <c r="F391" t="str">
        <f t="shared" ca="1" si="12"/>
        <v/>
      </c>
      <c r="G391">
        <f t="shared" ca="1" si="13"/>
        <v>0</v>
      </c>
    </row>
    <row r="392" spans="6:7" x14ac:dyDescent="0.2">
      <c r="F392" t="str">
        <f t="shared" ca="1" si="12"/>
        <v/>
      </c>
      <c r="G392">
        <f t="shared" ca="1" si="13"/>
        <v>0</v>
      </c>
    </row>
    <row r="393" spans="6:7" x14ac:dyDescent="0.2">
      <c r="F393" t="str">
        <f t="shared" ca="1" si="12"/>
        <v/>
      </c>
      <c r="G393">
        <f t="shared" ca="1" si="13"/>
        <v>0</v>
      </c>
    </row>
    <row r="394" spans="6:7" x14ac:dyDescent="0.2">
      <c r="F394" t="str">
        <f t="shared" ca="1" si="12"/>
        <v/>
      </c>
      <c r="G394">
        <f t="shared" ca="1" si="13"/>
        <v>0</v>
      </c>
    </row>
    <row r="395" spans="6:7" x14ac:dyDescent="0.2">
      <c r="F395" t="str">
        <f t="shared" ca="1" si="12"/>
        <v/>
      </c>
      <c r="G395">
        <f t="shared" ca="1" si="13"/>
        <v>0</v>
      </c>
    </row>
    <row r="396" spans="6:7" x14ac:dyDescent="0.2">
      <c r="F396" t="str">
        <f t="shared" ca="1" si="12"/>
        <v/>
      </c>
      <c r="G396">
        <f t="shared" ca="1" si="13"/>
        <v>0</v>
      </c>
    </row>
    <row r="397" spans="6:7" x14ac:dyDescent="0.2">
      <c r="F397" t="str">
        <f t="shared" ca="1" si="12"/>
        <v/>
      </c>
      <c r="G397">
        <f t="shared" ca="1" si="13"/>
        <v>0</v>
      </c>
    </row>
    <row r="398" spans="6:7" x14ac:dyDescent="0.2">
      <c r="F398" t="str">
        <f t="shared" ca="1" si="12"/>
        <v/>
      </c>
      <c r="G398">
        <f t="shared" ca="1" si="13"/>
        <v>0</v>
      </c>
    </row>
    <row r="399" spans="6:7" x14ac:dyDescent="0.2">
      <c r="F399" t="str">
        <f t="shared" ca="1" si="12"/>
        <v/>
      </c>
      <c r="G399">
        <f t="shared" ca="1" si="13"/>
        <v>0</v>
      </c>
    </row>
    <row r="400" spans="6:7" x14ac:dyDescent="0.2">
      <c r="F400" t="str">
        <f t="shared" ca="1" si="12"/>
        <v/>
      </c>
      <c r="G400">
        <f t="shared" ca="1" si="13"/>
        <v>0</v>
      </c>
    </row>
    <row r="401" spans="6:7" x14ac:dyDescent="0.2">
      <c r="F401" t="str">
        <f t="shared" ca="1" si="12"/>
        <v/>
      </c>
      <c r="G401">
        <f t="shared" ca="1" si="13"/>
        <v>0</v>
      </c>
    </row>
    <row r="402" spans="6:7" x14ac:dyDescent="0.2">
      <c r="F402" t="str">
        <f t="shared" ca="1" si="12"/>
        <v/>
      </c>
      <c r="G402">
        <f t="shared" ca="1" si="13"/>
        <v>0</v>
      </c>
    </row>
    <row r="403" spans="6:7" x14ac:dyDescent="0.2">
      <c r="F403" t="str">
        <f t="shared" ca="1" si="12"/>
        <v/>
      </c>
      <c r="G403">
        <f t="shared" ca="1" si="13"/>
        <v>0</v>
      </c>
    </row>
    <row r="404" spans="6:7" x14ac:dyDescent="0.2">
      <c r="F404" t="str">
        <f t="shared" ca="1" si="12"/>
        <v/>
      </c>
      <c r="G404">
        <f t="shared" ca="1" si="13"/>
        <v>0</v>
      </c>
    </row>
    <row r="405" spans="6:7" x14ac:dyDescent="0.2">
      <c r="F405" t="str">
        <f t="shared" ca="1" si="12"/>
        <v/>
      </c>
      <c r="G405">
        <f t="shared" ca="1" si="13"/>
        <v>0</v>
      </c>
    </row>
    <row r="406" spans="6:7" x14ac:dyDescent="0.2">
      <c r="F406" t="str">
        <f t="shared" ca="1" si="12"/>
        <v/>
      </c>
      <c r="G406">
        <f t="shared" ca="1" si="13"/>
        <v>0</v>
      </c>
    </row>
    <row r="407" spans="6:7" x14ac:dyDescent="0.2">
      <c r="F407" t="str">
        <f t="shared" ca="1" si="12"/>
        <v/>
      </c>
      <c r="G407">
        <f t="shared" ca="1" si="13"/>
        <v>0</v>
      </c>
    </row>
    <row r="408" spans="6:7" x14ac:dyDescent="0.2">
      <c r="F408" t="str">
        <f t="shared" ca="1" si="12"/>
        <v/>
      </c>
      <c r="G408">
        <f t="shared" ca="1" si="13"/>
        <v>0</v>
      </c>
    </row>
    <row r="409" spans="6:7" x14ac:dyDescent="0.2">
      <c r="F409" t="str">
        <f t="shared" ca="1" si="12"/>
        <v/>
      </c>
      <c r="G409">
        <f t="shared" ca="1" si="13"/>
        <v>0</v>
      </c>
    </row>
    <row r="410" spans="6:7" x14ac:dyDescent="0.2">
      <c r="F410" t="str">
        <f t="shared" ca="1" si="12"/>
        <v/>
      </c>
      <c r="G410">
        <f t="shared" ca="1" si="13"/>
        <v>0</v>
      </c>
    </row>
    <row r="411" spans="6:7" x14ac:dyDescent="0.2">
      <c r="F411" t="str">
        <f t="shared" ca="1" si="12"/>
        <v/>
      </c>
      <c r="G411">
        <f t="shared" ca="1" si="13"/>
        <v>0</v>
      </c>
    </row>
    <row r="412" spans="6:7" x14ac:dyDescent="0.2">
      <c r="F412" t="str">
        <f t="shared" ca="1" si="12"/>
        <v/>
      </c>
      <c r="G412">
        <f t="shared" ca="1" si="13"/>
        <v>0</v>
      </c>
    </row>
    <row r="413" spans="6:7" x14ac:dyDescent="0.2">
      <c r="F413" t="str">
        <f t="shared" ca="1" si="12"/>
        <v/>
      </c>
      <c r="G413">
        <f t="shared" ca="1" si="13"/>
        <v>0</v>
      </c>
    </row>
    <row r="414" spans="6:7" x14ac:dyDescent="0.2">
      <c r="F414" t="str">
        <f t="shared" ca="1" si="12"/>
        <v/>
      </c>
      <c r="G414">
        <f t="shared" ca="1" si="13"/>
        <v>0</v>
      </c>
    </row>
    <row r="415" spans="6:7" x14ac:dyDescent="0.2">
      <c r="F415" t="str">
        <f t="shared" ca="1" si="12"/>
        <v/>
      </c>
      <c r="G415">
        <f t="shared" ca="1" si="13"/>
        <v>0</v>
      </c>
    </row>
    <row r="416" spans="6:7" x14ac:dyDescent="0.2">
      <c r="F416" t="str">
        <f t="shared" ca="1" si="12"/>
        <v/>
      </c>
      <c r="G416">
        <f t="shared" ca="1" si="13"/>
        <v>0</v>
      </c>
    </row>
    <row r="417" spans="6:7" x14ac:dyDescent="0.2">
      <c r="F417" t="str">
        <f t="shared" ca="1" si="12"/>
        <v/>
      </c>
      <c r="G417">
        <f t="shared" ca="1" si="13"/>
        <v>0</v>
      </c>
    </row>
    <row r="418" spans="6:7" x14ac:dyDescent="0.2">
      <c r="F418" t="str">
        <f t="shared" ca="1" si="12"/>
        <v/>
      </c>
      <c r="G418">
        <f t="shared" ca="1" si="13"/>
        <v>0</v>
      </c>
    </row>
    <row r="419" spans="6:7" x14ac:dyDescent="0.2">
      <c r="F419" t="str">
        <f t="shared" ca="1" si="12"/>
        <v/>
      </c>
      <c r="G419">
        <f t="shared" ca="1" si="13"/>
        <v>0</v>
      </c>
    </row>
    <row r="420" spans="6:7" x14ac:dyDescent="0.2">
      <c r="F420" t="str">
        <f t="shared" ca="1" si="12"/>
        <v/>
      </c>
      <c r="G420">
        <f t="shared" ca="1" si="13"/>
        <v>0</v>
      </c>
    </row>
    <row r="421" spans="6:7" x14ac:dyDescent="0.2">
      <c r="F421" t="str">
        <f t="shared" ca="1" si="12"/>
        <v/>
      </c>
      <c r="G421">
        <f t="shared" ca="1" si="13"/>
        <v>0</v>
      </c>
    </row>
    <row r="422" spans="6:7" x14ac:dyDescent="0.2">
      <c r="F422" t="str">
        <f t="shared" ca="1" si="12"/>
        <v/>
      </c>
      <c r="G422">
        <f t="shared" ca="1" si="13"/>
        <v>0</v>
      </c>
    </row>
    <row r="423" spans="6:7" x14ac:dyDescent="0.2">
      <c r="F423" t="str">
        <f t="shared" ca="1" si="12"/>
        <v/>
      </c>
      <c r="G423">
        <f t="shared" ca="1" si="13"/>
        <v>0</v>
      </c>
    </row>
    <row r="424" spans="6:7" x14ac:dyDescent="0.2">
      <c r="F424" t="str">
        <f t="shared" ca="1" si="12"/>
        <v/>
      </c>
      <c r="G424">
        <f t="shared" ca="1" si="13"/>
        <v>0</v>
      </c>
    </row>
    <row r="425" spans="6:7" x14ac:dyDescent="0.2">
      <c r="F425" t="str">
        <f t="shared" ca="1" si="12"/>
        <v/>
      </c>
      <c r="G425">
        <f t="shared" ca="1" si="13"/>
        <v>0</v>
      </c>
    </row>
    <row r="426" spans="6:7" x14ac:dyDescent="0.2">
      <c r="F426" t="str">
        <f t="shared" ca="1" si="12"/>
        <v/>
      </c>
      <c r="G426">
        <f t="shared" ca="1" si="13"/>
        <v>0</v>
      </c>
    </row>
    <row r="427" spans="6:7" x14ac:dyDescent="0.2">
      <c r="F427" t="str">
        <f t="shared" ca="1" si="12"/>
        <v/>
      </c>
      <c r="G427">
        <f t="shared" ca="1" si="13"/>
        <v>0</v>
      </c>
    </row>
    <row r="428" spans="6:7" x14ac:dyDescent="0.2">
      <c r="F428" t="str">
        <f t="shared" ca="1" si="12"/>
        <v/>
      </c>
      <c r="G428">
        <f t="shared" ca="1" si="13"/>
        <v>0</v>
      </c>
    </row>
    <row r="429" spans="6:7" x14ac:dyDescent="0.2">
      <c r="F429" t="str">
        <f t="shared" ca="1" si="12"/>
        <v/>
      </c>
      <c r="G429">
        <f t="shared" ca="1" si="13"/>
        <v>0</v>
      </c>
    </row>
    <row r="430" spans="6:7" x14ac:dyDescent="0.2">
      <c r="F430" t="str">
        <f t="shared" ca="1" si="12"/>
        <v/>
      </c>
      <c r="G430">
        <f t="shared" ca="1" si="13"/>
        <v>0</v>
      </c>
    </row>
    <row r="431" spans="6:7" x14ac:dyDescent="0.2">
      <c r="F431" t="str">
        <f t="shared" ca="1" si="12"/>
        <v/>
      </c>
      <c r="G431">
        <f t="shared" ca="1" si="13"/>
        <v>0</v>
      </c>
    </row>
    <row r="432" spans="6:7" x14ac:dyDescent="0.2">
      <c r="F432" t="str">
        <f t="shared" ca="1" si="12"/>
        <v/>
      </c>
      <c r="G432">
        <f t="shared" ca="1" si="13"/>
        <v>0</v>
      </c>
    </row>
    <row r="433" spans="6:7" x14ac:dyDescent="0.2">
      <c r="F433" t="str">
        <f t="shared" ca="1" si="12"/>
        <v/>
      </c>
      <c r="G433">
        <f t="shared" ca="1" si="13"/>
        <v>0</v>
      </c>
    </row>
    <row r="434" spans="6:7" x14ac:dyDescent="0.2">
      <c r="F434" t="str">
        <f t="shared" ca="1" si="12"/>
        <v/>
      </c>
      <c r="G434">
        <f t="shared" ca="1" si="13"/>
        <v>0</v>
      </c>
    </row>
    <row r="435" spans="6:7" x14ac:dyDescent="0.2">
      <c r="F435" t="str">
        <f t="shared" ca="1" si="12"/>
        <v/>
      </c>
      <c r="G435">
        <f t="shared" ca="1" si="13"/>
        <v>0</v>
      </c>
    </row>
    <row r="436" spans="6:7" x14ac:dyDescent="0.2">
      <c r="F436" t="str">
        <f t="shared" ca="1" si="12"/>
        <v/>
      </c>
      <c r="G436">
        <f t="shared" ca="1" si="13"/>
        <v>0</v>
      </c>
    </row>
    <row r="437" spans="6:7" x14ac:dyDescent="0.2">
      <c r="F437" t="str">
        <f t="shared" ca="1" si="12"/>
        <v/>
      </c>
      <c r="G437">
        <f t="shared" ca="1" si="13"/>
        <v>0</v>
      </c>
    </row>
    <row r="438" spans="6:7" x14ac:dyDescent="0.2">
      <c r="F438" t="str">
        <f t="shared" ca="1" si="12"/>
        <v/>
      </c>
      <c r="G438">
        <f t="shared" ca="1" si="13"/>
        <v>0</v>
      </c>
    </row>
    <row r="439" spans="6:7" x14ac:dyDescent="0.2">
      <c r="F439" t="str">
        <f t="shared" ca="1" si="12"/>
        <v/>
      </c>
      <c r="G439">
        <f t="shared" ca="1" si="13"/>
        <v>0</v>
      </c>
    </row>
    <row r="440" spans="6:7" x14ac:dyDescent="0.2">
      <c r="F440" t="str">
        <f t="shared" ca="1" si="12"/>
        <v/>
      </c>
      <c r="G440">
        <f t="shared" ca="1" si="13"/>
        <v>0</v>
      </c>
    </row>
    <row r="441" spans="6:7" x14ac:dyDescent="0.2">
      <c r="F441" t="str">
        <f t="shared" ca="1" si="12"/>
        <v/>
      </c>
      <c r="G441">
        <f t="shared" ca="1" si="13"/>
        <v>0</v>
      </c>
    </row>
    <row r="442" spans="6:7" x14ac:dyDescent="0.2">
      <c r="F442" t="str">
        <f t="shared" ca="1" si="12"/>
        <v/>
      </c>
      <c r="G442">
        <f t="shared" ca="1" si="13"/>
        <v>0</v>
      </c>
    </row>
    <row r="443" spans="6:7" x14ac:dyDescent="0.2">
      <c r="F443" t="str">
        <f t="shared" ca="1" si="12"/>
        <v/>
      </c>
      <c r="G443">
        <f t="shared" ca="1" si="13"/>
        <v>0</v>
      </c>
    </row>
    <row r="444" spans="6:7" x14ac:dyDescent="0.2">
      <c r="F444" t="str">
        <f t="shared" ca="1" si="12"/>
        <v/>
      </c>
      <c r="G444">
        <f t="shared" ca="1" si="13"/>
        <v>0</v>
      </c>
    </row>
    <row r="445" spans="6:7" x14ac:dyDescent="0.2">
      <c r="F445" t="str">
        <f t="shared" ca="1" si="12"/>
        <v/>
      </c>
      <c r="G445">
        <f t="shared" ca="1" si="13"/>
        <v>0</v>
      </c>
    </row>
    <row r="446" spans="6:7" x14ac:dyDescent="0.2">
      <c r="F446" t="str">
        <f t="shared" ca="1" si="12"/>
        <v/>
      </c>
      <c r="G446">
        <f t="shared" ca="1" si="13"/>
        <v>0</v>
      </c>
    </row>
    <row r="447" spans="6:7" x14ac:dyDescent="0.2">
      <c r="F447" t="str">
        <f t="shared" ca="1" si="12"/>
        <v/>
      </c>
      <c r="G447">
        <f t="shared" ca="1" si="13"/>
        <v>0</v>
      </c>
    </row>
    <row r="448" spans="6:7" x14ac:dyDescent="0.2">
      <c r="F448" t="str">
        <f t="shared" ca="1" si="12"/>
        <v/>
      </c>
      <c r="G448">
        <f t="shared" ca="1" si="13"/>
        <v>0</v>
      </c>
    </row>
    <row r="449" spans="6:7" x14ac:dyDescent="0.2">
      <c r="F449" t="str">
        <f t="shared" ca="1" si="12"/>
        <v/>
      </c>
      <c r="G449">
        <f t="shared" ca="1" si="13"/>
        <v>0</v>
      </c>
    </row>
    <row r="450" spans="6:7" x14ac:dyDescent="0.2">
      <c r="F450" t="str">
        <f t="shared" ref="F450:F513" ca="1" si="14">IFERROR(MATCH(OFFSET($A$1,ROW()-1,0,1,1),A:A,0),"")</f>
        <v/>
      </c>
      <c r="G450">
        <f t="shared" ref="G450:G513" ca="1" si="15">COUNTIF(A:A,OFFSET($A$1,ROW()-1,0))</f>
        <v>0</v>
      </c>
    </row>
    <row r="451" spans="6:7" x14ac:dyDescent="0.2">
      <c r="F451" t="str">
        <f t="shared" ca="1" si="14"/>
        <v/>
      </c>
      <c r="G451">
        <f t="shared" ca="1" si="15"/>
        <v>0</v>
      </c>
    </row>
    <row r="452" spans="6:7" x14ac:dyDescent="0.2">
      <c r="F452" t="str">
        <f t="shared" ca="1" si="14"/>
        <v/>
      </c>
      <c r="G452">
        <f t="shared" ca="1" si="15"/>
        <v>0</v>
      </c>
    </row>
    <row r="453" spans="6:7" x14ac:dyDescent="0.2">
      <c r="F453" t="str">
        <f t="shared" ca="1" si="14"/>
        <v/>
      </c>
      <c r="G453">
        <f t="shared" ca="1" si="15"/>
        <v>0</v>
      </c>
    </row>
    <row r="454" spans="6:7" x14ac:dyDescent="0.2">
      <c r="F454" t="str">
        <f t="shared" ca="1" si="14"/>
        <v/>
      </c>
      <c r="G454">
        <f t="shared" ca="1" si="15"/>
        <v>0</v>
      </c>
    </row>
    <row r="455" spans="6:7" x14ac:dyDescent="0.2">
      <c r="F455" t="str">
        <f t="shared" ca="1" si="14"/>
        <v/>
      </c>
      <c r="G455">
        <f t="shared" ca="1" si="15"/>
        <v>0</v>
      </c>
    </row>
    <row r="456" spans="6:7" x14ac:dyDescent="0.2">
      <c r="F456" t="str">
        <f t="shared" ca="1" si="14"/>
        <v/>
      </c>
      <c r="G456">
        <f t="shared" ca="1" si="15"/>
        <v>0</v>
      </c>
    </row>
    <row r="457" spans="6:7" x14ac:dyDescent="0.2">
      <c r="F457" t="str">
        <f t="shared" ca="1" si="14"/>
        <v/>
      </c>
      <c r="G457">
        <f t="shared" ca="1" si="15"/>
        <v>0</v>
      </c>
    </row>
    <row r="458" spans="6:7" x14ac:dyDescent="0.2">
      <c r="F458" t="str">
        <f t="shared" ca="1" si="14"/>
        <v/>
      </c>
      <c r="G458">
        <f t="shared" ca="1" si="15"/>
        <v>0</v>
      </c>
    </row>
    <row r="459" spans="6:7" x14ac:dyDescent="0.2">
      <c r="F459" t="str">
        <f t="shared" ca="1" si="14"/>
        <v/>
      </c>
      <c r="G459">
        <f t="shared" ca="1" si="15"/>
        <v>0</v>
      </c>
    </row>
    <row r="460" spans="6:7" x14ac:dyDescent="0.2">
      <c r="F460" t="str">
        <f t="shared" ca="1" si="14"/>
        <v/>
      </c>
      <c r="G460">
        <f t="shared" ca="1" si="15"/>
        <v>0</v>
      </c>
    </row>
    <row r="461" spans="6:7" x14ac:dyDescent="0.2">
      <c r="F461" t="str">
        <f t="shared" ca="1" si="14"/>
        <v/>
      </c>
      <c r="G461">
        <f t="shared" ca="1" si="15"/>
        <v>0</v>
      </c>
    </row>
    <row r="462" spans="6:7" x14ac:dyDescent="0.2">
      <c r="F462" t="str">
        <f t="shared" ca="1" si="14"/>
        <v/>
      </c>
      <c r="G462">
        <f t="shared" ca="1" si="15"/>
        <v>0</v>
      </c>
    </row>
    <row r="463" spans="6:7" x14ac:dyDescent="0.2">
      <c r="F463" t="str">
        <f t="shared" ca="1" si="14"/>
        <v/>
      </c>
      <c r="G463">
        <f t="shared" ca="1" si="15"/>
        <v>0</v>
      </c>
    </row>
    <row r="464" spans="6:7" x14ac:dyDescent="0.2">
      <c r="F464" t="str">
        <f t="shared" ca="1" si="14"/>
        <v/>
      </c>
      <c r="G464">
        <f t="shared" ca="1" si="15"/>
        <v>0</v>
      </c>
    </row>
    <row r="465" spans="6:7" x14ac:dyDescent="0.2">
      <c r="F465" t="str">
        <f t="shared" ca="1" si="14"/>
        <v/>
      </c>
      <c r="G465">
        <f t="shared" ca="1" si="15"/>
        <v>0</v>
      </c>
    </row>
    <row r="466" spans="6:7" x14ac:dyDescent="0.2">
      <c r="F466" t="str">
        <f t="shared" ca="1" si="14"/>
        <v/>
      </c>
      <c r="G466">
        <f t="shared" ca="1" si="15"/>
        <v>0</v>
      </c>
    </row>
    <row r="467" spans="6:7" x14ac:dyDescent="0.2">
      <c r="F467" t="str">
        <f t="shared" ca="1" si="14"/>
        <v/>
      </c>
      <c r="G467">
        <f t="shared" ca="1" si="15"/>
        <v>0</v>
      </c>
    </row>
    <row r="468" spans="6:7" x14ac:dyDescent="0.2">
      <c r="F468" t="str">
        <f t="shared" ca="1" si="14"/>
        <v/>
      </c>
      <c r="G468">
        <f t="shared" ca="1" si="15"/>
        <v>0</v>
      </c>
    </row>
    <row r="469" spans="6:7" x14ac:dyDescent="0.2">
      <c r="F469" t="str">
        <f t="shared" ca="1" si="14"/>
        <v/>
      </c>
      <c r="G469">
        <f t="shared" ca="1" si="15"/>
        <v>0</v>
      </c>
    </row>
    <row r="470" spans="6:7" x14ac:dyDescent="0.2">
      <c r="F470" t="str">
        <f t="shared" ca="1" si="14"/>
        <v/>
      </c>
      <c r="G470">
        <f t="shared" ca="1" si="15"/>
        <v>0</v>
      </c>
    </row>
    <row r="471" spans="6:7" x14ac:dyDescent="0.2">
      <c r="F471" t="str">
        <f t="shared" ca="1" si="14"/>
        <v/>
      </c>
      <c r="G471">
        <f t="shared" ca="1" si="15"/>
        <v>0</v>
      </c>
    </row>
    <row r="472" spans="6:7" x14ac:dyDescent="0.2">
      <c r="F472" t="str">
        <f t="shared" ca="1" si="14"/>
        <v/>
      </c>
      <c r="G472">
        <f t="shared" ca="1" si="15"/>
        <v>0</v>
      </c>
    </row>
    <row r="473" spans="6:7" x14ac:dyDescent="0.2">
      <c r="F473" t="str">
        <f t="shared" ca="1" si="14"/>
        <v/>
      </c>
      <c r="G473">
        <f t="shared" ca="1" si="15"/>
        <v>0</v>
      </c>
    </row>
    <row r="474" spans="6:7" x14ac:dyDescent="0.2">
      <c r="F474" t="str">
        <f t="shared" ca="1" si="14"/>
        <v/>
      </c>
      <c r="G474">
        <f t="shared" ca="1" si="15"/>
        <v>0</v>
      </c>
    </row>
    <row r="475" spans="6:7" x14ac:dyDescent="0.2">
      <c r="F475" t="str">
        <f t="shared" ca="1" si="14"/>
        <v/>
      </c>
      <c r="G475">
        <f t="shared" ca="1" si="15"/>
        <v>0</v>
      </c>
    </row>
    <row r="476" spans="6:7" x14ac:dyDescent="0.2">
      <c r="F476" t="str">
        <f t="shared" ca="1" si="14"/>
        <v/>
      </c>
      <c r="G476">
        <f t="shared" ca="1" si="15"/>
        <v>0</v>
      </c>
    </row>
    <row r="477" spans="6:7" x14ac:dyDescent="0.2">
      <c r="F477" t="str">
        <f t="shared" ca="1" si="14"/>
        <v/>
      </c>
      <c r="G477">
        <f t="shared" ca="1" si="15"/>
        <v>0</v>
      </c>
    </row>
    <row r="478" spans="6:7" x14ac:dyDescent="0.2">
      <c r="F478" t="str">
        <f t="shared" ca="1" si="14"/>
        <v/>
      </c>
      <c r="G478">
        <f t="shared" ca="1" si="15"/>
        <v>0</v>
      </c>
    </row>
    <row r="479" spans="6:7" x14ac:dyDescent="0.2">
      <c r="F479" t="str">
        <f t="shared" ca="1" si="14"/>
        <v/>
      </c>
      <c r="G479">
        <f t="shared" ca="1" si="15"/>
        <v>0</v>
      </c>
    </row>
    <row r="480" spans="6:7" x14ac:dyDescent="0.2">
      <c r="F480" t="str">
        <f t="shared" ca="1" si="14"/>
        <v/>
      </c>
      <c r="G480">
        <f t="shared" ca="1" si="15"/>
        <v>0</v>
      </c>
    </row>
    <row r="481" spans="6:7" x14ac:dyDescent="0.2">
      <c r="F481" t="str">
        <f t="shared" ca="1" si="14"/>
        <v/>
      </c>
      <c r="G481">
        <f t="shared" ca="1" si="15"/>
        <v>0</v>
      </c>
    </row>
    <row r="482" spans="6:7" x14ac:dyDescent="0.2">
      <c r="F482" t="str">
        <f t="shared" ca="1" si="14"/>
        <v/>
      </c>
      <c r="G482">
        <f t="shared" ca="1" si="15"/>
        <v>0</v>
      </c>
    </row>
    <row r="483" spans="6:7" x14ac:dyDescent="0.2">
      <c r="F483" t="str">
        <f t="shared" ca="1" si="14"/>
        <v/>
      </c>
      <c r="G483">
        <f t="shared" ca="1" si="15"/>
        <v>0</v>
      </c>
    </row>
    <row r="484" spans="6:7" x14ac:dyDescent="0.2">
      <c r="F484" t="str">
        <f t="shared" ca="1" si="14"/>
        <v/>
      </c>
      <c r="G484">
        <f t="shared" ca="1" si="15"/>
        <v>0</v>
      </c>
    </row>
    <row r="485" spans="6:7" x14ac:dyDescent="0.2">
      <c r="F485" t="str">
        <f t="shared" ca="1" si="14"/>
        <v/>
      </c>
      <c r="G485">
        <f t="shared" ca="1" si="15"/>
        <v>0</v>
      </c>
    </row>
    <row r="486" spans="6:7" x14ac:dyDescent="0.2">
      <c r="F486" t="str">
        <f t="shared" ca="1" si="14"/>
        <v/>
      </c>
      <c r="G486">
        <f t="shared" ca="1" si="15"/>
        <v>0</v>
      </c>
    </row>
    <row r="487" spans="6:7" x14ac:dyDescent="0.2">
      <c r="F487" t="str">
        <f t="shared" ca="1" si="14"/>
        <v/>
      </c>
      <c r="G487">
        <f t="shared" ca="1" si="15"/>
        <v>0</v>
      </c>
    </row>
    <row r="488" spans="6:7" x14ac:dyDescent="0.2">
      <c r="F488" t="str">
        <f t="shared" ca="1" si="14"/>
        <v/>
      </c>
      <c r="G488">
        <f t="shared" ca="1" si="15"/>
        <v>0</v>
      </c>
    </row>
    <row r="489" spans="6:7" x14ac:dyDescent="0.2">
      <c r="F489" t="str">
        <f t="shared" ca="1" si="14"/>
        <v/>
      </c>
      <c r="G489">
        <f t="shared" ca="1" si="15"/>
        <v>0</v>
      </c>
    </row>
    <row r="490" spans="6:7" x14ac:dyDescent="0.2">
      <c r="F490" t="str">
        <f t="shared" ca="1" si="14"/>
        <v/>
      </c>
      <c r="G490">
        <f t="shared" ca="1" si="15"/>
        <v>0</v>
      </c>
    </row>
    <row r="491" spans="6:7" x14ac:dyDescent="0.2">
      <c r="F491" t="str">
        <f t="shared" ca="1" si="14"/>
        <v/>
      </c>
      <c r="G491">
        <f t="shared" ca="1" si="15"/>
        <v>0</v>
      </c>
    </row>
    <row r="492" spans="6:7" x14ac:dyDescent="0.2">
      <c r="F492" t="str">
        <f t="shared" ca="1" si="14"/>
        <v/>
      </c>
      <c r="G492">
        <f t="shared" ca="1" si="15"/>
        <v>0</v>
      </c>
    </row>
    <row r="493" spans="6:7" x14ac:dyDescent="0.2">
      <c r="F493" t="str">
        <f t="shared" ca="1" si="14"/>
        <v/>
      </c>
      <c r="G493">
        <f t="shared" ca="1" si="15"/>
        <v>0</v>
      </c>
    </row>
    <row r="494" spans="6:7" x14ac:dyDescent="0.2">
      <c r="F494" t="str">
        <f t="shared" ca="1" si="14"/>
        <v/>
      </c>
      <c r="G494">
        <f t="shared" ca="1" si="15"/>
        <v>0</v>
      </c>
    </row>
    <row r="495" spans="6:7" x14ac:dyDescent="0.2">
      <c r="F495" t="str">
        <f t="shared" ca="1" si="14"/>
        <v/>
      </c>
      <c r="G495">
        <f t="shared" ca="1" si="15"/>
        <v>0</v>
      </c>
    </row>
    <row r="496" spans="6:7" x14ac:dyDescent="0.2">
      <c r="F496" t="str">
        <f t="shared" ca="1" si="14"/>
        <v/>
      </c>
      <c r="G496">
        <f t="shared" ca="1" si="15"/>
        <v>0</v>
      </c>
    </row>
    <row r="497" spans="6:7" x14ac:dyDescent="0.2">
      <c r="F497" t="str">
        <f t="shared" ca="1" si="14"/>
        <v/>
      </c>
      <c r="G497">
        <f t="shared" ca="1" si="15"/>
        <v>0</v>
      </c>
    </row>
    <row r="498" spans="6:7" x14ac:dyDescent="0.2">
      <c r="F498" t="str">
        <f t="shared" ca="1" si="14"/>
        <v/>
      </c>
      <c r="G498">
        <f t="shared" ca="1" si="15"/>
        <v>0</v>
      </c>
    </row>
    <row r="499" spans="6:7" x14ac:dyDescent="0.2">
      <c r="F499" t="str">
        <f t="shared" ca="1" si="14"/>
        <v/>
      </c>
      <c r="G499">
        <f t="shared" ca="1" si="15"/>
        <v>0</v>
      </c>
    </row>
    <row r="500" spans="6:7" x14ac:dyDescent="0.2">
      <c r="F500" t="str">
        <f t="shared" ca="1" si="14"/>
        <v/>
      </c>
      <c r="G500">
        <f t="shared" ca="1" si="15"/>
        <v>0</v>
      </c>
    </row>
    <row r="501" spans="6:7" x14ac:dyDescent="0.2">
      <c r="F501" t="str">
        <f t="shared" ca="1" si="14"/>
        <v/>
      </c>
      <c r="G501">
        <f t="shared" ca="1" si="15"/>
        <v>0</v>
      </c>
    </row>
    <row r="502" spans="6:7" x14ac:dyDescent="0.2">
      <c r="F502" t="str">
        <f t="shared" ca="1" si="14"/>
        <v/>
      </c>
      <c r="G502">
        <f t="shared" ca="1" si="15"/>
        <v>0</v>
      </c>
    </row>
    <row r="503" spans="6:7" x14ac:dyDescent="0.2">
      <c r="F503" t="str">
        <f t="shared" ca="1" si="14"/>
        <v/>
      </c>
      <c r="G503">
        <f t="shared" ca="1" si="15"/>
        <v>0</v>
      </c>
    </row>
    <row r="504" spans="6:7" x14ac:dyDescent="0.2">
      <c r="F504" t="str">
        <f t="shared" ca="1" si="14"/>
        <v/>
      </c>
      <c r="G504">
        <f t="shared" ca="1" si="15"/>
        <v>0</v>
      </c>
    </row>
    <row r="505" spans="6:7" x14ac:dyDescent="0.2">
      <c r="F505" t="str">
        <f t="shared" ca="1" si="14"/>
        <v/>
      </c>
      <c r="G505">
        <f t="shared" ca="1" si="15"/>
        <v>0</v>
      </c>
    </row>
    <row r="506" spans="6:7" x14ac:dyDescent="0.2">
      <c r="F506" t="str">
        <f t="shared" ca="1" si="14"/>
        <v/>
      </c>
      <c r="G506">
        <f t="shared" ca="1" si="15"/>
        <v>0</v>
      </c>
    </row>
    <row r="507" spans="6:7" x14ac:dyDescent="0.2">
      <c r="F507" t="str">
        <f t="shared" ca="1" si="14"/>
        <v/>
      </c>
      <c r="G507">
        <f t="shared" ca="1" si="15"/>
        <v>0</v>
      </c>
    </row>
    <row r="508" spans="6:7" x14ac:dyDescent="0.2">
      <c r="F508" t="str">
        <f t="shared" ca="1" si="14"/>
        <v/>
      </c>
      <c r="G508">
        <f t="shared" ca="1" si="15"/>
        <v>0</v>
      </c>
    </row>
    <row r="509" spans="6:7" x14ac:dyDescent="0.2">
      <c r="F509" t="str">
        <f t="shared" ca="1" si="14"/>
        <v/>
      </c>
      <c r="G509">
        <f t="shared" ca="1" si="15"/>
        <v>0</v>
      </c>
    </row>
    <row r="510" spans="6:7" x14ac:dyDescent="0.2">
      <c r="F510" t="str">
        <f t="shared" ca="1" si="14"/>
        <v/>
      </c>
      <c r="G510">
        <f t="shared" ca="1" si="15"/>
        <v>0</v>
      </c>
    </row>
    <row r="511" spans="6:7" x14ac:dyDescent="0.2">
      <c r="F511" t="str">
        <f t="shared" ca="1" si="14"/>
        <v/>
      </c>
      <c r="G511">
        <f t="shared" ca="1" si="15"/>
        <v>0</v>
      </c>
    </row>
    <row r="512" spans="6:7" x14ac:dyDescent="0.2">
      <c r="F512" t="str">
        <f t="shared" ca="1" si="14"/>
        <v/>
      </c>
      <c r="G512">
        <f t="shared" ca="1" si="15"/>
        <v>0</v>
      </c>
    </row>
    <row r="513" spans="6:7" x14ac:dyDescent="0.2">
      <c r="F513" t="str">
        <f t="shared" ca="1" si="14"/>
        <v/>
      </c>
      <c r="G513">
        <f t="shared" ca="1" si="15"/>
        <v>0</v>
      </c>
    </row>
    <row r="514" spans="6:7" x14ac:dyDescent="0.2">
      <c r="F514" t="str">
        <f t="shared" ref="F514:F577" ca="1" si="16">IFERROR(MATCH(OFFSET($A$1,ROW()-1,0,1,1),A:A,0),"")</f>
        <v/>
      </c>
      <c r="G514">
        <f t="shared" ref="G514:G577" ca="1" si="17">COUNTIF(A:A,OFFSET($A$1,ROW()-1,0))</f>
        <v>0</v>
      </c>
    </row>
    <row r="515" spans="6:7" x14ac:dyDescent="0.2">
      <c r="F515" t="str">
        <f t="shared" ca="1" si="16"/>
        <v/>
      </c>
      <c r="G515">
        <f t="shared" ca="1" si="17"/>
        <v>0</v>
      </c>
    </row>
    <row r="516" spans="6:7" x14ac:dyDescent="0.2">
      <c r="F516" t="str">
        <f t="shared" ca="1" si="16"/>
        <v/>
      </c>
      <c r="G516">
        <f t="shared" ca="1" si="17"/>
        <v>0</v>
      </c>
    </row>
    <row r="517" spans="6:7" x14ac:dyDescent="0.2">
      <c r="F517" t="str">
        <f t="shared" ca="1" si="16"/>
        <v/>
      </c>
      <c r="G517">
        <f t="shared" ca="1" si="17"/>
        <v>0</v>
      </c>
    </row>
    <row r="518" spans="6:7" x14ac:dyDescent="0.2">
      <c r="F518" t="str">
        <f t="shared" ca="1" si="16"/>
        <v/>
      </c>
      <c r="G518">
        <f t="shared" ca="1" si="17"/>
        <v>0</v>
      </c>
    </row>
    <row r="519" spans="6:7" x14ac:dyDescent="0.2">
      <c r="F519" t="str">
        <f t="shared" ca="1" si="16"/>
        <v/>
      </c>
      <c r="G519">
        <f t="shared" ca="1" si="17"/>
        <v>0</v>
      </c>
    </row>
    <row r="520" spans="6:7" x14ac:dyDescent="0.2">
      <c r="F520" t="str">
        <f t="shared" ca="1" si="16"/>
        <v/>
      </c>
      <c r="G520">
        <f t="shared" ca="1" si="17"/>
        <v>0</v>
      </c>
    </row>
    <row r="521" spans="6:7" x14ac:dyDescent="0.2">
      <c r="F521" t="str">
        <f t="shared" ca="1" si="16"/>
        <v/>
      </c>
      <c r="G521">
        <f t="shared" ca="1" si="17"/>
        <v>0</v>
      </c>
    </row>
    <row r="522" spans="6:7" x14ac:dyDescent="0.2">
      <c r="F522" t="str">
        <f t="shared" ca="1" si="16"/>
        <v/>
      </c>
      <c r="G522">
        <f t="shared" ca="1" si="17"/>
        <v>0</v>
      </c>
    </row>
    <row r="523" spans="6:7" x14ac:dyDescent="0.2">
      <c r="F523" t="str">
        <f t="shared" ca="1" si="16"/>
        <v/>
      </c>
      <c r="G523">
        <f t="shared" ca="1" si="17"/>
        <v>0</v>
      </c>
    </row>
    <row r="524" spans="6:7" x14ac:dyDescent="0.2">
      <c r="F524" t="str">
        <f t="shared" ca="1" si="16"/>
        <v/>
      </c>
      <c r="G524">
        <f t="shared" ca="1" si="17"/>
        <v>0</v>
      </c>
    </row>
    <row r="525" spans="6:7" x14ac:dyDescent="0.2">
      <c r="F525" t="str">
        <f t="shared" ca="1" si="16"/>
        <v/>
      </c>
      <c r="G525">
        <f t="shared" ca="1" si="17"/>
        <v>0</v>
      </c>
    </row>
    <row r="526" spans="6:7" x14ac:dyDescent="0.2">
      <c r="F526" t="str">
        <f t="shared" ca="1" si="16"/>
        <v/>
      </c>
      <c r="G526">
        <f t="shared" ca="1" si="17"/>
        <v>0</v>
      </c>
    </row>
    <row r="527" spans="6:7" x14ac:dyDescent="0.2">
      <c r="F527" t="str">
        <f t="shared" ca="1" si="16"/>
        <v/>
      </c>
      <c r="G527">
        <f t="shared" ca="1" si="17"/>
        <v>0</v>
      </c>
    </row>
    <row r="528" spans="6:7" x14ac:dyDescent="0.2">
      <c r="F528" t="str">
        <f t="shared" ca="1" si="16"/>
        <v/>
      </c>
      <c r="G528">
        <f t="shared" ca="1" si="17"/>
        <v>0</v>
      </c>
    </row>
    <row r="529" spans="6:7" x14ac:dyDescent="0.2">
      <c r="F529" t="str">
        <f t="shared" ca="1" si="16"/>
        <v/>
      </c>
      <c r="G529">
        <f t="shared" ca="1" si="17"/>
        <v>0</v>
      </c>
    </row>
    <row r="530" spans="6:7" x14ac:dyDescent="0.2">
      <c r="F530" t="str">
        <f t="shared" ca="1" si="16"/>
        <v/>
      </c>
      <c r="G530">
        <f t="shared" ca="1" si="17"/>
        <v>0</v>
      </c>
    </row>
    <row r="531" spans="6:7" x14ac:dyDescent="0.2">
      <c r="F531" t="str">
        <f t="shared" ca="1" si="16"/>
        <v/>
      </c>
      <c r="G531">
        <f t="shared" ca="1" si="17"/>
        <v>0</v>
      </c>
    </row>
    <row r="532" spans="6:7" x14ac:dyDescent="0.2">
      <c r="F532" t="str">
        <f t="shared" ca="1" si="16"/>
        <v/>
      </c>
      <c r="G532">
        <f t="shared" ca="1" si="17"/>
        <v>0</v>
      </c>
    </row>
    <row r="533" spans="6:7" x14ac:dyDescent="0.2">
      <c r="F533" t="str">
        <f t="shared" ca="1" si="16"/>
        <v/>
      </c>
      <c r="G533">
        <f t="shared" ca="1" si="17"/>
        <v>0</v>
      </c>
    </row>
    <row r="534" spans="6:7" x14ac:dyDescent="0.2">
      <c r="F534" t="str">
        <f t="shared" ca="1" si="16"/>
        <v/>
      </c>
      <c r="G534">
        <f t="shared" ca="1" si="17"/>
        <v>0</v>
      </c>
    </row>
    <row r="535" spans="6:7" x14ac:dyDescent="0.2">
      <c r="F535" t="str">
        <f t="shared" ca="1" si="16"/>
        <v/>
      </c>
      <c r="G535">
        <f t="shared" ca="1" si="17"/>
        <v>0</v>
      </c>
    </row>
    <row r="536" spans="6:7" x14ac:dyDescent="0.2">
      <c r="F536" t="str">
        <f t="shared" ca="1" si="16"/>
        <v/>
      </c>
      <c r="G536">
        <f t="shared" ca="1" si="17"/>
        <v>0</v>
      </c>
    </row>
    <row r="537" spans="6:7" x14ac:dyDescent="0.2">
      <c r="F537" t="str">
        <f t="shared" ca="1" si="16"/>
        <v/>
      </c>
      <c r="G537">
        <f t="shared" ca="1" si="17"/>
        <v>0</v>
      </c>
    </row>
    <row r="538" spans="6:7" x14ac:dyDescent="0.2">
      <c r="F538" t="str">
        <f t="shared" ca="1" si="16"/>
        <v/>
      </c>
      <c r="G538">
        <f t="shared" ca="1" si="17"/>
        <v>0</v>
      </c>
    </row>
    <row r="539" spans="6:7" x14ac:dyDescent="0.2">
      <c r="F539" t="str">
        <f t="shared" ca="1" si="16"/>
        <v/>
      </c>
      <c r="G539">
        <f t="shared" ca="1" si="17"/>
        <v>0</v>
      </c>
    </row>
    <row r="540" spans="6:7" x14ac:dyDescent="0.2">
      <c r="F540" t="str">
        <f t="shared" ca="1" si="16"/>
        <v/>
      </c>
      <c r="G540">
        <f t="shared" ca="1" si="17"/>
        <v>0</v>
      </c>
    </row>
    <row r="541" spans="6:7" x14ac:dyDescent="0.2">
      <c r="F541" t="str">
        <f t="shared" ca="1" si="16"/>
        <v/>
      </c>
      <c r="G541">
        <f t="shared" ca="1" si="17"/>
        <v>0</v>
      </c>
    </row>
    <row r="542" spans="6:7" x14ac:dyDescent="0.2">
      <c r="F542" t="str">
        <f t="shared" ca="1" si="16"/>
        <v/>
      </c>
      <c r="G542">
        <f t="shared" ca="1" si="17"/>
        <v>0</v>
      </c>
    </row>
    <row r="543" spans="6:7" x14ac:dyDescent="0.2">
      <c r="F543" t="str">
        <f t="shared" ca="1" si="16"/>
        <v/>
      </c>
      <c r="G543">
        <f t="shared" ca="1" si="17"/>
        <v>0</v>
      </c>
    </row>
    <row r="544" spans="6:7" x14ac:dyDescent="0.2">
      <c r="F544" t="str">
        <f t="shared" ca="1" si="16"/>
        <v/>
      </c>
      <c r="G544">
        <f t="shared" ca="1" si="17"/>
        <v>0</v>
      </c>
    </row>
    <row r="545" spans="6:7" x14ac:dyDescent="0.2">
      <c r="F545" t="str">
        <f t="shared" ca="1" si="16"/>
        <v/>
      </c>
      <c r="G545">
        <f t="shared" ca="1" si="17"/>
        <v>0</v>
      </c>
    </row>
    <row r="546" spans="6:7" x14ac:dyDescent="0.2">
      <c r="F546" t="str">
        <f t="shared" ca="1" si="16"/>
        <v/>
      </c>
      <c r="G546">
        <f t="shared" ca="1" si="17"/>
        <v>0</v>
      </c>
    </row>
    <row r="547" spans="6:7" x14ac:dyDescent="0.2">
      <c r="F547" t="str">
        <f t="shared" ca="1" si="16"/>
        <v/>
      </c>
      <c r="G547">
        <f t="shared" ca="1" si="17"/>
        <v>0</v>
      </c>
    </row>
    <row r="548" spans="6:7" x14ac:dyDescent="0.2">
      <c r="F548" t="str">
        <f t="shared" ca="1" si="16"/>
        <v/>
      </c>
      <c r="G548">
        <f t="shared" ca="1" si="17"/>
        <v>0</v>
      </c>
    </row>
    <row r="549" spans="6:7" x14ac:dyDescent="0.2">
      <c r="F549" t="str">
        <f t="shared" ca="1" si="16"/>
        <v/>
      </c>
      <c r="G549">
        <f t="shared" ca="1" si="17"/>
        <v>0</v>
      </c>
    </row>
    <row r="550" spans="6:7" x14ac:dyDescent="0.2">
      <c r="F550" t="str">
        <f t="shared" ca="1" si="16"/>
        <v/>
      </c>
      <c r="G550">
        <f t="shared" ca="1" si="17"/>
        <v>0</v>
      </c>
    </row>
    <row r="551" spans="6:7" x14ac:dyDescent="0.2">
      <c r="F551" t="str">
        <f t="shared" ca="1" si="16"/>
        <v/>
      </c>
      <c r="G551">
        <f t="shared" ca="1" si="17"/>
        <v>0</v>
      </c>
    </row>
    <row r="552" spans="6:7" x14ac:dyDescent="0.2">
      <c r="F552" t="str">
        <f t="shared" ca="1" si="16"/>
        <v/>
      </c>
      <c r="G552">
        <f t="shared" ca="1" si="17"/>
        <v>0</v>
      </c>
    </row>
    <row r="553" spans="6:7" x14ac:dyDescent="0.2">
      <c r="F553" t="str">
        <f t="shared" ca="1" si="16"/>
        <v/>
      </c>
      <c r="G553">
        <f t="shared" ca="1" si="17"/>
        <v>0</v>
      </c>
    </row>
    <row r="554" spans="6:7" x14ac:dyDescent="0.2">
      <c r="F554" t="str">
        <f t="shared" ca="1" si="16"/>
        <v/>
      </c>
      <c r="G554">
        <f t="shared" ca="1" si="17"/>
        <v>0</v>
      </c>
    </row>
    <row r="555" spans="6:7" x14ac:dyDescent="0.2">
      <c r="F555" t="str">
        <f t="shared" ca="1" si="16"/>
        <v/>
      </c>
      <c r="G555">
        <f t="shared" ca="1" si="17"/>
        <v>0</v>
      </c>
    </row>
    <row r="556" spans="6:7" x14ac:dyDescent="0.2">
      <c r="F556" t="str">
        <f t="shared" ca="1" si="16"/>
        <v/>
      </c>
      <c r="G556">
        <f t="shared" ca="1" si="17"/>
        <v>0</v>
      </c>
    </row>
    <row r="557" spans="6:7" x14ac:dyDescent="0.2">
      <c r="F557" t="str">
        <f t="shared" ca="1" si="16"/>
        <v/>
      </c>
      <c r="G557">
        <f t="shared" ca="1" si="17"/>
        <v>0</v>
      </c>
    </row>
    <row r="558" spans="6:7" x14ac:dyDescent="0.2">
      <c r="F558" t="str">
        <f t="shared" ca="1" si="16"/>
        <v/>
      </c>
      <c r="G558">
        <f t="shared" ca="1" si="17"/>
        <v>0</v>
      </c>
    </row>
    <row r="559" spans="6:7" x14ac:dyDescent="0.2">
      <c r="F559" t="str">
        <f t="shared" ca="1" si="16"/>
        <v/>
      </c>
      <c r="G559">
        <f t="shared" ca="1" si="17"/>
        <v>0</v>
      </c>
    </row>
    <row r="560" spans="6:7" x14ac:dyDescent="0.2">
      <c r="F560" t="str">
        <f t="shared" ca="1" si="16"/>
        <v/>
      </c>
      <c r="G560">
        <f t="shared" ca="1" si="17"/>
        <v>0</v>
      </c>
    </row>
    <row r="561" spans="6:7" x14ac:dyDescent="0.2">
      <c r="F561" t="str">
        <f t="shared" ca="1" si="16"/>
        <v/>
      </c>
      <c r="G561">
        <f t="shared" ca="1" si="17"/>
        <v>0</v>
      </c>
    </row>
    <row r="562" spans="6:7" x14ac:dyDescent="0.2">
      <c r="F562" t="str">
        <f t="shared" ca="1" si="16"/>
        <v/>
      </c>
      <c r="G562">
        <f t="shared" ca="1" si="17"/>
        <v>0</v>
      </c>
    </row>
    <row r="563" spans="6:7" x14ac:dyDescent="0.2">
      <c r="F563" t="str">
        <f t="shared" ca="1" si="16"/>
        <v/>
      </c>
      <c r="G563">
        <f t="shared" ca="1" si="17"/>
        <v>0</v>
      </c>
    </row>
    <row r="564" spans="6:7" x14ac:dyDescent="0.2">
      <c r="F564" t="str">
        <f t="shared" ca="1" si="16"/>
        <v/>
      </c>
      <c r="G564">
        <f t="shared" ca="1" si="17"/>
        <v>0</v>
      </c>
    </row>
    <row r="565" spans="6:7" x14ac:dyDescent="0.2">
      <c r="F565" t="str">
        <f t="shared" ca="1" si="16"/>
        <v/>
      </c>
      <c r="G565">
        <f t="shared" ca="1" si="17"/>
        <v>0</v>
      </c>
    </row>
    <row r="566" spans="6:7" x14ac:dyDescent="0.2">
      <c r="F566" t="str">
        <f t="shared" ca="1" si="16"/>
        <v/>
      </c>
      <c r="G566">
        <f t="shared" ca="1" si="17"/>
        <v>0</v>
      </c>
    </row>
    <row r="567" spans="6:7" x14ac:dyDescent="0.2">
      <c r="F567" t="str">
        <f t="shared" ca="1" si="16"/>
        <v/>
      </c>
      <c r="G567">
        <f t="shared" ca="1" si="17"/>
        <v>0</v>
      </c>
    </row>
    <row r="568" spans="6:7" x14ac:dyDescent="0.2">
      <c r="F568" t="str">
        <f t="shared" ca="1" si="16"/>
        <v/>
      </c>
      <c r="G568">
        <f t="shared" ca="1" si="17"/>
        <v>0</v>
      </c>
    </row>
    <row r="569" spans="6:7" x14ac:dyDescent="0.2">
      <c r="F569" t="str">
        <f t="shared" ca="1" si="16"/>
        <v/>
      </c>
      <c r="G569">
        <f t="shared" ca="1" si="17"/>
        <v>0</v>
      </c>
    </row>
    <row r="570" spans="6:7" x14ac:dyDescent="0.2">
      <c r="F570" t="str">
        <f t="shared" ca="1" si="16"/>
        <v/>
      </c>
      <c r="G570">
        <f t="shared" ca="1" si="17"/>
        <v>0</v>
      </c>
    </row>
    <row r="571" spans="6:7" x14ac:dyDescent="0.2">
      <c r="F571" t="str">
        <f t="shared" ca="1" si="16"/>
        <v/>
      </c>
      <c r="G571">
        <f t="shared" ca="1" si="17"/>
        <v>0</v>
      </c>
    </row>
    <row r="572" spans="6:7" x14ac:dyDescent="0.2">
      <c r="F572" t="str">
        <f t="shared" ca="1" si="16"/>
        <v/>
      </c>
      <c r="G572">
        <f t="shared" ca="1" si="17"/>
        <v>0</v>
      </c>
    </row>
    <row r="573" spans="6:7" x14ac:dyDescent="0.2">
      <c r="F573" t="str">
        <f t="shared" ca="1" si="16"/>
        <v/>
      </c>
      <c r="G573">
        <f t="shared" ca="1" si="17"/>
        <v>0</v>
      </c>
    </row>
    <row r="574" spans="6:7" x14ac:dyDescent="0.2">
      <c r="F574" t="str">
        <f t="shared" ca="1" si="16"/>
        <v/>
      </c>
      <c r="G574">
        <f t="shared" ca="1" si="17"/>
        <v>0</v>
      </c>
    </row>
    <row r="575" spans="6:7" x14ac:dyDescent="0.2">
      <c r="F575" t="str">
        <f t="shared" ca="1" si="16"/>
        <v/>
      </c>
      <c r="G575">
        <f t="shared" ca="1" si="17"/>
        <v>0</v>
      </c>
    </row>
    <row r="576" spans="6:7" x14ac:dyDescent="0.2">
      <c r="F576" t="str">
        <f t="shared" ca="1" si="16"/>
        <v/>
      </c>
      <c r="G576">
        <f t="shared" ca="1" si="17"/>
        <v>0</v>
      </c>
    </row>
    <row r="577" spans="6:7" x14ac:dyDescent="0.2">
      <c r="F577" t="str">
        <f t="shared" ca="1" si="16"/>
        <v/>
      </c>
      <c r="G577">
        <f t="shared" ca="1" si="17"/>
        <v>0</v>
      </c>
    </row>
    <row r="578" spans="6:7" x14ac:dyDescent="0.2">
      <c r="F578" t="str">
        <f t="shared" ref="F578:F641" ca="1" si="18">IFERROR(MATCH(OFFSET($A$1,ROW()-1,0,1,1),A:A,0),"")</f>
        <v/>
      </c>
      <c r="G578">
        <f t="shared" ref="G578:G641" ca="1" si="19">COUNTIF(A:A,OFFSET($A$1,ROW()-1,0))</f>
        <v>0</v>
      </c>
    </row>
    <row r="579" spans="6:7" x14ac:dyDescent="0.2">
      <c r="F579" t="str">
        <f t="shared" ca="1" si="18"/>
        <v/>
      </c>
      <c r="G579">
        <f t="shared" ca="1" si="19"/>
        <v>0</v>
      </c>
    </row>
    <row r="580" spans="6:7" x14ac:dyDescent="0.2">
      <c r="F580" t="str">
        <f t="shared" ca="1" si="18"/>
        <v/>
      </c>
      <c r="G580">
        <f t="shared" ca="1" si="19"/>
        <v>0</v>
      </c>
    </row>
    <row r="581" spans="6:7" x14ac:dyDescent="0.2">
      <c r="F581" t="str">
        <f t="shared" ca="1" si="18"/>
        <v/>
      </c>
      <c r="G581">
        <f t="shared" ca="1" si="19"/>
        <v>0</v>
      </c>
    </row>
    <row r="582" spans="6:7" x14ac:dyDescent="0.2">
      <c r="F582" t="str">
        <f t="shared" ca="1" si="18"/>
        <v/>
      </c>
      <c r="G582">
        <f t="shared" ca="1" si="19"/>
        <v>0</v>
      </c>
    </row>
    <row r="583" spans="6:7" x14ac:dyDescent="0.2">
      <c r="F583" t="str">
        <f t="shared" ca="1" si="18"/>
        <v/>
      </c>
      <c r="G583">
        <f t="shared" ca="1" si="19"/>
        <v>0</v>
      </c>
    </row>
    <row r="584" spans="6:7" x14ac:dyDescent="0.2">
      <c r="F584" t="str">
        <f t="shared" ca="1" si="18"/>
        <v/>
      </c>
      <c r="G584">
        <f t="shared" ca="1" si="19"/>
        <v>0</v>
      </c>
    </row>
    <row r="585" spans="6:7" x14ac:dyDescent="0.2">
      <c r="F585" t="str">
        <f t="shared" ca="1" si="18"/>
        <v/>
      </c>
      <c r="G585">
        <f t="shared" ca="1" si="19"/>
        <v>0</v>
      </c>
    </row>
    <row r="586" spans="6:7" x14ac:dyDescent="0.2">
      <c r="F586" t="str">
        <f t="shared" ca="1" si="18"/>
        <v/>
      </c>
      <c r="G586">
        <f t="shared" ca="1" si="19"/>
        <v>0</v>
      </c>
    </row>
    <row r="587" spans="6:7" x14ac:dyDescent="0.2">
      <c r="F587" t="str">
        <f t="shared" ca="1" si="18"/>
        <v/>
      </c>
      <c r="G587">
        <f t="shared" ca="1" si="19"/>
        <v>0</v>
      </c>
    </row>
    <row r="588" spans="6:7" x14ac:dyDescent="0.2">
      <c r="F588" t="str">
        <f t="shared" ca="1" si="18"/>
        <v/>
      </c>
      <c r="G588">
        <f t="shared" ca="1" si="19"/>
        <v>0</v>
      </c>
    </row>
    <row r="589" spans="6:7" x14ac:dyDescent="0.2">
      <c r="F589" t="str">
        <f t="shared" ca="1" si="18"/>
        <v/>
      </c>
      <c r="G589">
        <f t="shared" ca="1" si="19"/>
        <v>0</v>
      </c>
    </row>
    <row r="590" spans="6:7" x14ac:dyDescent="0.2">
      <c r="F590" t="str">
        <f t="shared" ca="1" si="18"/>
        <v/>
      </c>
      <c r="G590">
        <f t="shared" ca="1" si="19"/>
        <v>0</v>
      </c>
    </row>
    <row r="591" spans="6:7" x14ac:dyDescent="0.2">
      <c r="F591" t="str">
        <f t="shared" ca="1" si="18"/>
        <v/>
      </c>
      <c r="G591">
        <f t="shared" ca="1" si="19"/>
        <v>0</v>
      </c>
    </row>
    <row r="592" spans="6:7" x14ac:dyDescent="0.2">
      <c r="F592" t="str">
        <f t="shared" ca="1" si="18"/>
        <v/>
      </c>
      <c r="G592">
        <f t="shared" ca="1" si="19"/>
        <v>0</v>
      </c>
    </row>
    <row r="593" spans="6:7" x14ac:dyDescent="0.2">
      <c r="F593" t="str">
        <f t="shared" ca="1" si="18"/>
        <v/>
      </c>
      <c r="G593">
        <f t="shared" ca="1" si="19"/>
        <v>0</v>
      </c>
    </row>
    <row r="594" spans="6:7" x14ac:dyDescent="0.2">
      <c r="F594" t="str">
        <f t="shared" ca="1" si="18"/>
        <v/>
      </c>
      <c r="G594">
        <f t="shared" ca="1" si="19"/>
        <v>0</v>
      </c>
    </row>
    <row r="595" spans="6:7" x14ac:dyDescent="0.2">
      <c r="F595" t="str">
        <f t="shared" ca="1" si="18"/>
        <v/>
      </c>
      <c r="G595">
        <f t="shared" ca="1" si="19"/>
        <v>0</v>
      </c>
    </row>
    <row r="596" spans="6:7" x14ac:dyDescent="0.2">
      <c r="F596" t="str">
        <f t="shared" ca="1" si="18"/>
        <v/>
      </c>
      <c r="G596">
        <f t="shared" ca="1" si="19"/>
        <v>0</v>
      </c>
    </row>
    <row r="597" spans="6:7" x14ac:dyDescent="0.2">
      <c r="F597" t="str">
        <f t="shared" ca="1" si="18"/>
        <v/>
      </c>
      <c r="G597">
        <f t="shared" ca="1" si="19"/>
        <v>0</v>
      </c>
    </row>
    <row r="598" spans="6:7" x14ac:dyDescent="0.2">
      <c r="F598" t="str">
        <f t="shared" ca="1" si="18"/>
        <v/>
      </c>
      <c r="G598">
        <f t="shared" ca="1" si="19"/>
        <v>0</v>
      </c>
    </row>
    <row r="599" spans="6:7" x14ac:dyDescent="0.2">
      <c r="F599" t="str">
        <f t="shared" ca="1" si="18"/>
        <v/>
      </c>
      <c r="G599">
        <f t="shared" ca="1" si="19"/>
        <v>0</v>
      </c>
    </row>
    <row r="600" spans="6:7" x14ac:dyDescent="0.2">
      <c r="F600" t="str">
        <f t="shared" ca="1" si="18"/>
        <v/>
      </c>
      <c r="G600">
        <f t="shared" ca="1" si="19"/>
        <v>0</v>
      </c>
    </row>
    <row r="601" spans="6:7" x14ac:dyDescent="0.2">
      <c r="F601" t="str">
        <f t="shared" ca="1" si="18"/>
        <v/>
      </c>
      <c r="G601">
        <f t="shared" ca="1" si="19"/>
        <v>0</v>
      </c>
    </row>
    <row r="602" spans="6:7" x14ac:dyDescent="0.2">
      <c r="F602" t="str">
        <f t="shared" ca="1" si="18"/>
        <v/>
      </c>
      <c r="G602">
        <f t="shared" ca="1" si="19"/>
        <v>0</v>
      </c>
    </row>
    <row r="603" spans="6:7" x14ac:dyDescent="0.2">
      <c r="F603" t="str">
        <f t="shared" ca="1" si="18"/>
        <v/>
      </c>
      <c r="G603">
        <f t="shared" ca="1" si="19"/>
        <v>0</v>
      </c>
    </row>
    <row r="604" spans="6:7" x14ac:dyDescent="0.2">
      <c r="F604" t="str">
        <f t="shared" ca="1" si="18"/>
        <v/>
      </c>
      <c r="G604">
        <f t="shared" ca="1" si="19"/>
        <v>0</v>
      </c>
    </row>
    <row r="605" spans="6:7" x14ac:dyDescent="0.2">
      <c r="F605" t="str">
        <f t="shared" ca="1" si="18"/>
        <v/>
      </c>
      <c r="G605">
        <f t="shared" ca="1" si="19"/>
        <v>0</v>
      </c>
    </row>
    <row r="606" spans="6:7" x14ac:dyDescent="0.2">
      <c r="F606" t="str">
        <f t="shared" ca="1" si="18"/>
        <v/>
      </c>
      <c r="G606">
        <f t="shared" ca="1" si="19"/>
        <v>0</v>
      </c>
    </row>
    <row r="607" spans="6:7" x14ac:dyDescent="0.2">
      <c r="F607" t="str">
        <f t="shared" ca="1" si="18"/>
        <v/>
      </c>
      <c r="G607">
        <f t="shared" ca="1" si="19"/>
        <v>0</v>
      </c>
    </row>
    <row r="608" spans="6:7" x14ac:dyDescent="0.2">
      <c r="F608" t="str">
        <f t="shared" ca="1" si="18"/>
        <v/>
      </c>
      <c r="G608">
        <f t="shared" ca="1" si="19"/>
        <v>0</v>
      </c>
    </row>
    <row r="609" spans="6:7" x14ac:dyDescent="0.2">
      <c r="F609" t="str">
        <f t="shared" ca="1" si="18"/>
        <v/>
      </c>
      <c r="G609">
        <f t="shared" ca="1" si="19"/>
        <v>0</v>
      </c>
    </row>
    <row r="610" spans="6:7" x14ac:dyDescent="0.2">
      <c r="F610" t="str">
        <f t="shared" ca="1" si="18"/>
        <v/>
      </c>
      <c r="G610">
        <f t="shared" ca="1" si="19"/>
        <v>0</v>
      </c>
    </row>
    <row r="611" spans="6:7" x14ac:dyDescent="0.2">
      <c r="F611" t="str">
        <f t="shared" ca="1" si="18"/>
        <v/>
      </c>
      <c r="G611">
        <f t="shared" ca="1" si="19"/>
        <v>0</v>
      </c>
    </row>
    <row r="612" spans="6:7" x14ac:dyDescent="0.2">
      <c r="F612" t="str">
        <f t="shared" ca="1" si="18"/>
        <v/>
      </c>
      <c r="G612">
        <f t="shared" ca="1" si="19"/>
        <v>0</v>
      </c>
    </row>
    <row r="613" spans="6:7" x14ac:dyDescent="0.2">
      <c r="F613" t="str">
        <f t="shared" ca="1" si="18"/>
        <v/>
      </c>
      <c r="G613">
        <f t="shared" ca="1" si="19"/>
        <v>0</v>
      </c>
    </row>
    <row r="614" spans="6:7" x14ac:dyDescent="0.2">
      <c r="F614" t="str">
        <f t="shared" ca="1" si="18"/>
        <v/>
      </c>
      <c r="G614">
        <f t="shared" ca="1" si="19"/>
        <v>0</v>
      </c>
    </row>
    <row r="615" spans="6:7" x14ac:dyDescent="0.2">
      <c r="F615" t="str">
        <f t="shared" ca="1" si="18"/>
        <v/>
      </c>
      <c r="G615">
        <f t="shared" ca="1" si="19"/>
        <v>0</v>
      </c>
    </row>
    <row r="616" spans="6:7" x14ac:dyDescent="0.2">
      <c r="F616" t="str">
        <f t="shared" ca="1" si="18"/>
        <v/>
      </c>
      <c r="G616">
        <f t="shared" ca="1" si="19"/>
        <v>0</v>
      </c>
    </row>
    <row r="617" spans="6:7" x14ac:dyDescent="0.2">
      <c r="F617" t="str">
        <f t="shared" ca="1" si="18"/>
        <v/>
      </c>
      <c r="G617">
        <f t="shared" ca="1" si="19"/>
        <v>0</v>
      </c>
    </row>
    <row r="618" spans="6:7" x14ac:dyDescent="0.2">
      <c r="F618" t="str">
        <f t="shared" ca="1" si="18"/>
        <v/>
      </c>
      <c r="G618">
        <f t="shared" ca="1" si="19"/>
        <v>0</v>
      </c>
    </row>
    <row r="619" spans="6:7" x14ac:dyDescent="0.2">
      <c r="F619" t="str">
        <f t="shared" ca="1" si="18"/>
        <v/>
      </c>
      <c r="G619">
        <f t="shared" ca="1" si="19"/>
        <v>0</v>
      </c>
    </row>
    <row r="620" spans="6:7" x14ac:dyDescent="0.2">
      <c r="F620" t="str">
        <f t="shared" ca="1" si="18"/>
        <v/>
      </c>
      <c r="G620">
        <f t="shared" ca="1" si="19"/>
        <v>0</v>
      </c>
    </row>
    <row r="621" spans="6:7" x14ac:dyDescent="0.2">
      <c r="F621" t="str">
        <f t="shared" ca="1" si="18"/>
        <v/>
      </c>
      <c r="G621">
        <f t="shared" ca="1" si="19"/>
        <v>0</v>
      </c>
    </row>
    <row r="622" spans="6:7" x14ac:dyDescent="0.2">
      <c r="F622" t="str">
        <f t="shared" ca="1" si="18"/>
        <v/>
      </c>
      <c r="G622">
        <f t="shared" ca="1" si="19"/>
        <v>0</v>
      </c>
    </row>
    <row r="623" spans="6:7" x14ac:dyDescent="0.2">
      <c r="F623" t="str">
        <f t="shared" ca="1" si="18"/>
        <v/>
      </c>
      <c r="G623">
        <f t="shared" ca="1" si="19"/>
        <v>0</v>
      </c>
    </row>
    <row r="624" spans="6:7" x14ac:dyDescent="0.2">
      <c r="F624" t="str">
        <f t="shared" ca="1" si="18"/>
        <v/>
      </c>
      <c r="G624">
        <f t="shared" ca="1" si="19"/>
        <v>0</v>
      </c>
    </row>
    <row r="625" spans="6:7" x14ac:dyDescent="0.2">
      <c r="F625" t="str">
        <f t="shared" ca="1" si="18"/>
        <v/>
      </c>
      <c r="G625">
        <f t="shared" ca="1" si="19"/>
        <v>0</v>
      </c>
    </row>
    <row r="626" spans="6:7" x14ac:dyDescent="0.2">
      <c r="F626" t="str">
        <f t="shared" ca="1" si="18"/>
        <v/>
      </c>
      <c r="G626">
        <f t="shared" ca="1" si="19"/>
        <v>0</v>
      </c>
    </row>
    <row r="627" spans="6:7" x14ac:dyDescent="0.2">
      <c r="F627" t="str">
        <f t="shared" ca="1" si="18"/>
        <v/>
      </c>
      <c r="G627">
        <f t="shared" ca="1" si="19"/>
        <v>0</v>
      </c>
    </row>
    <row r="628" spans="6:7" x14ac:dyDescent="0.2">
      <c r="F628" t="str">
        <f t="shared" ca="1" si="18"/>
        <v/>
      </c>
      <c r="G628">
        <f t="shared" ca="1" si="19"/>
        <v>0</v>
      </c>
    </row>
    <row r="629" spans="6:7" x14ac:dyDescent="0.2">
      <c r="F629" t="str">
        <f t="shared" ca="1" si="18"/>
        <v/>
      </c>
      <c r="G629">
        <f t="shared" ca="1" si="19"/>
        <v>0</v>
      </c>
    </row>
    <row r="630" spans="6:7" x14ac:dyDescent="0.2">
      <c r="F630" t="str">
        <f t="shared" ca="1" si="18"/>
        <v/>
      </c>
      <c r="G630">
        <f t="shared" ca="1" si="19"/>
        <v>0</v>
      </c>
    </row>
    <row r="631" spans="6:7" x14ac:dyDescent="0.2">
      <c r="F631" t="str">
        <f t="shared" ca="1" si="18"/>
        <v/>
      </c>
      <c r="G631">
        <f t="shared" ca="1" si="19"/>
        <v>0</v>
      </c>
    </row>
    <row r="632" spans="6:7" x14ac:dyDescent="0.2">
      <c r="F632" t="str">
        <f t="shared" ca="1" si="18"/>
        <v/>
      </c>
      <c r="G632">
        <f t="shared" ca="1" si="19"/>
        <v>0</v>
      </c>
    </row>
    <row r="633" spans="6:7" x14ac:dyDescent="0.2">
      <c r="F633" t="str">
        <f t="shared" ca="1" si="18"/>
        <v/>
      </c>
      <c r="G633">
        <f t="shared" ca="1" si="19"/>
        <v>0</v>
      </c>
    </row>
    <row r="634" spans="6:7" x14ac:dyDescent="0.2">
      <c r="F634" t="str">
        <f t="shared" ca="1" si="18"/>
        <v/>
      </c>
      <c r="G634">
        <f t="shared" ca="1" si="19"/>
        <v>0</v>
      </c>
    </row>
    <row r="635" spans="6:7" x14ac:dyDescent="0.2">
      <c r="F635" t="str">
        <f t="shared" ca="1" si="18"/>
        <v/>
      </c>
      <c r="G635">
        <f t="shared" ca="1" si="19"/>
        <v>0</v>
      </c>
    </row>
    <row r="636" spans="6:7" x14ac:dyDescent="0.2">
      <c r="F636" t="str">
        <f t="shared" ca="1" si="18"/>
        <v/>
      </c>
      <c r="G636">
        <f t="shared" ca="1" si="19"/>
        <v>0</v>
      </c>
    </row>
    <row r="637" spans="6:7" x14ac:dyDescent="0.2">
      <c r="F637" t="str">
        <f t="shared" ca="1" si="18"/>
        <v/>
      </c>
      <c r="G637">
        <f t="shared" ca="1" si="19"/>
        <v>0</v>
      </c>
    </row>
    <row r="638" spans="6:7" x14ac:dyDescent="0.2">
      <c r="F638" t="str">
        <f t="shared" ca="1" si="18"/>
        <v/>
      </c>
      <c r="G638">
        <f t="shared" ca="1" si="19"/>
        <v>0</v>
      </c>
    </row>
    <row r="639" spans="6:7" x14ac:dyDescent="0.2">
      <c r="F639" t="str">
        <f t="shared" ca="1" si="18"/>
        <v/>
      </c>
      <c r="G639">
        <f t="shared" ca="1" si="19"/>
        <v>0</v>
      </c>
    </row>
    <row r="640" spans="6:7" x14ac:dyDescent="0.2">
      <c r="F640" t="str">
        <f t="shared" ca="1" si="18"/>
        <v/>
      </c>
      <c r="G640">
        <f t="shared" ca="1" si="19"/>
        <v>0</v>
      </c>
    </row>
    <row r="641" spans="6:7" x14ac:dyDescent="0.2">
      <c r="F641" t="str">
        <f t="shared" ca="1" si="18"/>
        <v/>
      </c>
      <c r="G641">
        <f t="shared" ca="1" si="19"/>
        <v>0</v>
      </c>
    </row>
    <row r="642" spans="6:7" x14ac:dyDescent="0.2">
      <c r="F642" t="str">
        <f t="shared" ref="F642:F705" ca="1" si="20">IFERROR(MATCH(OFFSET($A$1,ROW()-1,0,1,1),A:A,0),"")</f>
        <v/>
      </c>
      <c r="G642">
        <f t="shared" ref="G642:G705" ca="1" si="21">COUNTIF(A:A,OFFSET($A$1,ROW()-1,0))</f>
        <v>0</v>
      </c>
    </row>
    <row r="643" spans="6:7" x14ac:dyDescent="0.2">
      <c r="F643" t="str">
        <f t="shared" ca="1" si="20"/>
        <v/>
      </c>
      <c r="G643">
        <f t="shared" ca="1" si="21"/>
        <v>0</v>
      </c>
    </row>
    <row r="644" spans="6:7" x14ac:dyDescent="0.2">
      <c r="F644" t="str">
        <f t="shared" ca="1" si="20"/>
        <v/>
      </c>
      <c r="G644">
        <f t="shared" ca="1" si="21"/>
        <v>0</v>
      </c>
    </row>
    <row r="645" spans="6:7" x14ac:dyDescent="0.2">
      <c r="F645" t="str">
        <f t="shared" ca="1" si="20"/>
        <v/>
      </c>
      <c r="G645">
        <f t="shared" ca="1" si="21"/>
        <v>0</v>
      </c>
    </row>
    <row r="646" spans="6:7" x14ac:dyDescent="0.2">
      <c r="F646" t="str">
        <f t="shared" ca="1" si="20"/>
        <v/>
      </c>
      <c r="G646">
        <f t="shared" ca="1" si="21"/>
        <v>0</v>
      </c>
    </row>
    <row r="647" spans="6:7" x14ac:dyDescent="0.2">
      <c r="F647" t="str">
        <f t="shared" ca="1" si="20"/>
        <v/>
      </c>
      <c r="G647">
        <f t="shared" ca="1" si="21"/>
        <v>0</v>
      </c>
    </row>
    <row r="648" spans="6:7" x14ac:dyDescent="0.2">
      <c r="F648" t="str">
        <f t="shared" ca="1" si="20"/>
        <v/>
      </c>
      <c r="G648">
        <f t="shared" ca="1" si="21"/>
        <v>0</v>
      </c>
    </row>
    <row r="649" spans="6:7" x14ac:dyDescent="0.2">
      <c r="F649" t="str">
        <f t="shared" ca="1" si="20"/>
        <v/>
      </c>
      <c r="G649">
        <f t="shared" ca="1" si="21"/>
        <v>0</v>
      </c>
    </row>
    <row r="650" spans="6:7" x14ac:dyDescent="0.2">
      <c r="F650" t="str">
        <f t="shared" ca="1" si="20"/>
        <v/>
      </c>
      <c r="G650">
        <f t="shared" ca="1" si="21"/>
        <v>0</v>
      </c>
    </row>
    <row r="651" spans="6:7" x14ac:dyDescent="0.2">
      <c r="F651" t="str">
        <f t="shared" ca="1" si="20"/>
        <v/>
      </c>
      <c r="G651">
        <f t="shared" ca="1" si="21"/>
        <v>0</v>
      </c>
    </row>
    <row r="652" spans="6:7" x14ac:dyDescent="0.2">
      <c r="F652" t="str">
        <f t="shared" ca="1" si="20"/>
        <v/>
      </c>
      <c r="G652">
        <f t="shared" ca="1" si="21"/>
        <v>0</v>
      </c>
    </row>
    <row r="653" spans="6:7" x14ac:dyDescent="0.2">
      <c r="F653" t="str">
        <f t="shared" ca="1" si="20"/>
        <v/>
      </c>
      <c r="G653">
        <f t="shared" ca="1" si="21"/>
        <v>0</v>
      </c>
    </row>
    <row r="654" spans="6:7" x14ac:dyDescent="0.2">
      <c r="F654" t="str">
        <f t="shared" ca="1" si="20"/>
        <v/>
      </c>
      <c r="G654">
        <f t="shared" ca="1" si="21"/>
        <v>0</v>
      </c>
    </row>
    <row r="655" spans="6:7" x14ac:dyDescent="0.2">
      <c r="F655" t="str">
        <f t="shared" ca="1" si="20"/>
        <v/>
      </c>
      <c r="G655">
        <f t="shared" ca="1" si="21"/>
        <v>0</v>
      </c>
    </row>
    <row r="656" spans="6:7" x14ac:dyDescent="0.2">
      <c r="F656" t="str">
        <f t="shared" ca="1" si="20"/>
        <v/>
      </c>
      <c r="G656">
        <f t="shared" ca="1" si="21"/>
        <v>0</v>
      </c>
    </row>
    <row r="657" spans="6:7" x14ac:dyDescent="0.2">
      <c r="F657" t="str">
        <f t="shared" ca="1" si="20"/>
        <v/>
      </c>
      <c r="G657">
        <f t="shared" ca="1" si="21"/>
        <v>0</v>
      </c>
    </row>
    <row r="658" spans="6:7" x14ac:dyDescent="0.2">
      <c r="F658" t="str">
        <f t="shared" ca="1" si="20"/>
        <v/>
      </c>
      <c r="G658">
        <f t="shared" ca="1" si="21"/>
        <v>0</v>
      </c>
    </row>
    <row r="659" spans="6:7" x14ac:dyDescent="0.2">
      <c r="F659" t="str">
        <f t="shared" ca="1" si="20"/>
        <v/>
      </c>
      <c r="G659">
        <f t="shared" ca="1" si="21"/>
        <v>0</v>
      </c>
    </row>
    <row r="660" spans="6:7" x14ac:dyDescent="0.2">
      <c r="F660" t="str">
        <f t="shared" ca="1" si="20"/>
        <v/>
      </c>
      <c r="G660">
        <f t="shared" ca="1" si="21"/>
        <v>0</v>
      </c>
    </row>
    <row r="661" spans="6:7" x14ac:dyDescent="0.2">
      <c r="F661" t="str">
        <f t="shared" ca="1" si="20"/>
        <v/>
      </c>
      <c r="G661">
        <f t="shared" ca="1" si="21"/>
        <v>0</v>
      </c>
    </row>
    <row r="662" spans="6:7" x14ac:dyDescent="0.2">
      <c r="F662" t="str">
        <f t="shared" ca="1" si="20"/>
        <v/>
      </c>
      <c r="G662">
        <f t="shared" ca="1" si="21"/>
        <v>0</v>
      </c>
    </row>
    <row r="663" spans="6:7" x14ac:dyDescent="0.2">
      <c r="F663" t="str">
        <f t="shared" ca="1" si="20"/>
        <v/>
      </c>
      <c r="G663">
        <f t="shared" ca="1" si="21"/>
        <v>0</v>
      </c>
    </row>
    <row r="664" spans="6:7" x14ac:dyDescent="0.2">
      <c r="F664" t="str">
        <f t="shared" ca="1" si="20"/>
        <v/>
      </c>
      <c r="G664">
        <f t="shared" ca="1" si="21"/>
        <v>0</v>
      </c>
    </row>
    <row r="665" spans="6:7" x14ac:dyDescent="0.2">
      <c r="F665" t="str">
        <f t="shared" ca="1" si="20"/>
        <v/>
      </c>
      <c r="G665">
        <f t="shared" ca="1" si="21"/>
        <v>0</v>
      </c>
    </row>
    <row r="666" spans="6:7" x14ac:dyDescent="0.2">
      <c r="F666" t="str">
        <f t="shared" ca="1" si="20"/>
        <v/>
      </c>
      <c r="G666">
        <f t="shared" ca="1" si="21"/>
        <v>0</v>
      </c>
    </row>
    <row r="667" spans="6:7" x14ac:dyDescent="0.2">
      <c r="F667" t="str">
        <f t="shared" ca="1" si="20"/>
        <v/>
      </c>
      <c r="G667">
        <f t="shared" ca="1" si="21"/>
        <v>0</v>
      </c>
    </row>
    <row r="668" spans="6:7" x14ac:dyDescent="0.2">
      <c r="F668" t="str">
        <f t="shared" ca="1" si="20"/>
        <v/>
      </c>
      <c r="G668">
        <f t="shared" ca="1" si="21"/>
        <v>0</v>
      </c>
    </row>
    <row r="669" spans="6:7" x14ac:dyDescent="0.2">
      <c r="F669" t="str">
        <f t="shared" ca="1" si="20"/>
        <v/>
      </c>
      <c r="G669">
        <f t="shared" ca="1" si="21"/>
        <v>0</v>
      </c>
    </row>
    <row r="670" spans="6:7" x14ac:dyDescent="0.2">
      <c r="F670" t="str">
        <f t="shared" ca="1" si="20"/>
        <v/>
      </c>
      <c r="G670">
        <f t="shared" ca="1" si="21"/>
        <v>0</v>
      </c>
    </row>
    <row r="671" spans="6:7" x14ac:dyDescent="0.2">
      <c r="F671" t="str">
        <f t="shared" ca="1" si="20"/>
        <v/>
      </c>
      <c r="G671">
        <f t="shared" ca="1" si="21"/>
        <v>0</v>
      </c>
    </row>
    <row r="672" spans="6:7" x14ac:dyDescent="0.2">
      <c r="F672" t="str">
        <f t="shared" ca="1" si="20"/>
        <v/>
      </c>
      <c r="G672">
        <f t="shared" ca="1" si="21"/>
        <v>0</v>
      </c>
    </row>
    <row r="673" spans="6:7" x14ac:dyDescent="0.2">
      <c r="F673" t="str">
        <f t="shared" ca="1" si="20"/>
        <v/>
      </c>
      <c r="G673">
        <f t="shared" ca="1" si="21"/>
        <v>0</v>
      </c>
    </row>
    <row r="674" spans="6:7" x14ac:dyDescent="0.2">
      <c r="F674" t="str">
        <f t="shared" ca="1" si="20"/>
        <v/>
      </c>
      <c r="G674">
        <f t="shared" ca="1" si="21"/>
        <v>0</v>
      </c>
    </row>
    <row r="675" spans="6:7" x14ac:dyDescent="0.2">
      <c r="F675" t="str">
        <f t="shared" ca="1" si="20"/>
        <v/>
      </c>
      <c r="G675">
        <f t="shared" ca="1" si="21"/>
        <v>0</v>
      </c>
    </row>
    <row r="676" spans="6:7" x14ac:dyDescent="0.2">
      <c r="F676" t="str">
        <f t="shared" ca="1" si="20"/>
        <v/>
      </c>
      <c r="G676">
        <f t="shared" ca="1" si="21"/>
        <v>0</v>
      </c>
    </row>
    <row r="677" spans="6:7" x14ac:dyDescent="0.2">
      <c r="F677" t="str">
        <f t="shared" ca="1" si="20"/>
        <v/>
      </c>
      <c r="G677">
        <f t="shared" ca="1" si="21"/>
        <v>0</v>
      </c>
    </row>
    <row r="678" spans="6:7" x14ac:dyDescent="0.2">
      <c r="F678" t="str">
        <f t="shared" ca="1" si="20"/>
        <v/>
      </c>
      <c r="G678">
        <f t="shared" ca="1" si="21"/>
        <v>0</v>
      </c>
    </row>
    <row r="679" spans="6:7" x14ac:dyDescent="0.2">
      <c r="F679" t="str">
        <f t="shared" ca="1" si="20"/>
        <v/>
      </c>
      <c r="G679">
        <f t="shared" ca="1" si="21"/>
        <v>0</v>
      </c>
    </row>
    <row r="680" spans="6:7" x14ac:dyDescent="0.2">
      <c r="F680" t="str">
        <f t="shared" ca="1" si="20"/>
        <v/>
      </c>
      <c r="G680">
        <f t="shared" ca="1" si="21"/>
        <v>0</v>
      </c>
    </row>
    <row r="681" spans="6:7" x14ac:dyDescent="0.2">
      <c r="F681" t="str">
        <f t="shared" ca="1" si="20"/>
        <v/>
      </c>
      <c r="G681">
        <f t="shared" ca="1" si="21"/>
        <v>0</v>
      </c>
    </row>
    <row r="682" spans="6:7" x14ac:dyDescent="0.2">
      <c r="F682" t="str">
        <f t="shared" ca="1" si="20"/>
        <v/>
      </c>
      <c r="G682">
        <f t="shared" ca="1" si="21"/>
        <v>0</v>
      </c>
    </row>
    <row r="683" spans="6:7" x14ac:dyDescent="0.2">
      <c r="F683" t="str">
        <f t="shared" ca="1" si="20"/>
        <v/>
      </c>
      <c r="G683">
        <f t="shared" ca="1" si="21"/>
        <v>0</v>
      </c>
    </row>
    <row r="684" spans="6:7" x14ac:dyDescent="0.2">
      <c r="F684" t="str">
        <f t="shared" ca="1" si="20"/>
        <v/>
      </c>
      <c r="G684">
        <f t="shared" ca="1" si="21"/>
        <v>0</v>
      </c>
    </row>
    <row r="685" spans="6:7" x14ac:dyDescent="0.2">
      <c r="F685" t="str">
        <f t="shared" ca="1" si="20"/>
        <v/>
      </c>
      <c r="G685">
        <f t="shared" ca="1" si="21"/>
        <v>0</v>
      </c>
    </row>
    <row r="686" spans="6:7" x14ac:dyDescent="0.2">
      <c r="F686" t="str">
        <f t="shared" ca="1" si="20"/>
        <v/>
      </c>
      <c r="G686">
        <f t="shared" ca="1" si="21"/>
        <v>0</v>
      </c>
    </row>
    <row r="687" spans="6:7" x14ac:dyDescent="0.2">
      <c r="F687" t="str">
        <f t="shared" ca="1" si="20"/>
        <v/>
      </c>
      <c r="G687">
        <f t="shared" ca="1" si="21"/>
        <v>0</v>
      </c>
    </row>
    <row r="688" spans="6:7" x14ac:dyDescent="0.2">
      <c r="F688" t="str">
        <f t="shared" ca="1" si="20"/>
        <v/>
      </c>
      <c r="G688">
        <f t="shared" ca="1" si="21"/>
        <v>0</v>
      </c>
    </row>
    <row r="689" spans="6:7" x14ac:dyDescent="0.2">
      <c r="F689" t="str">
        <f t="shared" ca="1" si="20"/>
        <v/>
      </c>
      <c r="G689">
        <f t="shared" ca="1" si="21"/>
        <v>0</v>
      </c>
    </row>
    <row r="690" spans="6:7" x14ac:dyDescent="0.2">
      <c r="F690" t="str">
        <f t="shared" ca="1" si="20"/>
        <v/>
      </c>
      <c r="G690">
        <f t="shared" ca="1" si="21"/>
        <v>0</v>
      </c>
    </row>
    <row r="691" spans="6:7" x14ac:dyDescent="0.2">
      <c r="F691" t="str">
        <f t="shared" ca="1" si="20"/>
        <v/>
      </c>
      <c r="G691">
        <f t="shared" ca="1" si="21"/>
        <v>0</v>
      </c>
    </row>
    <row r="692" spans="6:7" x14ac:dyDescent="0.2">
      <c r="F692" t="str">
        <f t="shared" ca="1" si="20"/>
        <v/>
      </c>
      <c r="G692">
        <f t="shared" ca="1" si="21"/>
        <v>0</v>
      </c>
    </row>
    <row r="693" spans="6:7" x14ac:dyDescent="0.2">
      <c r="F693" t="str">
        <f t="shared" ca="1" si="20"/>
        <v/>
      </c>
      <c r="G693">
        <f t="shared" ca="1" si="21"/>
        <v>0</v>
      </c>
    </row>
    <row r="694" spans="6:7" x14ac:dyDescent="0.2">
      <c r="F694" t="str">
        <f t="shared" ca="1" si="20"/>
        <v/>
      </c>
      <c r="G694">
        <f t="shared" ca="1" si="21"/>
        <v>0</v>
      </c>
    </row>
    <row r="695" spans="6:7" x14ac:dyDescent="0.2">
      <c r="F695" t="str">
        <f t="shared" ca="1" si="20"/>
        <v/>
      </c>
      <c r="G695">
        <f t="shared" ca="1" si="21"/>
        <v>0</v>
      </c>
    </row>
    <row r="696" spans="6:7" x14ac:dyDescent="0.2">
      <c r="F696" t="str">
        <f t="shared" ca="1" si="20"/>
        <v/>
      </c>
      <c r="G696">
        <f t="shared" ca="1" si="21"/>
        <v>0</v>
      </c>
    </row>
    <row r="697" spans="6:7" x14ac:dyDescent="0.2">
      <c r="F697" t="str">
        <f t="shared" ca="1" si="20"/>
        <v/>
      </c>
      <c r="G697">
        <f t="shared" ca="1" si="21"/>
        <v>0</v>
      </c>
    </row>
    <row r="698" spans="6:7" x14ac:dyDescent="0.2">
      <c r="F698" t="str">
        <f t="shared" ca="1" si="20"/>
        <v/>
      </c>
      <c r="G698">
        <f t="shared" ca="1" si="21"/>
        <v>0</v>
      </c>
    </row>
    <row r="699" spans="6:7" x14ac:dyDescent="0.2">
      <c r="F699" t="str">
        <f t="shared" ca="1" si="20"/>
        <v/>
      </c>
      <c r="G699">
        <f t="shared" ca="1" si="21"/>
        <v>0</v>
      </c>
    </row>
    <row r="700" spans="6:7" x14ac:dyDescent="0.2">
      <c r="F700" t="str">
        <f t="shared" ca="1" si="20"/>
        <v/>
      </c>
      <c r="G700">
        <f t="shared" ca="1" si="21"/>
        <v>0</v>
      </c>
    </row>
    <row r="701" spans="6:7" x14ac:dyDescent="0.2">
      <c r="F701" t="str">
        <f t="shared" ca="1" si="20"/>
        <v/>
      </c>
      <c r="G701">
        <f t="shared" ca="1" si="21"/>
        <v>0</v>
      </c>
    </row>
    <row r="702" spans="6:7" x14ac:dyDescent="0.2">
      <c r="F702" t="str">
        <f t="shared" ca="1" si="20"/>
        <v/>
      </c>
      <c r="G702">
        <f t="shared" ca="1" si="21"/>
        <v>0</v>
      </c>
    </row>
    <row r="703" spans="6:7" x14ac:dyDescent="0.2">
      <c r="F703" t="str">
        <f t="shared" ca="1" si="20"/>
        <v/>
      </c>
      <c r="G703">
        <f t="shared" ca="1" si="21"/>
        <v>0</v>
      </c>
    </row>
    <row r="704" spans="6:7" x14ac:dyDescent="0.2">
      <c r="F704" t="str">
        <f t="shared" ca="1" si="20"/>
        <v/>
      </c>
      <c r="G704">
        <f t="shared" ca="1" si="21"/>
        <v>0</v>
      </c>
    </row>
    <row r="705" spans="6:7" x14ac:dyDescent="0.2">
      <c r="F705" t="str">
        <f t="shared" ca="1" si="20"/>
        <v/>
      </c>
      <c r="G705">
        <f t="shared" ca="1" si="21"/>
        <v>0</v>
      </c>
    </row>
    <row r="706" spans="6:7" x14ac:dyDescent="0.2">
      <c r="F706" t="str">
        <f t="shared" ref="F706:F769" ca="1" si="22">IFERROR(MATCH(OFFSET($A$1,ROW()-1,0,1,1),A:A,0),"")</f>
        <v/>
      </c>
      <c r="G706">
        <f t="shared" ref="G706:G769" ca="1" si="23">COUNTIF(A:A,OFFSET($A$1,ROW()-1,0))</f>
        <v>0</v>
      </c>
    </row>
    <row r="707" spans="6:7" x14ac:dyDescent="0.2">
      <c r="F707" t="str">
        <f t="shared" ca="1" si="22"/>
        <v/>
      </c>
      <c r="G707">
        <f t="shared" ca="1" si="23"/>
        <v>0</v>
      </c>
    </row>
    <row r="708" spans="6:7" x14ac:dyDescent="0.2">
      <c r="F708" t="str">
        <f t="shared" ca="1" si="22"/>
        <v/>
      </c>
      <c r="G708">
        <f t="shared" ca="1" si="23"/>
        <v>0</v>
      </c>
    </row>
    <row r="709" spans="6:7" x14ac:dyDescent="0.2">
      <c r="F709" t="str">
        <f t="shared" ca="1" si="22"/>
        <v/>
      </c>
      <c r="G709">
        <f t="shared" ca="1" si="23"/>
        <v>0</v>
      </c>
    </row>
    <row r="710" spans="6:7" x14ac:dyDescent="0.2">
      <c r="F710" t="str">
        <f t="shared" ca="1" si="22"/>
        <v/>
      </c>
      <c r="G710">
        <f t="shared" ca="1" si="23"/>
        <v>0</v>
      </c>
    </row>
    <row r="711" spans="6:7" x14ac:dyDescent="0.2">
      <c r="F711" t="str">
        <f t="shared" ca="1" si="22"/>
        <v/>
      </c>
      <c r="G711">
        <f t="shared" ca="1" si="23"/>
        <v>0</v>
      </c>
    </row>
    <row r="712" spans="6:7" x14ac:dyDescent="0.2">
      <c r="F712" t="str">
        <f t="shared" ca="1" si="22"/>
        <v/>
      </c>
      <c r="G712">
        <f t="shared" ca="1" si="23"/>
        <v>0</v>
      </c>
    </row>
    <row r="713" spans="6:7" x14ac:dyDescent="0.2">
      <c r="F713" t="str">
        <f t="shared" ca="1" si="22"/>
        <v/>
      </c>
      <c r="G713">
        <f t="shared" ca="1" si="23"/>
        <v>0</v>
      </c>
    </row>
    <row r="714" spans="6:7" x14ac:dyDescent="0.2">
      <c r="F714" t="str">
        <f t="shared" ca="1" si="22"/>
        <v/>
      </c>
      <c r="G714">
        <f t="shared" ca="1" si="23"/>
        <v>0</v>
      </c>
    </row>
    <row r="715" spans="6:7" x14ac:dyDescent="0.2">
      <c r="F715" t="str">
        <f t="shared" ca="1" si="22"/>
        <v/>
      </c>
      <c r="G715">
        <f t="shared" ca="1" si="23"/>
        <v>0</v>
      </c>
    </row>
    <row r="716" spans="6:7" x14ac:dyDescent="0.2">
      <c r="F716" t="str">
        <f t="shared" ca="1" si="22"/>
        <v/>
      </c>
      <c r="G716">
        <f t="shared" ca="1" si="23"/>
        <v>0</v>
      </c>
    </row>
    <row r="717" spans="6:7" x14ac:dyDescent="0.2">
      <c r="F717" t="str">
        <f t="shared" ca="1" si="22"/>
        <v/>
      </c>
      <c r="G717">
        <f t="shared" ca="1" si="23"/>
        <v>0</v>
      </c>
    </row>
    <row r="718" spans="6:7" x14ac:dyDescent="0.2">
      <c r="F718" t="str">
        <f t="shared" ca="1" si="22"/>
        <v/>
      </c>
      <c r="G718">
        <f t="shared" ca="1" si="23"/>
        <v>0</v>
      </c>
    </row>
    <row r="719" spans="6:7" x14ac:dyDescent="0.2">
      <c r="F719" t="str">
        <f t="shared" ca="1" si="22"/>
        <v/>
      </c>
      <c r="G719">
        <f t="shared" ca="1" si="23"/>
        <v>0</v>
      </c>
    </row>
    <row r="720" spans="6:7" x14ac:dyDescent="0.2">
      <c r="F720" t="str">
        <f t="shared" ca="1" si="22"/>
        <v/>
      </c>
      <c r="G720">
        <f t="shared" ca="1" si="23"/>
        <v>0</v>
      </c>
    </row>
    <row r="721" spans="6:7" x14ac:dyDescent="0.2">
      <c r="F721" t="str">
        <f t="shared" ca="1" si="22"/>
        <v/>
      </c>
      <c r="G721">
        <f t="shared" ca="1" si="23"/>
        <v>0</v>
      </c>
    </row>
    <row r="722" spans="6:7" x14ac:dyDescent="0.2">
      <c r="F722" t="str">
        <f t="shared" ca="1" si="22"/>
        <v/>
      </c>
      <c r="G722">
        <f t="shared" ca="1" si="23"/>
        <v>0</v>
      </c>
    </row>
    <row r="723" spans="6:7" x14ac:dyDescent="0.2">
      <c r="F723" t="str">
        <f t="shared" ca="1" si="22"/>
        <v/>
      </c>
      <c r="G723">
        <f t="shared" ca="1" si="23"/>
        <v>0</v>
      </c>
    </row>
    <row r="724" spans="6:7" x14ac:dyDescent="0.2">
      <c r="F724" t="str">
        <f t="shared" ca="1" si="22"/>
        <v/>
      </c>
      <c r="G724">
        <f t="shared" ca="1" si="23"/>
        <v>0</v>
      </c>
    </row>
    <row r="725" spans="6:7" x14ac:dyDescent="0.2">
      <c r="F725" t="str">
        <f t="shared" ca="1" si="22"/>
        <v/>
      </c>
      <c r="G725">
        <f t="shared" ca="1" si="23"/>
        <v>0</v>
      </c>
    </row>
    <row r="726" spans="6:7" x14ac:dyDescent="0.2">
      <c r="F726" t="str">
        <f t="shared" ca="1" si="22"/>
        <v/>
      </c>
      <c r="G726">
        <f t="shared" ca="1" si="23"/>
        <v>0</v>
      </c>
    </row>
    <row r="727" spans="6:7" x14ac:dyDescent="0.2">
      <c r="F727" t="str">
        <f t="shared" ca="1" si="22"/>
        <v/>
      </c>
      <c r="G727">
        <f t="shared" ca="1" si="23"/>
        <v>0</v>
      </c>
    </row>
    <row r="728" spans="6:7" x14ac:dyDescent="0.2">
      <c r="F728" t="str">
        <f t="shared" ca="1" si="22"/>
        <v/>
      </c>
      <c r="G728">
        <f t="shared" ca="1" si="23"/>
        <v>0</v>
      </c>
    </row>
    <row r="729" spans="6:7" x14ac:dyDescent="0.2">
      <c r="F729" t="str">
        <f t="shared" ca="1" si="22"/>
        <v/>
      </c>
      <c r="G729">
        <f t="shared" ca="1" si="23"/>
        <v>0</v>
      </c>
    </row>
    <row r="730" spans="6:7" x14ac:dyDescent="0.2">
      <c r="F730" t="str">
        <f t="shared" ca="1" si="22"/>
        <v/>
      </c>
      <c r="G730">
        <f t="shared" ca="1" si="23"/>
        <v>0</v>
      </c>
    </row>
    <row r="731" spans="6:7" x14ac:dyDescent="0.2">
      <c r="F731" t="str">
        <f t="shared" ca="1" si="22"/>
        <v/>
      </c>
      <c r="G731">
        <f t="shared" ca="1" si="23"/>
        <v>0</v>
      </c>
    </row>
    <row r="732" spans="6:7" x14ac:dyDescent="0.2">
      <c r="F732" t="str">
        <f t="shared" ca="1" si="22"/>
        <v/>
      </c>
      <c r="G732">
        <f t="shared" ca="1" si="23"/>
        <v>0</v>
      </c>
    </row>
    <row r="733" spans="6:7" x14ac:dyDescent="0.2">
      <c r="F733" t="str">
        <f t="shared" ca="1" si="22"/>
        <v/>
      </c>
      <c r="G733">
        <f t="shared" ca="1" si="23"/>
        <v>0</v>
      </c>
    </row>
    <row r="734" spans="6:7" x14ac:dyDescent="0.2">
      <c r="F734" t="str">
        <f t="shared" ca="1" si="22"/>
        <v/>
      </c>
      <c r="G734">
        <f t="shared" ca="1" si="23"/>
        <v>0</v>
      </c>
    </row>
    <row r="735" spans="6:7" x14ac:dyDescent="0.2">
      <c r="F735" t="str">
        <f t="shared" ca="1" si="22"/>
        <v/>
      </c>
      <c r="G735">
        <f t="shared" ca="1" si="23"/>
        <v>0</v>
      </c>
    </row>
    <row r="736" spans="6:7" x14ac:dyDescent="0.2">
      <c r="F736" t="str">
        <f t="shared" ca="1" si="22"/>
        <v/>
      </c>
      <c r="G736">
        <f t="shared" ca="1" si="23"/>
        <v>0</v>
      </c>
    </row>
    <row r="737" spans="6:7" x14ac:dyDescent="0.2">
      <c r="F737" t="str">
        <f t="shared" ca="1" si="22"/>
        <v/>
      </c>
      <c r="G737">
        <f t="shared" ca="1" si="23"/>
        <v>0</v>
      </c>
    </row>
    <row r="738" spans="6:7" x14ac:dyDescent="0.2">
      <c r="F738" t="str">
        <f t="shared" ca="1" si="22"/>
        <v/>
      </c>
      <c r="G738">
        <f t="shared" ca="1" si="23"/>
        <v>0</v>
      </c>
    </row>
    <row r="739" spans="6:7" x14ac:dyDescent="0.2">
      <c r="F739" t="str">
        <f t="shared" ca="1" si="22"/>
        <v/>
      </c>
      <c r="G739">
        <f t="shared" ca="1" si="23"/>
        <v>0</v>
      </c>
    </row>
    <row r="740" spans="6:7" x14ac:dyDescent="0.2">
      <c r="F740" t="str">
        <f t="shared" ca="1" si="22"/>
        <v/>
      </c>
      <c r="G740">
        <f t="shared" ca="1" si="23"/>
        <v>0</v>
      </c>
    </row>
    <row r="741" spans="6:7" x14ac:dyDescent="0.2">
      <c r="F741" t="str">
        <f t="shared" ca="1" si="22"/>
        <v/>
      </c>
      <c r="G741">
        <f t="shared" ca="1" si="23"/>
        <v>0</v>
      </c>
    </row>
    <row r="742" spans="6:7" x14ac:dyDescent="0.2">
      <c r="F742" t="str">
        <f t="shared" ca="1" si="22"/>
        <v/>
      </c>
      <c r="G742">
        <f t="shared" ca="1" si="23"/>
        <v>0</v>
      </c>
    </row>
    <row r="743" spans="6:7" x14ac:dyDescent="0.2">
      <c r="F743" t="str">
        <f t="shared" ca="1" si="22"/>
        <v/>
      </c>
      <c r="G743">
        <f t="shared" ca="1" si="23"/>
        <v>0</v>
      </c>
    </row>
    <row r="744" spans="6:7" x14ac:dyDescent="0.2">
      <c r="F744" t="str">
        <f t="shared" ca="1" si="22"/>
        <v/>
      </c>
      <c r="G744">
        <f t="shared" ca="1" si="23"/>
        <v>0</v>
      </c>
    </row>
    <row r="745" spans="6:7" x14ac:dyDescent="0.2">
      <c r="F745" t="str">
        <f t="shared" ca="1" si="22"/>
        <v/>
      </c>
      <c r="G745">
        <f t="shared" ca="1" si="23"/>
        <v>0</v>
      </c>
    </row>
    <row r="746" spans="6:7" x14ac:dyDescent="0.2">
      <c r="F746" t="str">
        <f t="shared" ca="1" si="22"/>
        <v/>
      </c>
      <c r="G746">
        <f t="shared" ca="1" si="23"/>
        <v>0</v>
      </c>
    </row>
    <row r="747" spans="6:7" x14ac:dyDescent="0.2">
      <c r="F747" t="str">
        <f t="shared" ca="1" si="22"/>
        <v/>
      </c>
      <c r="G747">
        <f t="shared" ca="1" si="23"/>
        <v>0</v>
      </c>
    </row>
    <row r="748" spans="6:7" x14ac:dyDescent="0.2">
      <c r="F748" t="str">
        <f t="shared" ca="1" si="22"/>
        <v/>
      </c>
      <c r="G748">
        <f t="shared" ca="1" si="23"/>
        <v>0</v>
      </c>
    </row>
    <row r="749" spans="6:7" x14ac:dyDescent="0.2">
      <c r="F749" t="str">
        <f t="shared" ca="1" si="22"/>
        <v/>
      </c>
      <c r="G749">
        <f t="shared" ca="1" si="23"/>
        <v>0</v>
      </c>
    </row>
    <row r="750" spans="6:7" x14ac:dyDescent="0.2">
      <c r="F750" t="str">
        <f t="shared" ca="1" si="22"/>
        <v/>
      </c>
      <c r="G750">
        <f t="shared" ca="1" si="23"/>
        <v>0</v>
      </c>
    </row>
    <row r="751" spans="6:7" x14ac:dyDescent="0.2">
      <c r="F751" t="str">
        <f t="shared" ca="1" si="22"/>
        <v/>
      </c>
      <c r="G751">
        <f t="shared" ca="1" si="23"/>
        <v>0</v>
      </c>
    </row>
    <row r="752" spans="6:7" x14ac:dyDescent="0.2">
      <c r="F752" t="str">
        <f t="shared" ca="1" si="22"/>
        <v/>
      </c>
      <c r="G752">
        <f t="shared" ca="1" si="23"/>
        <v>0</v>
      </c>
    </row>
    <row r="753" spans="6:7" x14ac:dyDescent="0.2">
      <c r="F753" t="str">
        <f t="shared" ca="1" si="22"/>
        <v/>
      </c>
      <c r="G753">
        <f t="shared" ca="1" si="23"/>
        <v>0</v>
      </c>
    </row>
    <row r="754" spans="6:7" x14ac:dyDescent="0.2">
      <c r="F754" t="str">
        <f t="shared" ca="1" si="22"/>
        <v/>
      </c>
      <c r="G754">
        <f t="shared" ca="1" si="23"/>
        <v>0</v>
      </c>
    </row>
    <row r="755" spans="6:7" x14ac:dyDescent="0.2">
      <c r="F755" t="str">
        <f t="shared" ca="1" si="22"/>
        <v/>
      </c>
      <c r="G755">
        <f t="shared" ca="1" si="23"/>
        <v>0</v>
      </c>
    </row>
    <row r="756" spans="6:7" x14ac:dyDescent="0.2">
      <c r="F756" t="str">
        <f t="shared" ca="1" si="22"/>
        <v/>
      </c>
      <c r="G756">
        <f t="shared" ca="1" si="23"/>
        <v>0</v>
      </c>
    </row>
    <row r="757" spans="6:7" x14ac:dyDescent="0.2">
      <c r="F757" t="str">
        <f t="shared" ca="1" si="22"/>
        <v/>
      </c>
      <c r="G757">
        <f t="shared" ca="1" si="23"/>
        <v>0</v>
      </c>
    </row>
    <row r="758" spans="6:7" x14ac:dyDescent="0.2">
      <c r="F758" t="str">
        <f t="shared" ca="1" si="22"/>
        <v/>
      </c>
      <c r="G758">
        <f t="shared" ca="1" si="23"/>
        <v>0</v>
      </c>
    </row>
    <row r="759" spans="6:7" x14ac:dyDescent="0.2">
      <c r="F759" t="str">
        <f t="shared" ca="1" si="22"/>
        <v/>
      </c>
      <c r="G759">
        <f t="shared" ca="1" si="23"/>
        <v>0</v>
      </c>
    </row>
    <row r="760" spans="6:7" x14ac:dyDescent="0.2">
      <c r="F760" t="str">
        <f t="shared" ca="1" si="22"/>
        <v/>
      </c>
      <c r="G760">
        <f t="shared" ca="1" si="23"/>
        <v>0</v>
      </c>
    </row>
    <row r="761" spans="6:7" x14ac:dyDescent="0.2">
      <c r="F761" t="str">
        <f t="shared" ca="1" si="22"/>
        <v/>
      </c>
      <c r="G761">
        <f t="shared" ca="1" si="23"/>
        <v>0</v>
      </c>
    </row>
    <row r="762" spans="6:7" x14ac:dyDescent="0.2">
      <c r="F762" t="str">
        <f t="shared" ca="1" si="22"/>
        <v/>
      </c>
      <c r="G762">
        <f t="shared" ca="1" si="23"/>
        <v>0</v>
      </c>
    </row>
    <row r="763" spans="6:7" x14ac:dyDescent="0.2">
      <c r="F763" t="str">
        <f t="shared" ca="1" si="22"/>
        <v/>
      </c>
      <c r="G763">
        <f t="shared" ca="1" si="23"/>
        <v>0</v>
      </c>
    </row>
    <row r="764" spans="6:7" x14ac:dyDescent="0.2">
      <c r="F764" t="str">
        <f t="shared" ca="1" si="22"/>
        <v/>
      </c>
      <c r="G764">
        <f t="shared" ca="1" si="23"/>
        <v>0</v>
      </c>
    </row>
    <row r="765" spans="6:7" x14ac:dyDescent="0.2">
      <c r="F765" t="str">
        <f t="shared" ca="1" si="22"/>
        <v/>
      </c>
      <c r="G765">
        <f t="shared" ca="1" si="23"/>
        <v>0</v>
      </c>
    </row>
    <row r="766" spans="6:7" x14ac:dyDescent="0.2">
      <c r="F766" t="str">
        <f t="shared" ca="1" si="22"/>
        <v/>
      </c>
      <c r="G766">
        <f t="shared" ca="1" si="23"/>
        <v>0</v>
      </c>
    </row>
    <row r="767" spans="6:7" x14ac:dyDescent="0.2">
      <c r="F767" t="str">
        <f t="shared" ca="1" si="22"/>
        <v/>
      </c>
      <c r="G767">
        <f t="shared" ca="1" si="23"/>
        <v>0</v>
      </c>
    </row>
    <row r="768" spans="6:7" x14ac:dyDescent="0.2">
      <c r="F768" t="str">
        <f t="shared" ca="1" si="22"/>
        <v/>
      </c>
      <c r="G768">
        <f t="shared" ca="1" si="23"/>
        <v>0</v>
      </c>
    </row>
    <row r="769" spans="6:7" x14ac:dyDescent="0.2">
      <c r="F769" t="str">
        <f t="shared" ca="1" si="22"/>
        <v/>
      </c>
      <c r="G769">
        <f t="shared" ca="1" si="23"/>
        <v>0</v>
      </c>
    </row>
    <row r="770" spans="6:7" x14ac:dyDescent="0.2">
      <c r="F770" t="str">
        <f t="shared" ref="F770:F833" ca="1" si="24">IFERROR(MATCH(OFFSET($A$1,ROW()-1,0,1,1),A:A,0),"")</f>
        <v/>
      </c>
      <c r="G770">
        <f t="shared" ref="G770:G833" ca="1" si="25">COUNTIF(A:A,OFFSET($A$1,ROW()-1,0))</f>
        <v>0</v>
      </c>
    </row>
    <row r="771" spans="6:7" x14ac:dyDescent="0.2">
      <c r="F771" t="str">
        <f t="shared" ca="1" si="24"/>
        <v/>
      </c>
      <c r="G771">
        <f t="shared" ca="1" si="25"/>
        <v>0</v>
      </c>
    </row>
    <row r="772" spans="6:7" x14ac:dyDescent="0.2">
      <c r="F772" t="str">
        <f t="shared" ca="1" si="24"/>
        <v/>
      </c>
      <c r="G772">
        <f t="shared" ca="1" si="25"/>
        <v>0</v>
      </c>
    </row>
    <row r="773" spans="6:7" x14ac:dyDescent="0.2">
      <c r="F773" t="str">
        <f t="shared" ca="1" si="24"/>
        <v/>
      </c>
      <c r="G773">
        <f t="shared" ca="1" si="25"/>
        <v>0</v>
      </c>
    </row>
    <row r="774" spans="6:7" x14ac:dyDescent="0.2">
      <c r="F774" t="str">
        <f t="shared" ca="1" si="24"/>
        <v/>
      </c>
      <c r="G774">
        <f t="shared" ca="1" si="25"/>
        <v>0</v>
      </c>
    </row>
    <row r="775" spans="6:7" x14ac:dyDescent="0.2">
      <c r="F775" t="str">
        <f t="shared" ca="1" si="24"/>
        <v/>
      </c>
      <c r="G775">
        <f t="shared" ca="1" si="25"/>
        <v>0</v>
      </c>
    </row>
    <row r="776" spans="6:7" x14ac:dyDescent="0.2">
      <c r="F776" t="str">
        <f t="shared" ca="1" si="24"/>
        <v/>
      </c>
      <c r="G776">
        <f t="shared" ca="1" si="25"/>
        <v>0</v>
      </c>
    </row>
    <row r="777" spans="6:7" x14ac:dyDescent="0.2">
      <c r="F777" t="str">
        <f t="shared" ca="1" si="24"/>
        <v/>
      </c>
      <c r="G777">
        <f t="shared" ca="1" si="25"/>
        <v>0</v>
      </c>
    </row>
    <row r="778" spans="6:7" x14ac:dyDescent="0.2">
      <c r="F778" t="str">
        <f t="shared" ca="1" si="24"/>
        <v/>
      </c>
      <c r="G778">
        <f t="shared" ca="1" si="25"/>
        <v>0</v>
      </c>
    </row>
    <row r="779" spans="6:7" x14ac:dyDescent="0.2">
      <c r="F779" t="str">
        <f t="shared" ca="1" si="24"/>
        <v/>
      </c>
      <c r="G779">
        <f t="shared" ca="1" si="25"/>
        <v>0</v>
      </c>
    </row>
    <row r="780" spans="6:7" x14ac:dyDescent="0.2">
      <c r="F780" t="str">
        <f t="shared" ca="1" si="24"/>
        <v/>
      </c>
      <c r="G780">
        <f t="shared" ca="1" si="25"/>
        <v>0</v>
      </c>
    </row>
    <row r="781" spans="6:7" x14ac:dyDescent="0.2">
      <c r="F781" t="str">
        <f t="shared" ca="1" si="24"/>
        <v/>
      </c>
      <c r="G781">
        <f t="shared" ca="1" si="25"/>
        <v>0</v>
      </c>
    </row>
    <row r="782" spans="6:7" x14ac:dyDescent="0.2">
      <c r="F782" t="str">
        <f t="shared" ca="1" si="24"/>
        <v/>
      </c>
      <c r="G782">
        <f t="shared" ca="1" si="25"/>
        <v>0</v>
      </c>
    </row>
    <row r="783" spans="6:7" x14ac:dyDescent="0.2">
      <c r="F783" t="str">
        <f t="shared" ca="1" si="24"/>
        <v/>
      </c>
      <c r="G783">
        <f t="shared" ca="1" si="25"/>
        <v>0</v>
      </c>
    </row>
    <row r="784" spans="6:7" x14ac:dyDescent="0.2">
      <c r="F784" t="str">
        <f t="shared" ca="1" si="24"/>
        <v/>
      </c>
      <c r="G784">
        <f t="shared" ca="1" si="25"/>
        <v>0</v>
      </c>
    </row>
    <row r="785" spans="6:7" x14ac:dyDescent="0.2">
      <c r="F785" t="str">
        <f t="shared" ca="1" si="24"/>
        <v/>
      </c>
      <c r="G785">
        <f t="shared" ca="1" si="25"/>
        <v>0</v>
      </c>
    </row>
    <row r="786" spans="6:7" x14ac:dyDescent="0.2">
      <c r="F786" t="str">
        <f t="shared" ca="1" si="24"/>
        <v/>
      </c>
      <c r="G786">
        <f t="shared" ca="1" si="25"/>
        <v>0</v>
      </c>
    </row>
    <row r="787" spans="6:7" x14ac:dyDescent="0.2">
      <c r="F787" t="str">
        <f t="shared" ca="1" si="24"/>
        <v/>
      </c>
      <c r="G787">
        <f t="shared" ca="1" si="25"/>
        <v>0</v>
      </c>
    </row>
    <row r="788" spans="6:7" x14ac:dyDescent="0.2">
      <c r="F788" t="str">
        <f t="shared" ca="1" si="24"/>
        <v/>
      </c>
      <c r="G788">
        <f t="shared" ca="1" si="25"/>
        <v>0</v>
      </c>
    </row>
    <row r="789" spans="6:7" x14ac:dyDescent="0.2">
      <c r="F789" t="str">
        <f t="shared" ca="1" si="24"/>
        <v/>
      </c>
      <c r="G789">
        <f t="shared" ca="1" si="25"/>
        <v>0</v>
      </c>
    </row>
    <row r="790" spans="6:7" x14ac:dyDescent="0.2">
      <c r="F790" t="str">
        <f t="shared" ca="1" si="24"/>
        <v/>
      </c>
      <c r="G790">
        <f t="shared" ca="1" si="25"/>
        <v>0</v>
      </c>
    </row>
    <row r="791" spans="6:7" x14ac:dyDescent="0.2">
      <c r="F791" t="str">
        <f t="shared" ca="1" si="24"/>
        <v/>
      </c>
      <c r="G791">
        <f t="shared" ca="1" si="25"/>
        <v>0</v>
      </c>
    </row>
    <row r="792" spans="6:7" x14ac:dyDescent="0.2">
      <c r="F792" t="str">
        <f t="shared" ca="1" si="24"/>
        <v/>
      </c>
      <c r="G792">
        <f t="shared" ca="1" si="25"/>
        <v>0</v>
      </c>
    </row>
    <row r="793" spans="6:7" x14ac:dyDescent="0.2">
      <c r="F793" t="str">
        <f t="shared" ca="1" si="24"/>
        <v/>
      </c>
      <c r="G793">
        <f t="shared" ca="1" si="25"/>
        <v>0</v>
      </c>
    </row>
    <row r="794" spans="6:7" x14ac:dyDescent="0.2">
      <c r="F794" t="str">
        <f t="shared" ca="1" si="24"/>
        <v/>
      </c>
      <c r="G794">
        <f t="shared" ca="1" si="25"/>
        <v>0</v>
      </c>
    </row>
    <row r="795" spans="6:7" x14ac:dyDescent="0.2">
      <c r="F795" t="str">
        <f t="shared" ca="1" si="24"/>
        <v/>
      </c>
      <c r="G795">
        <f t="shared" ca="1" si="25"/>
        <v>0</v>
      </c>
    </row>
    <row r="796" spans="6:7" x14ac:dyDescent="0.2">
      <c r="F796" t="str">
        <f t="shared" ca="1" si="24"/>
        <v/>
      </c>
      <c r="G796">
        <f t="shared" ca="1" si="25"/>
        <v>0</v>
      </c>
    </row>
    <row r="797" spans="6:7" x14ac:dyDescent="0.2">
      <c r="F797" t="str">
        <f t="shared" ca="1" si="24"/>
        <v/>
      </c>
      <c r="G797">
        <f t="shared" ca="1" si="25"/>
        <v>0</v>
      </c>
    </row>
    <row r="798" spans="6:7" x14ac:dyDescent="0.2">
      <c r="F798" t="str">
        <f t="shared" ca="1" si="24"/>
        <v/>
      </c>
      <c r="G798">
        <f t="shared" ca="1" si="25"/>
        <v>0</v>
      </c>
    </row>
    <row r="799" spans="6:7" x14ac:dyDescent="0.2">
      <c r="F799" t="str">
        <f t="shared" ca="1" si="24"/>
        <v/>
      </c>
      <c r="G799">
        <f t="shared" ca="1" si="25"/>
        <v>0</v>
      </c>
    </row>
    <row r="800" spans="6:7" x14ac:dyDescent="0.2">
      <c r="F800" t="str">
        <f t="shared" ca="1" si="24"/>
        <v/>
      </c>
      <c r="G800">
        <f t="shared" ca="1" si="25"/>
        <v>0</v>
      </c>
    </row>
    <row r="801" spans="6:7" x14ac:dyDescent="0.2">
      <c r="F801" t="str">
        <f t="shared" ca="1" si="24"/>
        <v/>
      </c>
      <c r="G801">
        <f t="shared" ca="1" si="25"/>
        <v>0</v>
      </c>
    </row>
    <row r="802" spans="6:7" x14ac:dyDescent="0.2">
      <c r="F802" t="str">
        <f t="shared" ca="1" si="24"/>
        <v/>
      </c>
      <c r="G802">
        <f t="shared" ca="1" si="25"/>
        <v>0</v>
      </c>
    </row>
    <row r="803" spans="6:7" x14ac:dyDescent="0.2">
      <c r="F803" t="str">
        <f t="shared" ca="1" si="24"/>
        <v/>
      </c>
      <c r="G803">
        <f t="shared" ca="1" si="25"/>
        <v>0</v>
      </c>
    </row>
    <row r="804" spans="6:7" x14ac:dyDescent="0.2">
      <c r="F804" t="str">
        <f t="shared" ca="1" si="24"/>
        <v/>
      </c>
      <c r="G804">
        <f t="shared" ca="1" si="25"/>
        <v>0</v>
      </c>
    </row>
    <row r="805" spans="6:7" x14ac:dyDescent="0.2">
      <c r="F805" t="str">
        <f t="shared" ca="1" si="24"/>
        <v/>
      </c>
      <c r="G805">
        <f t="shared" ca="1" si="25"/>
        <v>0</v>
      </c>
    </row>
    <row r="806" spans="6:7" x14ac:dyDescent="0.2">
      <c r="F806" t="str">
        <f t="shared" ca="1" si="24"/>
        <v/>
      </c>
      <c r="G806">
        <f t="shared" ca="1" si="25"/>
        <v>0</v>
      </c>
    </row>
    <row r="807" spans="6:7" x14ac:dyDescent="0.2">
      <c r="F807" t="str">
        <f t="shared" ca="1" si="24"/>
        <v/>
      </c>
      <c r="G807">
        <f t="shared" ca="1" si="25"/>
        <v>0</v>
      </c>
    </row>
    <row r="808" spans="6:7" x14ac:dyDescent="0.2">
      <c r="F808" t="str">
        <f t="shared" ca="1" si="24"/>
        <v/>
      </c>
      <c r="G808">
        <f t="shared" ca="1" si="25"/>
        <v>0</v>
      </c>
    </row>
    <row r="809" spans="6:7" x14ac:dyDescent="0.2">
      <c r="F809" t="str">
        <f t="shared" ca="1" si="24"/>
        <v/>
      </c>
      <c r="G809">
        <f t="shared" ca="1" si="25"/>
        <v>0</v>
      </c>
    </row>
    <row r="810" spans="6:7" x14ac:dyDescent="0.2">
      <c r="F810" t="str">
        <f t="shared" ca="1" si="24"/>
        <v/>
      </c>
      <c r="G810">
        <f t="shared" ca="1" si="25"/>
        <v>0</v>
      </c>
    </row>
    <row r="811" spans="6:7" x14ac:dyDescent="0.2">
      <c r="F811" t="str">
        <f t="shared" ca="1" si="24"/>
        <v/>
      </c>
      <c r="G811">
        <f t="shared" ca="1" si="25"/>
        <v>0</v>
      </c>
    </row>
    <row r="812" spans="6:7" x14ac:dyDescent="0.2">
      <c r="F812" t="str">
        <f t="shared" ca="1" si="24"/>
        <v/>
      </c>
      <c r="G812">
        <f t="shared" ca="1" si="25"/>
        <v>0</v>
      </c>
    </row>
    <row r="813" spans="6:7" x14ac:dyDescent="0.2">
      <c r="F813" t="str">
        <f t="shared" ca="1" si="24"/>
        <v/>
      </c>
      <c r="G813">
        <f t="shared" ca="1" si="25"/>
        <v>0</v>
      </c>
    </row>
    <row r="814" spans="6:7" x14ac:dyDescent="0.2">
      <c r="F814" t="str">
        <f t="shared" ca="1" si="24"/>
        <v/>
      </c>
      <c r="G814">
        <f t="shared" ca="1" si="25"/>
        <v>0</v>
      </c>
    </row>
    <row r="815" spans="6:7" x14ac:dyDescent="0.2">
      <c r="F815" t="str">
        <f t="shared" ca="1" si="24"/>
        <v/>
      </c>
      <c r="G815">
        <f t="shared" ca="1" si="25"/>
        <v>0</v>
      </c>
    </row>
    <row r="816" spans="6:7" x14ac:dyDescent="0.2">
      <c r="F816" t="str">
        <f t="shared" ca="1" si="24"/>
        <v/>
      </c>
      <c r="G816">
        <f t="shared" ca="1" si="25"/>
        <v>0</v>
      </c>
    </row>
    <row r="817" spans="6:7" x14ac:dyDescent="0.2">
      <c r="F817" t="str">
        <f t="shared" ca="1" si="24"/>
        <v/>
      </c>
      <c r="G817">
        <f t="shared" ca="1" si="25"/>
        <v>0</v>
      </c>
    </row>
    <row r="818" spans="6:7" x14ac:dyDescent="0.2">
      <c r="F818" t="str">
        <f t="shared" ca="1" si="24"/>
        <v/>
      </c>
      <c r="G818">
        <f t="shared" ca="1" si="25"/>
        <v>0</v>
      </c>
    </row>
    <row r="819" spans="6:7" x14ac:dyDescent="0.2">
      <c r="F819" t="str">
        <f t="shared" ca="1" si="24"/>
        <v/>
      </c>
      <c r="G819">
        <f t="shared" ca="1" si="25"/>
        <v>0</v>
      </c>
    </row>
    <row r="820" spans="6:7" x14ac:dyDescent="0.2">
      <c r="F820" t="str">
        <f t="shared" ca="1" si="24"/>
        <v/>
      </c>
      <c r="G820">
        <f t="shared" ca="1" si="25"/>
        <v>0</v>
      </c>
    </row>
    <row r="821" spans="6:7" x14ac:dyDescent="0.2">
      <c r="F821" t="str">
        <f t="shared" ca="1" si="24"/>
        <v/>
      </c>
      <c r="G821">
        <f t="shared" ca="1" si="25"/>
        <v>0</v>
      </c>
    </row>
    <row r="822" spans="6:7" x14ac:dyDescent="0.2">
      <c r="F822" t="str">
        <f t="shared" ca="1" si="24"/>
        <v/>
      </c>
      <c r="G822">
        <f t="shared" ca="1" si="25"/>
        <v>0</v>
      </c>
    </row>
    <row r="823" spans="6:7" x14ac:dyDescent="0.2">
      <c r="F823" t="str">
        <f t="shared" ca="1" si="24"/>
        <v/>
      </c>
      <c r="G823">
        <f t="shared" ca="1" si="25"/>
        <v>0</v>
      </c>
    </row>
    <row r="824" spans="6:7" x14ac:dyDescent="0.2">
      <c r="F824" t="str">
        <f t="shared" ca="1" si="24"/>
        <v/>
      </c>
      <c r="G824">
        <f t="shared" ca="1" si="25"/>
        <v>0</v>
      </c>
    </row>
    <row r="825" spans="6:7" x14ac:dyDescent="0.2">
      <c r="F825" t="str">
        <f t="shared" ca="1" si="24"/>
        <v/>
      </c>
      <c r="G825">
        <f t="shared" ca="1" si="25"/>
        <v>0</v>
      </c>
    </row>
    <row r="826" spans="6:7" x14ac:dyDescent="0.2">
      <c r="F826" t="str">
        <f t="shared" ca="1" si="24"/>
        <v/>
      </c>
      <c r="G826">
        <f t="shared" ca="1" si="25"/>
        <v>0</v>
      </c>
    </row>
    <row r="827" spans="6:7" x14ac:dyDescent="0.2">
      <c r="F827" t="str">
        <f t="shared" ca="1" si="24"/>
        <v/>
      </c>
      <c r="G827">
        <f t="shared" ca="1" si="25"/>
        <v>0</v>
      </c>
    </row>
    <row r="828" spans="6:7" x14ac:dyDescent="0.2">
      <c r="F828" t="str">
        <f t="shared" ca="1" si="24"/>
        <v/>
      </c>
      <c r="G828">
        <f t="shared" ca="1" si="25"/>
        <v>0</v>
      </c>
    </row>
    <row r="829" spans="6:7" x14ac:dyDescent="0.2">
      <c r="F829" t="str">
        <f t="shared" ca="1" si="24"/>
        <v/>
      </c>
      <c r="G829">
        <f t="shared" ca="1" si="25"/>
        <v>0</v>
      </c>
    </row>
    <row r="830" spans="6:7" x14ac:dyDescent="0.2">
      <c r="F830" t="str">
        <f t="shared" ca="1" si="24"/>
        <v/>
      </c>
      <c r="G830">
        <f t="shared" ca="1" si="25"/>
        <v>0</v>
      </c>
    </row>
    <row r="831" spans="6:7" x14ac:dyDescent="0.2">
      <c r="F831" t="str">
        <f t="shared" ca="1" si="24"/>
        <v/>
      </c>
      <c r="G831">
        <f t="shared" ca="1" si="25"/>
        <v>0</v>
      </c>
    </row>
    <row r="832" spans="6:7" x14ac:dyDescent="0.2">
      <c r="F832" t="str">
        <f t="shared" ca="1" si="24"/>
        <v/>
      </c>
      <c r="G832">
        <f t="shared" ca="1" si="25"/>
        <v>0</v>
      </c>
    </row>
    <row r="833" spans="6:7" x14ac:dyDescent="0.2">
      <c r="F833" t="str">
        <f t="shared" ca="1" si="24"/>
        <v/>
      </c>
      <c r="G833">
        <f t="shared" ca="1" si="25"/>
        <v>0</v>
      </c>
    </row>
    <row r="834" spans="6:7" x14ac:dyDescent="0.2">
      <c r="F834" t="str">
        <f t="shared" ref="F834:F897" ca="1" si="26">IFERROR(MATCH(OFFSET($A$1,ROW()-1,0,1,1),A:A,0),"")</f>
        <v/>
      </c>
      <c r="G834">
        <f t="shared" ref="G834:G897" ca="1" si="27">COUNTIF(A:A,OFFSET($A$1,ROW()-1,0))</f>
        <v>0</v>
      </c>
    </row>
    <row r="835" spans="6:7" x14ac:dyDescent="0.2">
      <c r="F835" t="str">
        <f t="shared" ca="1" si="26"/>
        <v/>
      </c>
      <c r="G835">
        <f t="shared" ca="1" si="27"/>
        <v>0</v>
      </c>
    </row>
    <row r="836" spans="6:7" x14ac:dyDescent="0.2">
      <c r="F836" t="str">
        <f t="shared" ca="1" si="26"/>
        <v/>
      </c>
      <c r="G836">
        <f t="shared" ca="1" si="27"/>
        <v>0</v>
      </c>
    </row>
    <row r="837" spans="6:7" x14ac:dyDescent="0.2">
      <c r="F837" t="str">
        <f t="shared" ca="1" si="26"/>
        <v/>
      </c>
      <c r="G837">
        <f t="shared" ca="1" si="27"/>
        <v>0</v>
      </c>
    </row>
    <row r="838" spans="6:7" x14ac:dyDescent="0.2">
      <c r="F838" t="str">
        <f t="shared" ca="1" si="26"/>
        <v/>
      </c>
      <c r="G838">
        <f t="shared" ca="1" si="27"/>
        <v>0</v>
      </c>
    </row>
    <row r="839" spans="6:7" x14ac:dyDescent="0.2">
      <c r="F839" t="str">
        <f t="shared" ca="1" si="26"/>
        <v/>
      </c>
      <c r="G839">
        <f t="shared" ca="1" si="27"/>
        <v>0</v>
      </c>
    </row>
    <row r="840" spans="6:7" x14ac:dyDescent="0.2">
      <c r="F840" t="str">
        <f t="shared" ca="1" si="26"/>
        <v/>
      </c>
      <c r="G840">
        <f t="shared" ca="1" si="27"/>
        <v>0</v>
      </c>
    </row>
    <row r="841" spans="6:7" x14ac:dyDescent="0.2">
      <c r="F841" t="str">
        <f t="shared" ca="1" si="26"/>
        <v/>
      </c>
      <c r="G841">
        <f t="shared" ca="1" si="27"/>
        <v>0</v>
      </c>
    </row>
    <row r="842" spans="6:7" x14ac:dyDescent="0.2">
      <c r="F842" t="str">
        <f t="shared" ca="1" si="26"/>
        <v/>
      </c>
      <c r="G842">
        <f t="shared" ca="1" si="27"/>
        <v>0</v>
      </c>
    </row>
    <row r="843" spans="6:7" x14ac:dyDescent="0.2">
      <c r="F843" t="str">
        <f t="shared" ca="1" si="26"/>
        <v/>
      </c>
      <c r="G843">
        <f t="shared" ca="1" si="27"/>
        <v>0</v>
      </c>
    </row>
    <row r="844" spans="6:7" x14ac:dyDescent="0.2">
      <c r="F844" t="str">
        <f t="shared" ca="1" si="26"/>
        <v/>
      </c>
      <c r="G844">
        <f t="shared" ca="1" si="27"/>
        <v>0</v>
      </c>
    </row>
    <row r="845" spans="6:7" x14ac:dyDescent="0.2">
      <c r="F845" t="str">
        <f t="shared" ca="1" si="26"/>
        <v/>
      </c>
      <c r="G845">
        <f t="shared" ca="1" si="27"/>
        <v>0</v>
      </c>
    </row>
    <row r="846" spans="6:7" x14ac:dyDescent="0.2">
      <c r="F846" t="str">
        <f t="shared" ca="1" si="26"/>
        <v/>
      </c>
      <c r="G846">
        <f t="shared" ca="1" si="27"/>
        <v>0</v>
      </c>
    </row>
    <row r="847" spans="6:7" x14ac:dyDescent="0.2">
      <c r="F847" t="str">
        <f t="shared" ca="1" si="26"/>
        <v/>
      </c>
      <c r="G847">
        <f t="shared" ca="1" si="27"/>
        <v>0</v>
      </c>
    </row>
    <row r="848" spans="6:7" x14ac:dyDescent="0.2">
      <c r="F848" t="str">
        <f t="shared" ca="1" si="26"/>
        <v/>
      </c>
      <c r="G848">
        <f t="shared" ca="1" si="27"/>
        <v>0</v>
      </c>
    </row>
    <row r="849" spans="6:7" x14ac:dyDescent="0.2">
      <c r="F849" t="str">
        <f t="shared" ca="1" si="26"/>
        <v/>
      </c>
      <c r="G849">
        <f t="shared" ca="1" si="27"/>
        <v>0</v>
      </c>
    </row>
    <row r="850" spans="6:7" x14ac:dyDescent="0.2">
      <c r="F850" t="str">
        <f t="shared" ca="1" si="26"/>
        <v/>
      </c>
      <c r="G850">
        <f t="shared" ca="1" si="27"/>
        <v>0</v>
      </c>
    </row>
    <row r="851" spans="6:7" x14ac:dyDescent="0.2">
      <c r="F851" t="str">
        <f t="shared" ca="1" si="26"/>
        <v/>
      </c>
      <c r="G851">
        <f t="shared" ca="1" si="27"/>
        <v>0</v>
      </c>
    </row>
    <row r="852" spans="6:7" x14ac:dyDescent="0.2">
      <c r="F852" t="str">
        <f t="shared" ca="1" si="26"/>
        <v/>
      </c>
      <c r="G852">
        <f t="shared" ca="1" si="27"/>
        <v>0</v>
      </c>
    </row>
    <row r="853" spans="6:7" x14ac:dyDescent="0.2">
      <c r="F853" t="str">
        <f t="shared" ca="1" si="26"/>
        <v/>
      </c>
      <c r="G853">
        <f t="shared" ca="1" si="27"/>
        <v>0</v>
      </c>
    </row>
    <row r="854" spans="6:7" x14ac:dyDescent="0.2">
      <c r="F854" t="str">
        <f t="shared" ca="1" si="26"/>
        <v/>
      </c>
      <c r="G854">
        <f t="shared" ca="1" si="27"/>
        <v>0</v>
      </c>
    </row>
    <row r="855" spans="6:7" x14ac:dyDescent="0.2">
      <c r="F855" t="str">
        <f t="shared" ca="1" si="26"/>
        <v/>
      </c>
      <c r="G855">
        <f t="shared" ca="1" si="27"/>
        <v>0</v>
      </c>
    </row>
    <row r="856" spans="6:7" x14ac:dyDescent="0.2">
      <c r="F856" t="str">
        <f t="shared" ca="1" si="26"/>
        <v/>
      </c>
      <c r="G856">
        <f t="shared" ca="1" si="27"/>
        <v>0</v>
      </c>
    </row>
    <row r="857" spans="6:7" x14ac:dyDescent="0.2">
      <c r="F857" t="str">
        <f t="shared" ca="1" si="26"/>
        <v/>
      </c>
      <c r="G857">
        <f t="shared" ca="1" si="27"/>
        <v>0</v>
      </c>
    </row>
    <row r="858" spans="6:7" x14ac:dyDescent="0.2">
      <c r="F858" t="str">
        <f t="shared" ca="1" si="26"/>
        <v/>
      </c>
      <c r="G858">
        <f t="shared" ca="1" si="27"/>
        <v>0</v>
      </c>
    </row>
    <row r="859" spans="6:7" x14ac:dyDescent="0.2">
      <c r="F859" t="str">
        <f t="shared" ca="1" si="26"/>
        <v/>
      </c>
      <c r="G859">
        <f t="shared" ca="1" si="27"/>
        <v>0</v>
      </c>
    </row>
    <row r="860" spans="6:7" x14ac:dyDescent="0.2">
      <c r="F860" t="str">
        <f t="shared" ca="1" si="26"/>
        <v/>
      </c>
      <c r="G860">
        <f t="shared" ca="1" si="27"/>
        <v>0</v>
      </c>
    </row>
    <row r="861" spans="6:7" x14ac:dyDescent="0.2">
      <c r="F861" t="str">
        <f t="shared" ca="1" si="26"/>
        <v/>
      </c>
      <c r="G861">
        <f t="shared" ca="1" si="27"/>
        <v>0</v>
      </c>
    </row>
    <row r="862" spans="6:7" x14ac:dyDescent="0.2">
      <c r="F862" t="str">
        <f t="shared" ca="1" si="26"/>
        <v/>
      </c>
      <c r="G862">
        <f t="shared" ca="1" si="27"/>
        <v>0</v>
      </c>
    </row>
    <row r="863" spans="6:7" x14ac:dyDescent="0.2">
      <c r="F863" t="str">
        <f t="shared" ca="1" si="26"/>
        <v/>
      </c>
      <c r="G863">
        <f t="shared" ca="1" si="27"/>
        <v>0</v>
      </c>
    </row>
    <row r="864" spans="6:7" x14ac:dyDescent="0.2">
      <c r="F864" t="str">
        <f t="shared" ca="1" si="26"/>
        <v/>
      </c>
      <c r="G864">
        <f t="shared" ca="1" si="27"/>
        <v>0</v>
      </c>
    </row>
    <row r="865" spans="6:7" x14ac:dyDescent="0.2">
      <c r="F865" t="str">
        <f t="shared" ca="1" si="26"/>
        <v/>
      </c>
      <c r="G865">
        <f t="shared" ca="1" si="27"/>
        <v>0</v>
      </c>
    </row>
    <row r="866" spans="6:7" x14ac:dyDescent="0.2">
      <c r="F866" t="str">
        <f t="shared" ca="1" si="26"/>
        <v/>
      </c>
      <c r="G866">
        <f t="shared" ca="1" si="27"/>
        <v>0</v>
      </c>
    </row>
    <row r="867" spans="6:7" x14ac:dyDescent="0.2">
      <c r="F867" t="str">
        <f t="shared" ca="1" si="26"/>
        <v/>
      </c>
      <c r="G867">
        <f t="shared" ca="1" si="27"/>
        <v>0</v>
      </c>
    </row>
    <row r="868" spans="6:7" x14ac:dyDescent="0.2">
      <c r="F868" t="str">
        <f t="shared" ca="1" si="26"/>
        <v/>
      </c>
      <c r="G868">
        <f t="shared" ca="1" si="27"/>
        <v>0</v>
      </c>
    </row>
    <row r="869" spans="6:7" x14ac:dyDescent="0.2">
      <c r="F869" t="str">
        <f t="shared" ca="1" si="26"/>
        <v/>
      </c>
      <c r="G869">
        <f t="shared" ca="1" si="27"/>
        <v>0</v>
      </c>
    </row>
    <row r="870" spans="6:7" x14ac:dyDescent="0.2">
      <c r="F870" t="str">
        <f t="shared" ca="1" si="26"/>
        <v/>
      </c>
      <c r="G870">
        <f t="shared" ca="1" si="27"/>
        <v>0</v>
      </c>
    </row>
    <row r="871" spans="6:7" x14ac:dyDescent="0.2">
      <c r="F871" t="str">
        <f t="shared" ca="1" si="26"/>
        <v/>
      </c>
      <c r="G871">
        <f t="shared" ca="1" si="27"/>
        <v>0</v>
      </c>
    </row>
    <row r="872" spans="6:7" x14ac:dyDescent="0.2">
      <c r="F872" t="str">
        <f t="shared" ca="1" si="26"/>
        <v/>
      </c>
      <c r="G872">
        <f t="shared" ca="1" si="27"/>
        <v>0</v>
      </c>
    </row>
    <row r="873" spans="6:7" x14ac:dyDescent="0.2">
      <c r="F873" t="str">
        <f t="shared" ca="1" si="26"/>
        <v/>
      </c>
      <c r="G873">
        <f t="shared" ca="1" si="27"/>
        <v>0</v>
      </c>
    </row>
    <row r="874" spans="6:7" x14ac:dyDescent="0.2">
      <c r="F874" t="str">
        <f t="shared" ca="1" si="26"/>
        <v/>
      </c>
      <c r="G874">
        <f t="shared" ca="1" si="27"/>
        <v>0</v>
      </c>
    </row>
    <row r="875" spans="6:7" x14ac:dyDescent="0.2">
      <c r="F875" t="str">
        <f t="shared" ca="1" si="26"/>
        <v/>
      </c>
      <c r="G875">
        <f t="shared" ca="1" si="27"/>
        <v>0</v>
      </c>
    </row>
    <row r="876" spans="6:7" x14ac:dyDescent="0.2">
      <c r="F876" t="str">
        <f t="shared" ca="1" si="26"/>
        <v/>
      </c>
      <c r="G876">
        <f t="shared" ca="1" si="27"/>
        <v>0</v>
      </c>
    </row>
    <row r="877" spans="6:7" x14ac:dyDescent="0.2">
      <c r="F877" t="str">
        <f t="shared" ca="1" si="26"/>
        <v/>
      </c>
      <c r="G877">
        <f t="shared" ca="1" si="27"/>
        <v>0</v>
      </c>
    </row>
    <row r="878" spans="6:7" x14ac:dyDescent="0.2">
      <c r="F878" t="str">
        <f t="shared" ca="1" si="26"/>
        <v/>
      </c>
      <c r="G878">
        <f t="shared" ca="1" si="27"/>
        <v>0</v>
      </c>
    </row>
    <row r="879" spans="6:7" x14ac:dyDescent="0.2">
      <c r="F879" t="str">
        <f t="shared" ca="1" si="26"/>
        <v/>
      </c>
      <c r="G879">
        <f t="shared" ca="1" si="27"/>
        <v>0</v>
      </c>
    </row>
    <row r="880" spans="6:7" x14ac:dyDescent="0.2">
      <c r="F880" t="str">
        <f t="shared" ca="1" si="26"/>
        <v/>
      </c>
      <c r="G880">
        <f t="shared" ca="1" si="27"/>
        <v>0</v>
      </c>
    </row>
    <row r="881" spans="6:7" x14ac:dyDescent="0.2">
      <c r="F881" t="str">
        <f t="shared" ca="1" si="26"/>
        <v/>
      </c>
      <c r="G881">
        <f t="shared" ca="1" si="27"/>
        <v>0</v>
      </c>
    </row>
    <row r="882" spans="6:7" x14ac:dyDescent="0.2">
      <c r="F882" t="str">
        <f t="shared" ca="1" si="26"/>
        <v/>
      </c>
      <c r="G882">
        <f t="shared" ca="1" si="27"/>
        <v>0</v>
      </c>
    </row>
    <row r="883" spans="6:7" x14ac:dyDescent="0.2">
      <c r="F883" t="str">
        <f t="shared" ca="1" si="26"/>
        <v/>
      </c>
      <c r="G883">
        <f t="shared" ca="1" si="27"/>
        <v>0</v>
      </c>
    </row>
    <row r="884" spans="6:7" x14ac:dyDescent="0.2">
      <c r="F884" t="str">
        <f t="shared" ca="1" si="26"/>
        <v/>
      </c>
      <c r="G884">
        <f t="shared" ca="1" si="27"/>
        <v>0</v>
      </c>
    </row>
    <row r="885" spans="6:7" x14ac:dyDescent="0.2">
      <c r="F885" t="str">
        <f t="shared" ca="1" si="26"/>
        <v/>
      </c>
      <c r="G885">
        <f t="shared" ca="1" si="27"/>
        <v>0</v>
      </c>
    </row>
    <row r="886" spans="6:7" x14ac:dyDescent="0.2">
      <c r="F886" t="str">
        <f t="shared" ca="1" si="26"/>
        <v/>
      </c>
      <c r="G886">
        <f t="shared" ca="1" si="27"/>
        <v>0</v>
      </c>
    </row>
    <row r="887" spans="6:7" x14ac:dyDescent="0.2">
      <c r="F887" t="str">
        <f t="shared" ca="1" si="26"/>
        <v/>
      </c>
      <c r="G887">
        <f t="shared" ca="1" si="27"/>
        <v>0</v>
      </c>
    </row>
    <row r="888" spans="6:7" x14ac:dyDescent="0.2">
      <c r="F888" t="str">
        <f t="shared" ca="1" si="26"/>
        <v/>
      </c>
      <c r="G888">
        <f t="shared" ca="1" si="27"/>
        <v>0</v>
      </c>
    </row>
    <row r="889" spans="6:7" x14ac:dyDescent="0.2">
      <c r="F889" t="str">
        <f t="shared" ca="1" si="26"/>
        <v/>
      </c>
      <c r="G889">
        <f t="shared" ca="1" si="27"/>
        <v>0</v>
      </c>
    </row>
    <row r="890" spans="6:7" x14ac:dyDescent="0.2">
      <c r="F890" t="str">
        <f t="shared" ca="1" si="26"/>
        <v/>
      </c>
      <c r="G890">
        <f t="shared" ca="1" si="27"/>
        <v>0</v>
      </c>
    </row>
    <row r="891" spans="6:7" x14ac:dyDescent="0.2">
      <c r="F891" t="str">
        <f t="shared" ca="1" si="26"/>
        <v/>
      </c>
      <c r="G891">
        <f t="shared" ca="1" si="27"/>
        <v>0</v>
      </c>
    </row>
    <row r="892" spans="6:7" x14ac:dyDescent="0.2">
      <c r="F892" t="str">
        <f t="shared" ca="1" si="26"/>
        <v/>
      </c>
      <c r="G892">
        <f t="shared" ca="1" si="27"/>
        <v>0</v>
      </c>
    </row>
    <row r="893" spans="6:7" x14ac:dyDescent="0.2">
      <c r="F893" t="str">
        <f t="shared" ca="1" si="26"/>
        <v/>
      </c>
      <c r="G893">
        <f t="shared" ca="1" si="27"/>
        <v>0</v>
      </c>
    </row>
    <row r="894" spans="6:7" x14ac:dyDescent="0.2">
      <c r="F894" t="str">
        <f t="shared" ca="1" si="26"/>
        <v/>
      </c>
      <c r="G894">
        <f t="shared" ca="1" si="27"/>
        <v>0</v>
      </c>
    </row>
    <row r="895" spans="6:7" x14ac:dyDescent="0.2">
      <c r="F895" t="str">
        <f t="shared" ca="1" si="26"/>
        <v/>
      </c>
      <c r="G895">
        <f t="shared" ca="1" si="27"/>
        <v>0</v>
      </c>
    </row>
    <row r="896" spans="6:7" x14ac:dyDescent="0.2">
      <c r="F896" t="str">
        <f t="shared" ca="1" si="26"/>
        <v/>
      </c>
      <c r="G896">
        <f t="shared" ca="1" si="27"/>
        <v>0</v>
      </c>
    </row>
    <row r="897" spans="6:7" x14ac:dyDescent="0.2">
      <c r="F897" t="str">
        <f t="shared" ca="1" si="26"/>
        <v/>
      </c>
      <c r="G897">
        <f t="shared" ca="1" si="27"/>
        <v>0</v>
      </c>
    </row>
    <row r="898" spans="6:7" x14ac:dyDescent="0.2">
      <c r="F898" t="str">
        <f t="shared" ref="F898:F905" ca="1" si="28">IFERROR(MATCH(OFFSET($A$1,ROW()-1,0,1,1),A:A,0),"")</f>
        <v/>
      </c>
      <c r="G898">
        <f t="shared" ref="G898:G905" ca="1" si="29">COUNTIF(A:A,OFFSET($A$1,ROW()-1,0))</f>
        <v>0</v>
      </c>
    </row>
    <row r="899" spans="6:7" x14ac:dyDescent="0.2">
      <c r="F899" t="str">
        <f t="shared" ca="1" si="28"/>
        <v/>
      </c>
      <c r="G899">
        <f t="shared" ca="1" si="29"/>
        <v>0</v>
      </c>
    </row>
    <row r="900" spans="6:7" x14ac:dyDescent="0.2">
      <c r="F900" t="str">
        <f t="shared" ca="1" si="28"/>
        <v/>
      </c>
      <c r="G900">
        <f t="shared" ca="1" si="29"/>
        <v>0</v>
      </c>
    </row>
    <row r="901" spans="6:7" x14ac:dyDescent="0.2">
      <c r="F901" t="str">
        <f t="shared" ca="1" si="28"/>
        <v/>
      </c>
      <c r="G901">
        <f t="shared" ca="1" si="29"/>
        <v>0</v>
      </c>
    </row>
    <row r="902" spans="6:7" x14ac:dyDescent="0.2">
      <c r="F902" t="str">
        <f t="shared" ca="1" si="28"/>
        <v/>
      </c>
      <c r="G902">
        <f t="shared" ca="1" si="29"/>
        <v>0</v>
      </c>
    </row>
    <row r="903" spans="6:7" x14ac:dyDescent="0.2">
      <c r="F903" t="str">
        <f t="shared" ca="1" si="28"/>
        <v/>
      </c>
      <c r="G903">
        <f t="shared" ca="1" si="29"/>
        <v>0</v>
      </c>
    </row>
    <row r="904" spans="6:7" x14ac:dyDescent="0.2">
      <c r="F904" t="str">
        <f t="shared" ca="1" si="28"/>
        <v/>
      </c>
      <c r="G904">
        <f t="shared" ca="1" si="29"/>
        <v>0</v>
      </c>
    </row>
    <row r="905" spans="6:7" x14ac:dyDescent="0.2">
      <c r="F905" t="str">
        <f t="shared" ca="1" si="28"/>
        <v/>
      </c>
      <c r="G905">
        <f t="shared" ca="1" si="29"/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8B86-9FAB-49E1-8F77-CA53ACA62199}">
  <sheetPr codeName="Sht_UoM"/>
  <dimension ref="A1:L563"/>
  <sheetViews>
    <sheetView workbookViewId="0">
      <selection activeCell="A22" sqref="A22"/>
    </sheetView>
  </sheetViews>
  <sheetFormatPr defaultRowHeight="14.25" x14ac:dyDescent="0.2"/>
  <cols>
    <col min="1" max="1" width="19.625" bestFit="1" customWidth="1"/>
    <col min="2" max="2" width="20.5" bestFit="1" customWidth="1"/>
    <col min="3" max="3" width="30.625" bestFit="1" customWidth="1"/>
    <col min="4" max="4" width="21.625" bestFit="1" customWidth="1"/>
    <col min="5" max="5" width="22.125" bestFit="1" customWidth="1"/>
    <col min="6" max="6" width="32.375" bestFit="1" customWidth="1"/>
    <col min="7" max="7" width="18.25" bestFit="1" customWidth="1"/>
    <col min="8" max="8" width="47.875" bestFit="1" customWidth="1"/>
  </cols>
  <sheetData>
    <row r="1" spans="1:2" x14ac:dyDescent="0.2">
      <c r="A1" t="s">
        <v>240</v>
      </c>
      <c r="B1" t="s">
        <v>241</v>
      </c>
    </row>
    <row r="2" spans="1:2" x14ac:dyDescent="0.2">
      <c r="A2" t="s">
        <v>242</v>
      </c>
      <c r="B2" t="s">
        <v>243</v>
      </c>
    </row>
    <row r="3" spans="1:2" x14ac:dyDescent="0.2">
      <c r="A3" t="s">
        <v>244</v>
      </c>
      <c r="B3" t="s">
        <v>245</v>
      </c>
    </row>
    <row r="4" spans="1:2" x14ac:dyDescent="0.2">
      <c r="A4" t="s">
        <v>246</v>
      </c>
      <c r="B4" t="s">
        <v>247</v>
      </c>
    </row>
    <row r="132" spans="10:11" x14ac:dyDescent="0.2">
      <c r="J132" t="str">
        <f ca="1">IFERROR(MATCH(OFFSET(#REF!,ROW()-1,0,1,1),C:C,0),"")</f>
        <v/>
      </c>
      <c r="K132" t="str">
        <f ca="1">IFERROR(MATCH(OFFSET(#REF!,ROW()-1,0,1,1),C:C,1)-J132+1,"")</f>
        <v/>
      </c>
    </row>
    <row r="133" spans="10:11" x14ac:dyDescent="0.2">
      <c r="J133" t="str">
        <f ca="1">IFERROR(MATCH(OFFSET(#REF!,ROW()-1,0,1,1),C:C,0),"")</f>
        <v/>
      </c>
      <c r="K133" t="str">
        <f ca="1">IFERROR(MATCH(OFFSET(#REF!,ROW()-1,0,1,1),C:C,1)-J133+1,"")</f>
        <v/>
      </c>
    </row>
    <row r="134" spans="10:11" x14ac:dyDescent="0.2">
      <c r="J134" t="str">
        <f ca="1">IFERROR(MATCH(OFFSET(#REF!,ROW()-1,0,1,1),C:C,0),"")</f>
        <v/>
      </c>
      <c r="K134" t="str">
        <f ca="1">IFERROR(MATCH(OFFSET(#REF!,ROW()-1,0,1,1),C:C,1)-J134+1,"")</f>
        <v/>
      </c>
    </row>
    <row r="135" spans="10:11" x14ac:dyDescent="0.2">
      <c r="J135" t="str">
        <f ca="1">IFERROR(MATCH(OFFSET(#REF!,ROW()-1,0,1,1),C:C,0),"")</f>
        <v/>
      </c>
      <c r="K135" t="str">
        <f ca="1">IFERROR(MATCH(OFFSET(#REF!,ROW()-1,0,1,1),C:C,1)-J135+1,"")</f>
        <v/>
      </c>
    </row>
    <row r="136" spans="10:11" x14ac:dyDescent="0.2">
      <c r="J136" t="str">
        <f ca="1">IFERROR(MATCH(OFFSET(#REF!,ROW()-1,0,1,1),C:C,0),"")</f>
        <v/>
      </c>
      <c r="K136" t="str">
        <f ca="1">IFERROR(MATCH(OFFSET(#REF!,ROW()-1,0,1,1),C:C,1)-J136+1,"")</f>
        <v/>
      </c>
    </row>
    <row r="137" spans="10:11" x14ac:dyDescent="0.2">
      <c r="J137" t="str">
        <f ca="1">IFERROR(MATCH(OFFSET(#REF!,ROW()-1,0,1,1),C:C,0),"")</f>
        <v/>
      </c>
      <c r="K137" t="str">
        <f ca="1">IFERROR(MATCH(OFFSET(#REF!,ROW()-1,0,1,1),C:C,1)-J137+1,"")</f>
        <v/>
      </c>
    </row>
    <row r="138" spans="10:11" x14ac:dyDescent="0.2">
      <c r="J138" t="str">
        <f ca="1">IFERROR(MATCH(OFFSET(#REF!,ROW()-1,0,1,1),C:C,0),"")</f>
        <v/>
      </c>
      <c r="K138" t="str">
        <f ca="1">IFERROR(MATCH(OFFSET(#REF!,ROW()-1,0,1,1),C:C,1)-J138+1,"")</f>
        <v/>
      </c>
    </row>
    <row r="139" spans="10:11" x14ac:dyDescent="0.2">
      <c r="J139" t="str">
        <f ca="1">IFERROR(MATCH(OFFSET(#REF!,ROW()-1,0,1,1),C:C,0),"")</f>
        <v/>
      </c>
      <c r="K139" t="str">
        <f ca="1">IFERROR(MATCH(OFFSET(#REF!,ROW()-1,0,1,1),C:C,1)-J139+1,"")</f>
        <v/>
      </c>
    </row>
    <row r="140" spans="10:11" x14ac:dyDescent="0.2">
      <c r="J140" t="str">
        <f ca="1">IFERROR(MATCH(OFFSET(#REF!,ROW()-1,0,1,1),C:C,0),"")</f>
        <v/>
      </c>
      <c r="K140" t="str">
        <f ca="1">IFERROR(MATCH(OFFSET(#REF!,ROW()-1,0,1,1),C:C,1)-J140+1,"")</f>
        <v/>
      </c>
    </row>
    <row r="141" spans="10:11" x14ac:dyDescent="0.2">
      <c r="J141" t="str">
        <f ca="1">IFERROR(MATCH(OFFSET(#REF!,ROW()-1,0,1,1),C:C,0),"")</f>
        <v/>
      </c>
      <c r="K141" t="str">
        <f ca="1">IFERROR(MATCH(OFFSET(#REF!,ROW()-1,0,1,1),C:C,1)-J141+1,"")</f>
        <v/>
      </c>
    </row>
    <row r="142" spans="10:11" x14ac:dyDescent="0.2">
      <c r="J142" t="str">
        <f ca="1">IFERROR(MATCH(OFFSET(#REF!,ROW()-1,0,1,1),C:C,0),"")</f>
        <v/>
      </c>
      <c r="K142" t="str">
        <f ca="1">IFERROR(MATCH(OFFSET(#REF!,ROW()-1,0,1,1),C:C,1)-J142+1,"")</f>
        <v/>
      </c>
    </row>
    <row r="143" spans="10:11" x14ac:dyDescent="0.2">
      <c r="J143" t="str">
        <f ca="1">IFERROR(MATCH(OFFSET(#REF!,ROW()-1,0,1,1),C:C,0),"")</f>
        <v/>
      </c>
      <c r="K143" t="str">
        <f ca="1">IFERROR(MATCH(OFFSET(#REF!,ROW()-1,0,1,1),C:C,1)-J143+1,"")</f>
        <v/>
      </c>
    </row>
    <row r="144" spans="10:11" x14ac:dyDescent="0.2">
      <c r="J144" t="str">
        <f ca="1">IFERROR(MATCH(OFFSET(#REF!,ROW()-1,0,1,1),C:C,0),"")</f>
        <v/>
      </c>
      <c r="K144" t="str">
        <f ca="1">IFERROR(MATCH(OFFSET(#REF!,ROW()-1,0,1,1),C:C,1)-J144+1,"")</f>
        <v/>
      </c>
    </row>
    <row r="145" spans="10:11" x14ac:dyDescent="0.2">
      <c r="J145" t="str">
        <f ca="1">IFERROR(MATCH(OFFSET(#REF!,ROW()-1,0,1,1),C:C,0),"")</f>
        <v/>
      </c>
      <c r="K145" t="str">
        <f ca="1">IFERROR(MATCH(OFFSET(#REF!,ROW()-1,0,1,1),C:C,1)-J145+1,"")</f>
        <v/>
      </c>
    </row>
    <row r="146" spans="10:11" x14ac:dyDescent="0.2">
      <c r="J146" t="str">
        <f ca="1">IFERROR(MATCH(OFFSET(#REF!,ROW()-1,0,1,1),C:C,0),"")</f>
        <v/>
      </c>
      <c r="K146" t="str">
        <f ca="1">IFERROR(MATCH(OFFSET(#REF!,ROW()-1,0,1,1),C:C,1)-J146+1,"")</f>
        <v/>
      </c>
    </row>
    <row r="147" spans="10:11" x14ac:dyDescent="0.2">
      <c r="J147" t="str">
        <f ca="1">IFERROR(MATCH(OFFSET(#REF!,ROW()-1,0,1,1),C:C,0),"")</f>
        <v/>
      </c>
      <c r="K147" t="str">
        <f ca="1">IFERROR(MATCH(OFFSET(#REF!,ROW()-1,0,1,1),C:C,1)-J147+1,"")</f>
        <v/>
      </c>
    </row>
    <row r="148" spans="10:11" x14ac:dyDescent="0.2">
      <c r="J148" t="str">
        <f ca="1">IFERROR(MATCH(OFFSET(#REF!,ROW()-1,0,1,1),C:C,0),"")</f>
        <v/>
      </c>
      <c r="K148" t="str">
        <f ca="1">IFERROR(MATCH(OFFSET(#REF!,ROW()-1,0,1,1),C:C,1)-J148+1,"")</f>
        <v/>
      </c>
    </row>
    <row r="149" spans="10:11" x14ac:dyDescent="0.2">
      <c r="J149" t="str">
        <f ca="1">IFERROR(MATCH(OFFSET(#REF!,ROW()-1,0,1,1),C:C,0),"")</f>
        <v/>
      </c>
      <c r="K149" t="str">
        <f ca="1">IFERROR(MATCH(OFFSET(#REF!,ROW()-1,0,1,1),C:C,1)-J149+1,"")</f>
        <v/>
      </c>
    </row>
    <row r="150" spans="10:11" x14ac:dyDescent="0.2">
      <c r="J150" t="str">
        <f ca="1">IFERROR(MATCH(OFFSET(#REF!,ROW()-1,0,1,1),C:C,0),"")</f>
        <v/>
      </c>
      <c r="K150" t="str">
        <f ca="1">IFERROR(MATCH(OFFSET(#REF!,ROW()-1,0,1,1),C:C,1)-J150+1,"")</f>
        <v/>
      </c>
    </row>
    <row r="151" spans="10:11" x14ac:dyDescent="0.2">
      <c r="J151" t="str">
        <f ca="1">IFERROR(MATCH(OFFSET(#REF!,ROW()-1,0,1,1),C:C,0),"")</f>
        <v/>
      </c>
      <c r="K151" t="str">
        <f ca="1">IFERROR(MATCH(OFFSET(#REF!,ROW()-1,0,1,1),C:C,1)-J151+1,"")</f>
        <v/>
      </c>
    </row>
    <row r="152" spans="10:11" x14ac:dyDescent="0.2">
      <c r="J152" t="str">
        <f ca="1">IFERROR(MATCH(OFFSET(#REF!,ROW()-1,0,1,1),C:C,0),"")</f>
        <v/>
      </c>
      <c r="K152" t="str">
        <f ca="1">IFERROR(MATCH(OFFSET(#REF!,ROW()-1,0,1,1),C:C,1)-J152+1,"")</f>
        <v/>
      </c>
    </row>
    <row r="153" spans="10:11" x14ac:dyDescent="0.2">
      <c r="J153" t="str">
        <f ca="1">IFERROR(MATCH(OFFSET(#REF!,ROW()-1,0,1,1),C:C,0),"")</f>
        <v/>
      </c>
      <c r="K153" t="str">
        <f ca="1">IFERROR(MATCH(OFFSET(#REF!,ROW()-1,0,1,1),C:C,1)-J153+1,"")</f>
        <v/>
      </c>
    </row>
    <row r="154" spans="10:11" x14ac:dyDescent="0.2">
      <c r="J154" t="str">
        <f ca="1">IFERROR(MATCH(OFFSET(#REF!,ROW()-1,0,1,1),C:C,0),"")</f>
        <v/>
      </c>
      <c r="K154" t="str">
        <f ca="1">IFERROR(MATCH(OFFSET(#REF!,ROW()-1,0,1,1),C:C,1)-J154+1,"")</f>
        <v/>
      </c>
    </row>
    <row r="155" spans="10:11" x14ac:dyDescent="0.2">
      <c r="J155" t="str">
        <f ca="1">IFERROR(MATCH(OFFSET(#REF!,ROW()-1,0,1,1),C:C,0),"")</f>
        <v/>
      </c>
      <c r="K155" t="str">
        <f ca="1">IFERROR(MATCH(OFFSET(#REF!,ROW()-1,0,1,1),C:C,1)-J155+1,"")</f>
        <v/>
      </c>
    </row>
    <row r="156" spans="10:11" x14ac:dyDescent="0.2">
      <c r="J156" t="str">
        <f ca="1">IFERROR(MATCH(OFFSET(#REF!,ROW()-1,0,1,1),C:C,0),"")</f>
        <v/>
      </c>
      <c r="K156" t="str">
        <f ca="1">IFERROR(MATCH(OFFSET(#REF!,ROW()-1,0,1,1),C:C,1)-J156+1,"")</f>
        <v/>
      </c>
    </row>
    <row r="157" spans="10:11" x14ac:dyDescent="0.2">
      <c r="J157" t="str">
        <f ca="1">IFERROR(MATCH(OFFSET(#REF!,ROW()-1,0,1,1),C:C,0),"")</f>
        <v/>
      </c>
      <c r="K157" t="str">
        <f ca="1">IFERROR(MATCH(OFFSET(#REF!,ROW()-1,0,1,1),C:C,1)-J157+1,"")</f>
        <v/>
      </c>
    </row>
    <row r="158" spans="10:11" x14ac:dyDescent="0.2">
      <c r="J158" t="str">
        <f ca="1">IFERROR(MATCH(OFFSET(#REF!,ROW()-1,0,1,1),C:C,0),"")</f>
        <v/>
      </c>
      <c r="K158" t="str">
        <f ca="1">IFERROR(MATCH(OFFSET(#REF!,ROW()-1,0,1,1),C:C,1)-J158+1,"")</f>
        <v/>
      </c>
    </row>
    <row r="159" spans="10:11" x14ac:dyDescent="0.2">
      <c r="J159" t="str">
        <f ca="1">IFERROR(MATCH(OFFSET(#REF!,ROW()-1,0,1,1),C:C,0),"")</f>
        <v/>
      </c>
      <c r="K159" t="str">
        <f ca="1">IFERROR(MATCH(OFFSET(#REF!,ROW()-1,0,1,1),C:C,1)-J159+1,"")</f>
        <v/>
      </c>
    </row>
    <row r="160" spans="10:11" x14ac:dyDescent="0.2">
      <c r="J160" t="str">
        <f ca="1">IFERROR(MATCH(OFFSET(#REF!,ROW()-1,0,1,1),C:C,0),"")</f>
        <v/>
      </c>
      <c r="K160" t="str">
        <f ca="1">IFERROR(MATCH(OFFSET(#REF!,ROW()-1,0,1,1),C:C,1)-J160+1,"")</f>
        <v/>
      </c>
    </row>
    <row r="161" spans="10:11" x14ac:dyDescent="0.2">
      <c r="J161" t="str">
        <f ca="1">IFERROR(MATCH(OFFSET(#REF!,ROW()-1,0,1,1),C:C,0),"")</f>
        <v/>
      </c>
      <c r="K161" t="str">
        <f ca="1">IFERROR(MATCH(OFFSET(#REF!,ROW()-1,0,1,1),C:C,1)-J161+1,"")</f>
        <v/>
      </c>
    </row>
    <row r="162" spans="10:11" x14ac:dyDescent="0.2">
      <c r="J162" t="str">
        <f ca="1">IFERROR(MATCH(OFFSET(#REF!,ROW()-1,0,1,1),C:C,0),"")</f>
        <v/>
      </c>
      <c r="K162" t="str">
        <f ca="1">IFERROR(MATCH(OFFSET(#REF!,ROW()-1,0,1,1),C:C,1)-J162+1,"")</f>
        <v/>
      </c>
    </row>
    <row r="163" spans="10:11" x14ac:dyDescent="0.2">
      <c r="J163" t="str">
        <f ca="1">IFERROR(MATCH(OFFSET(#REF!,ROW()-1,0,1,1),C:C,0),"")</f>
        <v/>
      </c>
      <c r="K163" t="str">
        <f ca="1">IFERROR(MATCH(OFFSET(#REF!,ROW()-1,0,1,1),C:C,1)-J163+1,"")</f>
        <v/>
      </c>
    </row>
    <row r="164" spans="10:11" x14ac:dyDescent="0.2">
      <c r="J164" t="str">
        <f ca="1">IFERROR(MATCH(OFFSET(#REF!,ROW()-1,0,1,1),C:C,0),"")</f>
        <v/>
      </c>
      <c r="K164" t="str">
        <f ca="1">IFERROR(MATCH(OFFSET(#REF!,ROW()-1,0,1,1),C:C,1)-J164+1,"")</f>
        <v/>
      </c>
    </row>
    <row r="165" spans="10:11" x14ac:dyDescent="0.2">
      <c r="J165" t="str">
        <f ca="1">IFERROR(MATCH(OFFSET(#REF!,ROW()-1,0,1,1),C:C,0),"")</f>
        <v/>
      </c>
      <c r="K165" t="str">
        <f ca="1">IFERROR(MATCH(OFFSET(#REF!,ROW()-1,0,1,1),C:C,1)-J165+1,"")</f>
        <v/>
      </c>
    </row>
    <row r="166" spans="10:11" x14ac:dyDescent="0.2">
      <c r="J166" t="str">
        <f ca="1">IFERROR(MATCH(OFFSET(#REF!,ROW()-1,0,1,1),C:C,0),"")</f>
        <v/>
      </c>
      <c r="K166" t="str">
        <f ca="1">IFERROR(MATCH(OFFSET(#REF!,ROW()-1,0,1,1),C:C,1)-J166+1,"")</f>
        <v/>
      </c>
    </row>
    <row r="167" spans="10:11" x14ac:dyDescent="0.2">
      <c r="J167" t="str">
        <f ca="1">IFERROR(MATCH(OFFSET(#REF!,ROW()-1,0,1,1),C:C,0),"")</f>
        <v/>
      </c>
      <c r="K167" t="str">
        <f ca="1">IFERROR(MATCH(OFFSET(#REF!,ROW()-1,0,1,1),C:C,1)-J167+1,"")</f>
        <v/>
      </c>
    </row>
    <row r="168" spans="10:11" x14ac:dyDescent="0.2">
      <c r="J168" t="str">
        <f ca="1">IFERROR(MATCH(OFFSET(#REF!,ROW()-1,0,1,1),C:C,0),"")</f>
        <v/>
      </c>
      <c r="K168" t="str">
        <f ca="1">IFERROR(MATCH(OFFSET(#REF!,ROW()-1,0,1,1),C:C,1)-J168+1,"")</f>
        <v/>
      </c>
    </row>
    <row r="169" spans="10:11" x14ac:dyDescent="0.2">
      <c r="J169" t="str">
        <f ca="1">IFERROR(MATCH(OFFSET(#REF!,ROW()-1,0,1,1),C:C,0),"")</f>
        <v/>
      </c>
      <c r="K169" t="str">
        <f ca="1">IFERROR(MATCH(OFFSET(#REF!,ROW()-1,0,1,1),C:C,1)-J169+1,"")</f>
        <v/>
      </c>
    </row>
    <row r="170" spans="10:11" x14ac:dyDescent="0.2">
      <c r="J170" t="str">
        <f ca="1">IFERROR(MATCH(OFFSET(#REF!,ROW()-1,0,1,1),C:C,0),"")</f>
        <v/>
      </c>
      <c r="K170" t="str">
        <f ca="1">IFERROR(MATCH(OFFSET(#REF!,ROW()-1,0,1,1),C:C,1)-J170+1,"")</f>
        <v/>
      </c>
    </row>
    <row r="171" spans="10:11" x14ac:dyDescent="0.2">
      <c r="J171" t="str">
        <f ca="1">IFERROR(MATCH(OFFSET(#REF!,ROW()-1,0,1,1),C:C,0),"")</f>
        <v/>
      </c>
      <c r="K171" t="str">
        <f ca="1">IFERROR(MATCH(OFFSET(#REF!,ROW()-1,0,1,1),C:C,1)-J171+1,"")</f>
        <v/>
      </c>
    </row>
    <row r="172" spans="10:11" x14ac:dyDescent="0.2">
      <c r="J172" t="str">
        <f ca="1">IFERROR(MATCH(OFFSET(#REF!,ROW()-1,0,1,1),C:C,0),"")</f>
        <v/>
      </c>
      <c r="K172" t="str">
        <f ca="1">IFERROR(MATCH(OFFSET(#REF!,ROW()-1,0,1,1),C:C,1)-J172+1,"")</f>
        <v/>
      </c>
    </row>
    <row r="173" spans="10:11" x14ac:dyDescent="0.2">
      <c r="J173" t="str">
        <f ca="1">IFERROR(MATCH(OFFSET(#REF!,ROW()-1,0,1,1),C:C,0),"")</f>
        <v/>
      </c>
      <c r="K173" t="str">
        <f ca="1">IFERROR(MATCH(OFFSET(#REF!,ROW()-1,0,1,1),C:C,1)-J173+1,"")</f>
        <v/>
      </c>
    </row>
    <row r="174" spans="10:11" x14ac:dyDescent="0.2">
      <c r="J174" t="str">
        <f ca="1">IFERROR(MATCH(OFFSET(#REF!,ROW()-1,0,1,1),C:C,0),"")</f>
        <v/>
      </c>
      <c r="K174" t="str">
        <f ca="1">IFERROR(MATCH(OFFSET(#REF!,ROW()-1,0,1,1),C:C,1)-J174+1,"")</f>
        <v/>
      </c>
    </row>
    <row r="175" spans="10:11" x14ac:dyDescent="0.2">
      <c r="J175" t="str">
        <f ca="1">IFERROR(MATCH(OFFSET(#REF!,ROW()-1,0,1,1),C:C,0),"")</f>
        <v/>
      </c>
      <c r="K175" t="str">
        <f ca="1">IFERROR(MATCH(OFFSET(#REF!,ROW()-1,0,1,1),C:C,1)-J175+1,"")</f>
        <v/>
      </c>
    </row>
    <row r="176" spans="10:11" x14ac:dyDescent="0.2">
      <c r="J176" t="str">
        <f ca="1">IFERROR(MATCH(OFFSET(#REF!,ROW()-1,0,1,1),C:C,0),"")</f>
        <v/>
      </c>
      <c r="K176" t="str">
        <f ca="1">IFERROR(MATCH(OFFSET(#REF!,ROW()-1,0,1,1),C:C,1)-J176+1,"")</f>
        <v/>
      </c>
    </row>
    <row r="177" spans="10:11" x14ac:dyDescent="0.2">
      <c r="J177" t="str">
        <f ca="1">IFERROR(MATCH(OFFSET(#REF!,ROW()-1,0,1,1),C:C,0),"")</f>
        <v/>
      </c>
      <c r="K177" t="str">
        <f ca="1">IFERROR(MATCH(OFFSET(#REF!,ROW()-1,0,1,1),C:C,1)-J177+1,"")</f>
        <v/>
      </c>
    </row>
    <row r="178" spans="10:11" x14ac:dyDescent="0.2">
      <c r="J178" t="str">
        <f ca="1">IFERROR(MATCH(OFFSET(#REF!,ROW()-1,0,1,1),C:C,0),"")</f>
        <v/>
      </c>
      <c r="K178" t="str">
        <f ca="1">IFERROR(MATCH(OFFSET(#REF!,ROW()-1,0,1,1),C:C,1)-J178+1,"")</f>
        <v/>
      </c>
    </row>
    <row r="179" spans="10:11" x14ac:dyDescent="0.2">
      <c r="J179" t="str">
        <f ca="1">IFERROR(MATCH(OFFSET(#REF!,ROW()-1,0,1,1),C:C,0),"")</f>
        <v/>
      </c>
      <c r="K179" t="str">
        <f ca="1">IFERROR(MATCH(OFFSET(#REF!,ROW()-1,0,1,1),C:C,1)-J179+1,"")</f>
        <v/>
      </c>
    </row>
    <row r="180" spans="10:11" x14ac:dyDescent="0.2">
      <c r="J180" t="str">
        <f ca="1">IFERROR(MATCH(OFFSET(#REF!,ROW()-1,0,1,1),C:C,0),"")</f>
        <v/>
      </c>
      <c r="K180" t="str">
        <f ca="1">IFERROR(MATCH(OFFSET(#REF!,ROW()-1,0,1,1),C:C,1)-J180+1,"")</f>
        <v/>
      </c>
    </row>
    <row r="181" spans="10:11" x14ac:dyDescent="0.2">
      <c r="J181" t="str">
        <f ca="1">IFERROR(MATCH(OFFSET(#REF!,ROW()-1,0,1,1),C:C,0),"")</f>
        <v/>
      </c>
      <c r="K181" t="str">
        <f ca="1">IFERROR(MATCH(OFFSET(#REF!,ROW()-1,0,1,1),C:C,1)-J181+1,"")</f>
        <v/>
      </c>
    </row>
    <row r="182" spans="10:11" x14ac:dyDescent="0.2">
      <c r="J182" t="str">
        <f ca="1">IFERROR(MATCH(OFFSET(#REF!,ROW()-1,0,1,1),C:C,0),"")</f>
        <v/>
      </c>
      <c r="K182" t="str">
        <f ca="1">IFERROR(MATCH(OFFSET(#REF!,ROW()-1,0,1,1),C:C,1)-J182+1,"")</f>
        <v/>
      </c>
    </row>
    <row r="183" spans="10:11" x14ac:dyDescent="0.2">
      <c r="J183" t="str">
        <f ca="1">IFERROR(MATCH(OFFSET(#REF!,ROW()-1,0,1,1),C:C,0),"")</f>
        <v/>
      </c>
      <c r="K183" t="str">
        <f ca="1">IFERROR(MATCH(OFFSET(#REF!,ROW()-1,0,1,1),C:C,1)-J183+1,"")</f>
        <v/>
      </c>
    </row>
    <row r="184" spans="10:11" x14ac:dyDescent="0.2">
      <c r="J184" t="str">
        <f ca="1">IFERROR(MATCH(OFFSET(#REF!,ROW()-1,0,1,1),C:C,0),"")</f>
        <v/>
      </c>
      <c r="K184" t="str">
        <f ca="1">IFERROR(MATCH(OFFSET(#REF!,ROW()-1,0,1,1),C:C,1)-J184+1,"")</f>
        <v/>
      </c>
    </row>
    <row r="185" spans="10:11" x14ac:dyDescent="0.2">
      <c r="J185" t="str">
        <f ca="1">IFERROR(MATCH(OFFSET(#REF!,ROW()-1,0,1,1),C:C,0),"")</f>
        <v/>
      </c>
      <c r="K185" t="str">
        <f ca="1">IFERROR(MATCH(OFFSET(#REF!,ROW()-1,0,1,1),C:C,1)-J185+1,"")</f>
        <v/>
      </c>
    </row>
    <row r="186" spans="10:11" x14ac:dyDescent="0.2">
      <c r="J186" t="str">
        <f ca="1">IFERROR(MATCH(OFFSET(#REF!,ROW()-1,0,1,1),C:C,0),"")</f>
        <v/>
      </c>
      <c r="K186" t="str">
        <f ca="1">IFERROR(MATCH(OFFSET(#REF!,ROW()-1,0,1,1),C:C,1)-J186+1,"")</f>
        <v/>
      </c>
    </row>
    <row r="187" spans="10:11" x14ac:dyDescent="0.2">
      <c r="J187" t="str">
        <f ca="1">IFERROR(MATCH(OFFSET(#REF!,ROW()-1,0,1,1),C:C,0),"")</f>
        <v/>
      </c>
      <c r="K187" t="str">
        <f ca="1">IFERROR(MATCH(OFFSET(#REF!,ROW()-1,0,1,1),C:C,1)-J187+1,"")</f>
        <v/>
      </c>
    </row>
    <row r="188" spans="10:11" x14ac:dyDescent="0.2">
      <c r="J188" t="str">
        <f ca="1">IFERROR(MATCH(OFFSET(#REF!,ROW()-1,0,1,1),C:C,0),"")</f>
        <v/>
      </c>
      <c r="K188" t="str">
        <f ca="1">IFERROR(MATCH(OFFSET(#REF!,ROW()-1,0,1,1),C:C,1)-J188+1,"")</f>
        <v/>
      </c>
    </row>
    <row r="189" spans="10:11" x14ac:dyDescent="0.2">
      <c r="J189" t="str">
        <f ca="1">IFERROR(MATCH(OFFSET(#REF!,ROW()-1,0,1,1),C:C,0),"")</f>
        <v/>
      </c>
      <c r="K189" t="str">
        <f ca="1">IFERROR(MATCH(OFFSET(#REF!,ROW()-1,0,1,1),C:C,1)-J189+1,"")</f>
        <v/>
      </c>
    </row>
    <row r="190" spans="10:11" x14ac:dyDescent="0.2">
      <c r="J190" t="str">
        <f ca="1">IFERROR(MATCH(OFFSET(#REF!,ROW()-1,0,1,1),C:C,0),"")</f>
        <v/>
      </c>
      <c r="K190" t="str">
        <f ca="1">IFERROR(MATCH(OFFSET(#REF!,ROW()-1,0,1,1),C:C,1)-J190+1,"")</f>
        <v/>
      </c>
    </row>
    <row r="191" spans="10:11" x14ac:dyDescent="0.2">
      <c r="J191" t="str">
        <f ca="1">IFERROR(MATCH(OFFSET(#REF!,ROW()-1,0,1,1),C:C,0),"")</f>
        <v/>
      </c>
      <c r="K191" t="str">
        <f ca="1">IFERROR(MATCH(OFFSET(#REF!,ROW()-1,0,1,1),C:C,1)-J191+1,"")</f>
        <v/>
      </c>
    </row>
    <row r="192" spans="10:11" x14ac:dyDescent="0.2">
      <c r="J192" t="str">
        <f ca="1">IFERROR(MATCH(OFFSET(#REF!,ROW()-1,0,1,1),C:C,0),"")</f>
        <v/>
      </c>
      <c r="K192" t="str">
        <f ca="1">IFERROR(MATCH(OFFSET(#REF!,ROW()-1,0,1,1),C:C,1)-J192+1,"")</f>
        <v/>
      </c>
    </row>
    <row r="193" spans="10:11" x14ac:dyDescent="0.2">
      <c r="J193" t="str">
        <f ca="1">IFERROR(MATCH(OFFSET(#REF!,ROW()-1,0,1,1),C:C,0),"")</f>
        <v/>
      </c>
      <c r="K193" t="str">
        <f ca="1">IFERROR(MATCH(OFFSET(#REF!,ROW()-1,0,1,1),C:C,1)-J193+1,"")</f>
        <v/>
      </c>
    </row>
    <row r="194" spans="10:11" x14ac:dyDescent="0.2">
      <c r="J194" t="str">
        <f ca="1">IFERROR(MATCH(OFFSET(#REF!,ROW()-1,0,1,1),C:C,0),"")</f>
        <v/>
      </c>
      <c r="K194" t="str">
        <f ca="1">IFERROR(MATCH(OFFSET(#REF!,ROW()-1,0,1,1),C:C,1)-J194+1,"")</f>
        <v/>
      </c>
    </row>
    <row r="195" spans="10:11" x14ac:dyDescent="0.2">
      <c r="J195" t="str">
        <f ca="1">IFERROR(MATCH(OFFSET(#REF!,ROW()-1,0,1,1),C:C,0),"")</f>
        <v/>
      </c>
      <c r="K195" t="str">
        <f ca="1">IFERROR(MATCH(OFFSET(#REF!,ROW()-1,0,1,1),C:C,1)-J195+1,"")</f>
        <v/>
      </c>
    </row>
    <row r="196" spans="10:11" x14ac:dyDescent="0.2">
      <c r="J196" t="str">
        <f ca="1">IFERROR(MATCH(OFFSET(#REF!,ROW()-1,0,1,1),C:C,0),"")</f>
        <v/>
      </c>
      <c r="K196" t="str">
        <f ca="1">IFERROR(MATCH(OFFSET(#REF!,ROW()-1,0,1,1),C:C,1)-J196+1,"")</f>
        <v/>
      </c>
    </row>
    <row r="197" spans="10:11" x14ac:dyDescent="0.2">
      <c r="J197" t="str">
        <f ca="1">IFERROR(MATCH(OFFSET(#REF!,ROW()-1,0,1,1),C:C,0),"")</f>
        <v/>
      </c>
      <c r="K197" t="str">
        <f ca="1">IFERROR(MATCH(OFFSET(#REF!,ROW()-1,0,1,1),C:C,1)-J197+1,"")</f>
        <v/>
      </c>
    </row>
    <row r="198" spans="10:11" x14ac:dyDescent="0.2">
      <c r="J198" t="str">
        <f ca="1">IFERROR(MATCH(OFFSET(#REF!,ROW()-1,0,1,1),C:C,0),"")</f>
        <v/>
      </c>
      <c r="K198" t="str">
        <f ca="1">IFERROR(MATCH(OFFSET(#REF!,ROW()-1,0,1,1),C:C,1)-J198+1,"")</f>
        <v/>
      </c>
    </row>
    <row r="199" spans="10:11" x14ac:dyDescent="0.2">
      <c r="J199" t="str">
        <f ca="1">IFERROR(MATCH(OFFSET(#REF!,ROW()-1,0,1,1),C:C,0),"")</f>
        <v/>
      </c>
      <c r="K199" t="str">
        <f ca="1">IFERROR(MATCH(OFFSET(#REF!,ROW()-1,0,1,1),C:C,1)-J199+1,"")</f>
        <v/>
      </c>
    </row>
    <row r="200" spans="10:11" x14ac:dyDescent="0.2">
      <c r="J200" t="str">
        <f ca="1">IFERROR(MATCH(OFFSET(#REF!,ROW()-1,0,1,1),C:C,0),"")</f>
        <v/>
      </c>
      <c r="K200" t="str">
        <f ca="1">IFERROR(MATCH(OFFSET(#REF!,ROW()-1,0,1,1),C:C,1)-J200+1,"")</f>
        <v/>
      </c>
    </row>
    <row r="201" spans="10:11" x14ac:dyDescent="0.2">
      <c r="J201" t="str">
        <f ca="1">IFERROR(MATCH(OFFSET(#REF!,ROW()-1,0,1,1),C:C,0),"")</f>
        <v/>
      </c>
      <c r="K201" t="str">
        <f ca="1">IFERROR(MATCH(OFFSET(#REF!,ROW()-1,0,1,1),C:C,1)-J201+1,"")</f>
        <v/>
      </c>
    </row>
    <row r="202" spans="10:11" x14ac:dyDescent="0.2">
      <c r="J202" t="str">
        <f ca="1">IFERROR(MATCH(OFFSET(#REF!,ROW()-1,0,1,1),C:C,0),"")</f>
        <v/>
      </c>
      <c r="K202" t="str">
        <f ca="1">IFERROR(MATCH(OFFSET(#REF!,ROW()-1,0,1,1),C:C,1)-J202+1,"")</f>
        <v/>
      </c>
    </row>
    <row r="203" spans="10:11" x14ac:dyDescent="0.2">
      <c r="J203" t="str">
        <f ca="1">IFERROR(MATCH(OFFSET(#REF!,ROW()-1,0,1,1),C:C,0),"")</f>
        <v/>
      </c>
      <c r="K203" t="str">
        <f ca="1">IFERROR(MATCH(OFFSET(#REF!,ROW()-1,0,1,1),C:C,1)-J203+1,"")</f>
        <v/>
      </c>
    </row>
    <row r="204" spans="10:11" x14ac:dyDescent="0.2">
      <c r="J204" t="str">
        <f ca="1">IFERROR(MATCH(OFFSET(#REF!,ROW()-1,0,1,1),C:C,0),"")</f>
        <v/>
      </c>
      <c r="K204" t="str">
        <f ca="1">IFERROR(MATCH(OFFSET(#REF!,ROW()-1,0,1,1),C:C,1)-J204+1,"")</f>
        <v/>
      </c>
    </row>
    <row r="205" spans="10:11" x14ac:dyDescent="0.2">
      <c r="J205" t="str">
        <f ca="1">IFERROR(MATCH(OFFSET(#REF!,ROW()-1,0,1,1),C:C,0),"")</f>
        <v/>
      </c>
      <c r="K205" t="str">
        <f ca="1">IFERROR(MATCH(OFFSET(#REF!,ROW()-1,0,1,1),C:C,1)-J205+1,"")</f>
        <v/>
      </c>
    </row>
    <row r="206" spans="10:11" x14ac:dyDescent="0.2">
      <c r="J206" t="str">
        <f ca="1">IFERROR(MATCH(OFFSET(#REF!,ROW()-1,0,1,1),C:C,0),"")</f>
        <v/>
      </c>
      <c r="K206" t="str">
        <f ca="1">IFERROR(MATCH(OFFSET(#REF!,ROW()-1,0,1,1),C:C,1)-J206+1,"")</f>
        <v/>
      </c>
    </row>
    <row r="207" spans="10:11" x14ac:dyDescent="0.2">
      <c r="J207" t="str">
        <f ca="1">IFERROR(MATCH(OFFSET(#REF!,ROW()-1,0,1,1),C:C,0),"")</f>
        <v/>
      </c>
      <c r="K207" t="str">
        <f ca="1">IFERROR(MATCH(OFFSET(#REF!,ROW()-1,0,1,1),C:C,1)-J207+1,"")</f>
        <v/>
      </c>
    </row>
    <row r="208" spans="10:11" x14ac:dyDescent="0.2">
      <c r="J208" t="str">
        <f ca="1">IFERROR(MATCH(OFFSET(#REF!,ROW()-1,0,1,1),C:C,0),"")</f>
        <v/>
      </c>
      <c r="K208" t="str">
        <f ca="1">IFERROR(MATCH(OFFSET(#REF!,ROW()-1,0,1,1),C:C,1)-J208+1,"")</f>
        <v/>
      </c>
    </row>
    <row r="209" spans="10:11" x14ac:dyDescent="0.2">
      <c r="J209" t="str">
        <f ca="1">IFERROR(MATCH(OFFSET(#REF!,ROW()-1,0,1,1),C:C,0),"")</f>
        <v/>
      </c>
      <c r="K209" t="str">
        <f ca="1">IFERROR(MATCH(OFFSET(#REF!,ROW()-1,0,1,1),C:C,1)-J209+1,"")</f>
        <v/>
      </c>
    </row>
    <row r="210" spans="10:11" x14ac:dyDescent="0.2">
      <c r="J210" t="str">
        <f ca="1">IFERROR(MATCH(OFFSET(#REF!,ROW()-1,0,1,1),C:C,0),"")</f>
        <v/>
      </c>
      <c r="K210" t="str">
        <f ca="1">IFERROR(MATCH(OFFSET(#REF!,ROW()-1,0,1,1),C:C,1)-J210+1,"")</f>
        <v/>
      </c>
    </row>
    <row r="211" spans="10:11" x14ac:dyDescent="0.2">
      <c r="J211" t="str">
        <f ca="1">IFERROR(MATCH(OFFSET(#REF!,ROW()-1,0,1,1),C:C,0),"")</f>
        <v/>
      </c>
      <c r="K211" t="str">
        <f ca="1">IFERROR(MATCH(OFFSET(#REF!,ROW()-1,0,1,1),C:C,1)-J211+1,"")</f>
        <v/>
      </c>
    </row>
    <row r="212" spans="10:11" x14ac:dyDescent="0.2">
      <c r="J212" t="str">
        <f ca="1">IFERROR(MATCH(OFFSET(#REF!,ROW()-1,0,1,1),C:C,0),"")</f>
        <v/>
      </c>
      <c r="K212" t="str">
        <f ca="1">IFERROR(MATCH(OFFSET(#REF!,ROW()-1,0,1,1),C:C,1)-J212+1,"")</f>
        <v/>
      </c>
    </row>
    <row r="213" spans="10:11" x14ac:dyDescent="0.2">
      <c r="J213" t="str">
        <f ca="1">IFERROR(MATCH(OFFSET(#REF!,ROW()-1,0,1,1),C:C,0),"")</f>
        <v/>
      </c>
      <c r="K213" t="str">
        <f ca="1">IFERROR(MATCH(OFFSET(#REF!,ROW()-1,0,1,1),C:C,1)-J213+1,"")</f>
        <v/>
      </c>
    </row>
    <row r="214" spans="10:11" x14ac:dyDescent="0.2">
      <c r="J214" t="str">
        <f ca="1">IFERROR(MATCH(OFFSET(#REF!,ROW()-1,0,1,1),C:C,0),"")</f>
        <v/>
      </c>
      <c r="K214" t="str">
        <f ca="1">IFERROR(MATCH(OFFSET(#REF!,ROW()-1,0,1,1),C:C,1)-J214+1,"")</f>
        <v/>
      </c>
    </row>
    <row r="215" spans="10:11" x14ac:dyDescent="0.2">
      <c r="J215" t="str">
        <f ca="1">IFERROR(MATCH(OFFSET(#REF!,ROW()-1,0,1,1),C:C,0),"")</f>
        <v/>
      </c>
      <c r="K215" t="str">
        <f ca="1">IFERROR(MATCH(OFFSET(#REF!,ROW()-1,0,1,1),C:C,1)-J215+1,"")</f>
        <v/>
      </c>
    </row>
    <row r="216" spans="10:11" x14ac:dyDescent="0.2">
      <c r="J216" t="str">
        <f ca="1">IFERROR(MATCH(OFFSET(#REF!,ROW()-1,0,1,1),C:C,0),"")</f>
        <v/>
      </c>
      <c r="K216" t="str">
        <f ca="1">IFERROR(MATCH(OFFSET(#REF!,ROW()-1,0,1,1),C:C,1)-J216+1,"")</f>
        <v/>
      </c>
    </row>
    <row r="217" spans="10:11" x14ac:dyDescent="0.2">
      <c r="J217" t="str">
        <f ca="1">IFERROR(MATCH(OFFSET(#REF!,ROW()-1,0,1,1),C:C,0),"")</f>
        <v/>
      </c>
      <c r="K217" t="str">
        <f ca="1">IFERROR(MATCH(OFFSET(#REF!,ROW()-1,0,1,1),C:C,1)-J217+1,"")</f>
        <v/>
      </c>
    </row>
    <row r="218" spans="10:11" x14ac:dyDescent="0.2">
      <c r="J218" t="str">
        <f ca="1">IFERROR(MATCH(OFFSET(#REF!,ROW()-1,0,1,1),C:C,0),"")</f>
        <v/>
      </c>
      <c r="K218" t="str">
        <f ca="1">IFERROR(MATCH(OFFSET(#REF!,ROW()-1,0,1,1),C:C,1)-J218+1,"")</f>
        <v/>
      </c>
    </row>
    <row r="219" spans="10:11" x14ac:dyDescent="0.2">
      <c r="J219" t="str">
        <f ca="1">IFERROR(MATCH(OFFSET(#REF!,ROW()-1,0,1,1),C:C,0),"")</f>
        <v/>
      </c>
      <c r="K219" t="str">
        <f ca="1">IFERROR(MATCH(OFFSET(#REF!,ROW()-1,0,1,1),C:C,1)-J219+1,"")</f>
        <v/>
      </c>
    </row>
    <row r="220" spans="10:11" x14ac:dyDescent="0.2">
      <c r="J220" t="str">
        <f ca="1">IFERROR(MATCH(OFFSET(#REF!,ROW()-1,0,1,1),C:C,0),"")</f>
        <v/>
      </c>
      <c r="K220" t="str">
        <f ca="1">IFERROR(MATCH(OFFSET(#REF!,ROW()-1,0,1,1),C:C,1)-J220+1,"")</f>
        <v/>
      </c>
    </row>
    <row r="221" spans="10:11" x14ac:dyDescent="0.2">
      <c r="J221" t="str">
        <f ca="1">IFERROR(MATCH(OFFSET(#REF!,ROW()-1,0,1,1),C:C,0),"")</f>
        <v/>
      </c>
      <c r="K221" t="str">
        <f ca="1">IFERROR(MATCH(OFFSET(#REF!,ROW()-1,0,1,1),C:C,1)-J221+1,"")</f>
        <v/>
      </c>
    </row>
    <row r="222" spans="10:11" x14ac:dyDescent="0.2">
      <c r="J222" t="str">
        <f ca="1">IFERROR(MATCH(OFFSET(#REF!,ROW()-1,0,1,1),C:C,0),"")</f>
        <v/>
      </c>
      <c r="K222" t="str">
        <f ca="1">IFERROR(MATCH(OFFSET(#REF!,ROW()-1,0,1,1),C:C,1)-J222+1,"")</f>
        <v/>
      </c>
    </row>
    <row r="223" spans="10:11" x14ac:dyDescent="0.2">
      <c r="J223" t="str">
        <f ca="1">IFERROR(MATCH(OFFSET(#REF!,ROW()-1,0,1,1),C:C,0),"")</f>
        <v/>
      </c>
      <c r="K223" t="str">
        <f ca="1">IFERROR(MATCH(OFFSET(#REF!,ROW()-1,0,1,1),C:C,1)-J223+1,"")</f>
        <v/>
      </c>
    </row>
    <row r="224" spans="10:11" x14ac:dyDescent="0.2">
      <c r="J224" t="str">
        <f ca="1">IFERROR(MATCH(OFFSET(#REF!,ROW()-1,0,1,1),C:C,0),"")</f>
        <v/>
      </c>
      <c r="K224" t="str">
        <f ca="1">IFERROR(MATCH(OFFSET(#REF!,ROW()-1,0,1,1),C:C,1)-J224+1,"")</f>
        <v/>
      </c>
    </row>
    <row r="225" spans="10:11" x14ac:dyDescent="0.2">
      <c r="J225" t="str">
        <f ca="1">IFERROR(MATCH(OFFSET(#REF!,ROW()-1,0,1,1),C:C,0),"")</f>
        <v/>
      </c>
      <c r="K225" t="str">
        <f ca="1">IFERROR(MATCH(OFFSET(#REF!,ROW()-1,0,1,1),C:C,1)-J225+1,"")</f>
        <v/>
      </c>
    </row>
    <row r="226" spans="10:11" x14ac:dyDescent="0.2">
      <c r="J226" t="str">
        <f ca="1">IFERROR(MATCH(OFFSET(#REF!,ROW()-1,0,1,1),C:C,0),"")</f>
        <v/>
      </c>
      <c r="K226" t="str">
        <f ca="1">IFERROR(MATCH(OFFSET(#REF!,ROW()-1,0,1,1),C:C,1)-J226+1,"")</f>
        <v/>
      </c>
    </row>
    <row r="227" spans="10:11" x14ac:dyDescent="0.2">
      <c r="J227" t="str">
        <f ca="1">IFERROR(MATCH(OFFSET(#REF!,ROW()-1,0,1,1),C:C,0),"")</f>
        <v/>
      </c>
      <c r="K227" t="str">
        <f ca="1">IFERROR(MATCH(OFFSET(#REF!,ROW()-1,0,1,1),C:C,1)-J227+1,"")</f>
        <v/>
      </c>
    </row>
    <row r="228" spans="10:11" x14ac:dyDescent="0.2">
      <c r="J228" t="str">
        <f ca="1">IFERROR(MATCH(OFFSET(#REF!,ROW()-1,0,1,1),C:C,0),"")</f>
        <v/>
      </c>
      <c r="K228" t="str">
        <f ca="1">IFERROR(MATCH(OFFSET(#REF!,ROW()-1,0,1,1),C:C,1)-J228+1,"")</f>
        <v/>
      </c>
    </row>
    <row r="229" spans="10:11" x14ac:dyDescent="0.2">
      <c r="J229" t="str">
        <f ca="1">IFERROR(MATCH(OFFSET(#REF!,ROW()-1,0,1,1),C:C,0),"")</f>
        <v/>
      </c>
      <c r="K229" t="str">
        <f ca="1">IFERROR(MATCH(OFFSET(#REF!,ROW()-1,0,1,1),C:C,1)-J229+1,"")</f>
        <v/>
      </c>
    </row>
    <row r="230" spans="10:11" x14ac:dyDescent="0.2">
      <c r="J230" t="str">
        <f ca="1">IFERROR(MATCH(OFFSET(#REF!,ROW()-1,0,1,1),C:C,0),"")</f>
        <v/>
      </c>
      <c r="K230" t="str">
        <f ca="1">IFERROR(MATCH(OFFSET(#REF!,ROW()-1,0,1,1),C:C,1)-J230+1,"")</f>
        <v/>
      </c>
    </row>
    <row r="231" spans="10:11" x14ac:dyDescent="0.2">
      <c r="J231" t="str">
        <f ca="1">IFERROR(MATCH(OFFSET(#REF!,ROW()-1,0,1,1),C:C,0),"")</f>
        <v/>
      </c>
      <c r="K231" t="str">
        <f ca="1">IFERROR(MATCH(OFFSET(#REF!,ROW()-1,0,1,1),C:C,1)-J231+1,"")</f>
        <v/>
      </c>
    </row>
    <row r="232" spans="10:11" x14ac:dyDescent="0.2">
      <c r="J232" t="str">
        <f ca="1">IFERROR(MATCH(OFFSET(#REF!,ROW()-1,0,1,1),C:C,0),"")</f>
        <v/>
      </c>
      <c r="K232" t="str">
        <f ca="1">IFERROR(MATCH(OFFSET(#REF!,ROW()-1,0,1,1),C:C,1)-J232+1,"")</f>
        <v/>
      </c>
    </row>
    <row r="233" spans="10:11" x14ac:dyDescent="0.2">
      <c r="J233" t="str">
        <f ca="1">IFERROR(MATCH(OFFSET(#REF!,ROW()-1,0,1,1),C:C,0),"")</f>
        <v/>
      </c>
      <c r="K233" t="str">
        <f ca="1">IFERROR(MATCH(OFFSET(#REF!,ROW()-1,0,1,1),C:C,1)-J233+1,"")</f>
        <v/>
      </c>
    </row>
    <row r="234" spans="10:11" x14ac:dyDescent="0.2">
      <c r="J234" t="str">
        <f ca="1">IFERROR(MATCH(OFFSET(#REF!,ROW()-1,0,1,1),C:C,0),"")</f>
        <v/>
      </c>
      <c r="K234" t="str">
        <f ca="1">IFERROR(MATCH(OFFSET(#REF!,ROW()-1,0,1,1),C:C,1)-J234+1,"")</f>
        <v/>
      </c>
    </row>
    <row r="235" spans="10:11" x14ac:dyDescent="0.2">
      <c r="J235" t="str">
        <f ca="1">IFERROR(MATCH(OFFSET(#REF!,ROW()-1,0,1,1),C:C,0),"")</f>
        <v/>
      </c>
      <c r="K235" t="str">
        <f ca="1">IFERROR(MATCH(OFFSET(#REF!,ROW()-1,0,1,1),C:C,1)-J235+1,"")</f>
        <v/>
      </c>
    </row>
    <row r="236" spans="10:11" x14ac:dyDescent="0.2">
      <c r="J236" t="str">
        <f ca="1">IFERROR(MATCH(OFFSET(#REF!,ROW()-1,0,1,1),C:C,0),"")</f>
        <v/>
      </c>
      <c r="K236" t="str">
        <f ca="1">IFERROR(MATCH(OFFSET(#REF!,ROW()-1,0,1,1),C:C,1)-J236+1,"")</f>
        <v/>
      </c>
    </row>
    <row r="237" spans="10:11" x14ac:dyDescent="0.2">
      <c r="J237" t="str">
        <f ca="1">IFERROR(MATCH(OFFSET(#REF!,ROW()-1,0,1,1),C:C,0),"")</f>
        <v/>
      </c>
      <c r="K237" t="str">
        <f ca="1">IFERROR(MATCH(OFFSET(#REF!,ROW()-1,0,1,1),C:C,1)-J237+1,"")</f>
        <v/>
      </c>
    </row>
    <row r="238" spans="10:11" x14ac:dyDescent="0.2">
      <c r="J238" t="str">
        <f ca="1">IFERROR(MATCH(OFFSET(#REF!,ROW()-1,0,1,1),C:C,0),"")</f>
        <v/>
      </c>
      <c r="K238" t="str">
        <f ca="1">IFERROR(MATCH(OFFSET(#REF!,ROW()-1,0,1,1),C:C,1)-J238+1,"")</f>
        <v/>
      </c>
    </row>
    <row r="239" spans="10:11" x14ac:dyDescent="0.2">
      <c r="J239" t="str">
        <f ca="1">IFERROR(MATCH(OFFSET(#REF!,ROW()-1,0,1,1),C:C,0),"")</f>
        <v/>
      </c>
      <c r="K239" t="str">
        <f ca="1">IFERROR(MATCH(OFFSET(#REF!,ROW()-1,0,1,1),C:C,1)-J239+1,"")</f>
        <v/>
      </c>
    </row>
    <row r="240" spans="10:11" x14ac:dyDescent="0.2">
      <c r="J240" t="str">
        <f ca="1">IFERROR(MATCH(OFFSET(#REF!,ROW()-1,0,1,1),C:C,0),"")</f>
        <v/>
      </c>
      <c r="K240" t="str">
        <f ca="1">IFERROR(MATCH(OFFSET(#REF!,ROW()-1,0,1,1),C:C,1)-J240+1,"")</f>
        <v/>
      </c>
    </row>
    <row r="241" spans="10:11" x14ac:dyDescent="0.2">
      <c r="J241" t="str">
        <f ca="1">IFERROR(MATCH(OFFSET(#REF!,ROW()-1,0,1,1),C:C,0),"")</f>
        <v/>
      </c>
      <c r="K241" t="str">
        <f ca="1">IFERROR(MATCH(OFFSET(#REF!,ROW()-1,0,1,1),C:C,1)-J241+1,"")</f>
        <v/>
      </c>
    </row>
    <row r="242" spans="10:11" x14ac:dyDescent="0.2">
      <c r="J242" t="str">
        <f ca="1">IFERROR(MATCH(OFFSET(#REF!,ROW()-1,0,1,1),C:C,0),"")</f>
        <v/>
      </c>
      <c r="K242" t="str">
        <f ca="1">IFERROR(MATCH(OFFSET(#REF!,ROW()-1,0,1,1),C:C,1)-J242+1,"")</f>
        <v/>
      </c>
    </row>
    <row r="243" spans="10:11" x14ac:dyDescent="0.2">
      <c r="J243" t="str">
        <f ca="1">IFERROR(MATCH(OFFSET(#REF!,ROW()-1,0,1,1),C:C,0),"")</f>
        <v/>
      </c>
      <c r="K243" t="str">
        <f ca="1">IFERROR(MATCH(OFFSET(#REF!,ROW()-1,0,1,1),C:C,1)-J243+1,"")</f>
        <v/>
      </c>
    </row>
    <row r="244" spans="10:11" x14ac:dyDescent="0.2">
      <c r="J244" t="str">
        <f ca="1">IFERROR(MATCH(OFFSET(#REF!,ROW()-1,0,1,1),C:C,0),"")</f>
        <v/>
      </c>
      <c r="K244" t="str">
        <f ca="1">IFERROR(MATCH(OFFSET(#REF!,ROW()-1,0,1,1),C:C,1)-J244+1,"")</f>
        <v/>
      </c>
    </row>
    <row r="245" spans="10:11" x14ac:dyDescent="0.2">
      <c r="J245" t="str">
        <f ca="1">IFERROR(MATCH(OFFSET(#REF!,ROW()-1,0,1,1),C:C,0),"")</f>
        <v/>
      </c>
      <c r="K245" t="str">
        <f ca="1">IFERROR(MATCH(OFFSET(#REF!,ROW()-1,0,1,1),C:C,1)-J245+1,"")</f>
        <v/>
      </c>
    </row>
    <row r="246" spans="10:11" x14ac:dyDescent="0.2">
      <c r="J246" t="str">
        <f ca="1">IFERROR(MATCH(OFFSET(#REF!,ROW()-1,0,1,1),C:C,0),"")</f>
        <v/>
      </c>
      <c r="K246" t="str">
        <f ca="1">IFERROR(MATCH(OFFSET(#REF!,ROW()-1,0,1,1),C:C,1)-J246+1,"")</f>
        <v/>
      </c>
    </row>
    <row r="247" spans="10:11" x14ac:dyDescent="0.2">
      <c r="J247" t="str">
        <f ca="1">IFERROR(MATCH(OFFSET(#REF!,ROW()-1,0,1,1),C:C,0),"")</f>
        <v/>
      </c>
      <c r="K247" t="str">
        <f ca="1">IFERROR(MATCH(OFFSET(#REF!,ROW()-1,0,1,1),C:C,1)-J247+1,"")</f>
        <v/>
      </c>
    </row>
    <row r="248" spans="10:11" x14ac:dyDescent="0.2">
      <c r="J248" t="str">
        <f ca="1">IFERROR(MATCH(OFFSET(#REF!,ROW()-1,0,1,1),C:C,0),"")</f>
        <v/>
      </c>
      <c r="K248" t="str">
        <f ca="1">IFERROR(MATCH(OFFSET(#REF!,ROW()-1,0,1,1),C:C,1)-J248+1,"")</f>
        <v/>
      </c>
    </row>
    <row r="249" spans="10:11" x14ac:dyDescent="0.2">
      <c r="J249" t="str">
        <f ca="1">IFERROR(MATCH(OFFSET(#REF!,ROW()-1,0,1,1),C:C,0),"")</f>
        <v/>
      </c>
      <c r="K249" t="str">
        <f ca="1">IFERROR(MATCH(OFFSET(#REF!,ROW()-1,0,1,1),C:C,1)-J249+1,"")</f>
        <v/>
      </c>
    </row>
    <row r="250" spans="10:11" x14ac:dyDescent="0.2">
      <c r="J250" t="str">
        <f ca="1">IFERROR(MATCH(OFFSET(#REF!,ROW()-1,0,1,1),C:C,0),"")</f>
        <v/>
      </c>
      <c r="K250" t="str">
        <f ca="1">IFERROR(MATCH(OFFSET(#REF!,ROW()-1,0,1,1),C:C,1)-J250+1,"")</f>
        <v/>
      </c>
    </row>
    <row r="251" spans="10:11" x14ac:dyDescent="0.2">
      <c r="J251" t="str">
        <f ca="1">IFERROR(MATCH(OFFSET(#REF!,ROW()-1,0,1,1),C:C,0),"")</f>
        <v/>
      </c>
      <c r="K251" t="str">
        <f ca="1">IFERROR(MATCH(OFFSET(#REF!,ROW()-1,0,1,1),C:C,1)-J251+1,"")</f>
        <v/>
      </c>
    </row>
    <row r="252" spans="10:11" x14ac:dyDescent="0.2">
      <c r="J252" t="str">
        <f ca="1">IFERROR(MATCH(OFFSET(#REF!,ROW()-1,0,1,1),C:C,0),"")</f>
        <v/>
      </c>
      <c r="K252" t="str">
        <f ca="1">IFERROR(MATCH(OFFSET(#REF!,ROW()-1,0,1,1),C:C,1)-J252+1,"")</f>
        <v/>
      </c>
    </row>
    <row r="253" spans="10:11" x14ac:dyDescent="0.2">
      <c r="J253" t="str">
        <f ca="1">IFERROR(MATCH(OFFSET(#REF!,ROW()-1,0,1,1),C:C,0),"")</f>
        <v/>
      </c>
      <c r="K253" t="str">
        <f ca="1">IFERROR(MATCH(OFFSET(#REF!,ROW()-1,0,1,1),C:C,1)-J253+1,"")</f>
        <v/>
      </c>
    </row>
    <row r="254" spans="10:11" x14ac:dyDescent="0.2">
      <c r="J254" t="str">
        <f ca="1">IFERROR(MATCH(OFFSET(#REF!,ROW()-1,0,1,1),C:C,0),"")</f>
        <v/>
      </c>
      <c r="K254" t="str">
        <f ca="1">IFERROR(MATCH(OFFSET(#REF!,ROW()-1,0,1,1),C:C,1)-J254+1,"")</f>
        <v/>
      </c>
    </row>
    <row r="255" spans="10:11" x14ac:dyDescent="0.2">
      <c r="J255" t="str">
        <f ca="1">IFERROR(MATCH(OFFSET(#REF!,ROW()-1,0,1,1),C:C,0),"")</f>
        <v/>
      </c>
      <c r="K255" t="str">
        <f ca="1">IFERROR(MATCH(OFFSET(#REF!,ROW()-1,0,1,1),C:C,1)-J255+1,"")</f>
        <v/>
      </c>
    </row>
    <row r="256" spans="10:11" x14ac:dyDescent="0.2">
      <c r="J256" t="str">
        <f ca="1">IFERROR(MATCH(OFFSET(#REF!,ROW()-1,0,1,1),C:C,0),"")</f>
        <v/>
      </c>
      <c r="K256" t="str">
        <f ca="1">IFERROR(MATCH(OFFSET(#REF!,ROW()-1,0,1,1),C:C,1)-J256+1,"")</f>
        <v/>
      </c>
    </row>
    <row r="257" spans="10:11" x14ac:dyDescent="0.2">
      <c r="J257" t="str">
        <f ca="1">IFERROR(MATCH(OFFSET(#REF!,ROW()-1,0,1,1),C:C,0),"")</f>
        <v/>
      </c>
      <c r="K257" t="str">
        <f ca="1">IFERROR(MATCH(OFFSET(#REF!,ROW()-1,0,1,1),C:C,1)-J257+1,"")</f>
        <v/>
      </c>
    </row>
    <row r="258" spans="10:11" x14ac:dyDescent="0.2">
      <c r="J258" t="str">
        <f ca="1">IFERROR(MATCH(OFFSET(#REF!,ROW()-1,0,1,1),C:C,0),"")</f>
        <v/>
      </c>
      <c r="K258" t="str">
        <f ca="1">IFERROR(MATCH(OFFSET(#REF!,ROW()-1,0,1,1),C:C,1)-J258+1,"")</f>
        <v/>
      </c>
    </row>
    <row r="259" spans="10:11" x14ac:dyDescent="0.2">
      <c r="J259" t="str">
        <f ca="1">IFERROR(MATCH(OFFSET(#REF!,ROW()-1,0,1,1),C:C,0),"")</f>
        <v/>
      </c>
      <c r="K259" t="str">
        <f ca="1">IFERROR(MATCH(OFFSET(#REF!,ROW()-1,0,1,1),C:C,1)-J259+1,"")</f>
        <v/>
      </c>
    </row>
    <row r="260" spans="10:11" x14ac:dyDescent="0.2">
      <c r="J260" t="str">
        <f ca="1">IFERROR(MATCH(OFFSET(#REF!,ROW()-1,0,1,1),C:C,0),"")</f>
        <v/>
      </c>
      <c r="K260" t="str">
        <f ca="1">IFERROR(MATCH(OFFSET(#REF!,ROW()-1,0,1,1),C:C,1)-J260+1,"")</f>
        <v/>
      </c>
    </row>
    <row r="261" spans="10:11" x14ac:dyDescent="0.2">
      <c r="J261" t="str">
        <f ca="1">IFERROR(MATCH(OFFSET(#REF!,ROW()-1,0,1,1),C:C,0),"")</f>
        <v/>
      </c>
      <c r="K261" t="str">
        <f ca="1">IFERROR(MATCH(OFFSET(#REF!,ROW()-1,0,1,1),C:C,1)-J261+1,"")</f>
        <v/>
      </c>
    </row>
    <row r="262" spans="10:11" x14ac:dyDescent="0.2">
      <c r="J262" t="str">
        <f ca="1">IFERROR(MATCH(OFFSET(#REF!,ROW()-1,0,1,1),C:C,0),"")</f>
        <v/>
      </c>
      <c r="K262" t="str">
        <f ca="1">IFERROR(MATCH(OFFSET(#REF!,ROW()-1,0,1,1),C:C,1)-J262+1,"")</f>
        <v/>
      </c>
    </row>
    <row r="263" spans="10:11" x14ac:dyDescent="0.2">
      <c r="J263" t="str">
        <f ca="1">IFERROR(MATCH(OFFSET(#REF!,ROW()-1,0,1,1),C:C,0),"")</f>
        <v/>
      </c>
      <c r="K263" t="str">
        <f ca="1">IFERROR(MATCH(OFFSET(#REF!,ROW()-1,0,1,1),C:C,1)-J263+1,"")</f>
        <v/>
      </c>
    </row>
    <row r="264" spans="10:11" x14ac:dyDescent="0.2">
      <c r="J264" t="str">
        <f ca="1">IFERROR(MATCH(OFFSET(#REF!,ROW()-1,0,1,1),C:C,0),"")</f>
        <v/>
      </c>
      <c r="K264" t="str">
        <f ca="1">IFERROR(MATCH(OFFSET(#REF!,ROW()-1,0,1,1),C:C,1)-J264+1,"")</f>
        <v/>
      </c>
    </row>
    <row r="265" spans="10:11" x14ac:dyDescent="0.2">
      <c r="J265" t="str">
        <f ca="1">IFERROR(MATCH(OFFSET(#REF!,ROW()-1,0,1,1),C:C,0),"")</f>
        <v/>
      </c>
      <c r="K265" t="str">
        <f ca="1">IFERROR(MATCH(OFFSET(#REF!,ROW()-1,0,1,1),C:C,1)-J265+1,"")</f>
        <v/>
      </c>
    </row>
    <row r="266" spans="10:11" x14ac:dyDescent="0.2">
      <c r="J266" t="str">
        <f ca="1">IFERROR(MATCH(OFFSET(#REF!,ROW()-1,0,1,1),C:C,0),"")</f>
        <v/>
      </c>
      <c r="K266" t="str">
        <f ca="1">IFERROR(MATCH(OFFSET(#REF!,ROW()-1,0,1,1),C:C,1)-J266+1,"")</f>
        <v/>
      </c>
    </row>
    <row r="267" spans="10:11" x14ac:dyDescent="0.2">
      <c r="J267" t="str">
        <f ca="1">IFERROR(MATCH(OFFSET(#REF!,ROW()-1,0,1,1),C:C,0),"")</f>
        <v/>
      </c>
      <c r="K267" t="str">
        <f ca="1">IFERROR(MATCH(OFFSET(#REF!,ROW()-1,0,1,1),C:C,1)-J267+1,"")</f>
        <v/>
      </c>
    </row>
    <row r="268" spans="10:11" x14ac:dyDescent="0.2">
      <c r="J268" t="str">
        <f ca="1">IFERROR(MATCH(OFFSET(#REF!,ROW()-1,0,1,1),C:C,0),"")</f>
        <v/>
      </c>
      <c r="K268" t="str">
        <f ca="1">IFERROR(MATCH(OFFSET(#REF!,ROW()-1,0,1,1),C:C,1)-J268+1,"")</f>
        <v/>
      </c>
    </row>
    <row r="269" spans="10:11" x14ac:dyDescent="0.2">
      <c r="J269" t="str">
        <f ca="1">IFERROR(MATCH(OFFSET(#REF!,ROW()-1,0,1,1),C:C,0),"")</f>
        <v/>
      </c>
      <c r="K269" t="str">
        <f ca="1">IFERROR(MATCH(OFFSET(#REF!,ROW()-1,0,1,1),C:C,1)-J269+1,"")</f>
        <v/>
      </c>
    </row>
    <row r="270" spans="10:11" x14ac:dyDescent="0.2">
      <c r="J270" t="str">
        <f ca="1">IFERROR(MATCH(OFFSET(#REF!,ROW()-1,0,1,1),C:C,0),"")</f>
        <v/>
      </c>
      <c r="K270" t="str">
        <f ca="1">IFERROR(MATCH(OFFSET(#REF!,ROW()-1,0,1,1),C:C,1)-J270+1,"")</f>
        <v/>
      </c>
    </row>
    <row r="271" spans="10:11" x14ac:dyDescent="0.2">
      <c r="J271" t="str">
        <f ca="1">IFERROR(MATCH(OFFSET(#REF!,ROW()-1,0,1,1),C:C,0),"")</f>
        <v/>
      </c>
      <c r="K271" t="str">
        <f ca="1">IFERROR(MATCH(OFFSET(#REF!,ROW()-1,0,1,1),C:C,1)-J271+1,"")</f>
        <v/>
      </c>
    </row>
    <row r="272" spans="10:11" x14ac:dyDescent="0.2">
      <c r="J272" t="str">
        <f ca="1">IFERROR(MATCH(OFFSET(#REF!,ROW()-1,0,1,1),C:C,0),"")</f>
        <v/>
      </c>
      <c r="K272" t="str">
        <f ca="1">IFERROR(MATCH(OFFSET(#REF!,ROW()-1,0,1,1),C:C,1)-J272+1,"")</f>
        <v/>
      </c>
    </row>
    <row r="273" spans="10:11" x14ac:dyDescent="0.2">
      <c r="J273" t="str">
        <f ca="1">IFERROR(MATCH(OFFSET(#REF!,ROW()-1,0,1,1),C:C,0),"")</f>
        <v/>
      </c>
      <c r="K273" t="str">
        <f ca="1">IFERROR(MATCH(OFFSET(#REF!,ROW()-1,0,1,1),C:C,1)-J273+1,"")</f>
        <v/>
      </c>
    </row>
    <row r="274" spans="10:11" x14ac:dyDescent="0.2">
      <c r="J274" t="str">
        <f ca="1">IFERROR(MATCH(OFFSET(#REF!,ROW()-1,0,1,1),C:C,0),"")</f>
        <v/>
      </c>
      <c r="K274" t="str">
        <f ca="1">IFERROR(MATCH(OFFSET(#REF!,ROW()-1,0,1,1),C:C,1)-J274+1,"")</f>
        <v/>
      </c>
    </row>
    <row r="275" spans="10:11" x14ac:dyDescent="0.2">
      <c r="J275" t="str">
        <f ca="1">IFERROR(MATCH(OFFSET(#REF!,ROW()-1,0,1,1),C:C,0),"")</f>
        <v/>
      </c>
      <c r="K275" t="str">
        <f ca="1">IFERROR(MATCH(OFFSET(#REF!,ROW()-1,0,1,1),C:C,1)-J275+1,"")</f>
        <v/>
      </c>
    </row>
    <row r="276" spans="10:11" x14ac:dyDescent="0.2">
      <c r="J276" t="str">
        <f ca="1">IFERROR(MATCH(OFFSET(#REF!,ROW()-1,0,1,1),C:C,0),"")</f>
        <v/>
      </c>
      <c r="K276" t="str">
        <f ca="1">IFERROR(MATCH(OFFSET(#REF!,ROW()-1,0,1,1),C:C,1)-J276+1,"")</f>
        <v/>
      </c>
    </row>
    <row r="277" spans="10:11" x14ac:dyDescent="0.2">
      <c r="J277" t="str">
        <f ca="1">IFERROR(MATCH(OFFSET(#REF!,ROW()-1,0,1,1),C:C,0),"")</f>
        <v/>
      </c>
      <c r="K277" t="str">
        <f ca="1">IFERROR(MATCH(OFFSET(#REF!,ROW()-1,0,1,1),C:C,1)-J277+1,"")</f>
        <v/>
      </c>
    </row>
    <row r="278" spans="10:11" x14ac:dyDescent="0.2">
      <c r="J278" t="str">
        <f ca="1">IFERROR(MATCH(OFFSET(#REF!,ROW()-1,0,1,1),C:C,0),"")</f>
        <v/>
      </c>
      <c r="K278" t="str">
        <f ca="1">IFERROR(MATCH(OFFSET(#REF!,ROW()-1,0,1,1),C:C,1)-J278+1,"")</f>
        <v/>
      </c>
    </row>
    <row r="279" spans="10:11" x14ac:dyDescent="0.2">
      <c r="J279" t="str">
        <f ca="1">IFERROR(MATCH(OFFSET(#REF!,ROW()-1,0,1,1),C:C,0),"")</f>
        <v/>
      </c>
      <c r="K279" t="str">
        <f ca="1">IFERROR(MATCH(OFFSET(#REF!,ROW()-1,0,1,1),C:C,1)-J279+1,"")</f>
        <v/>
      </c>
    </row>
    <row r="280" spans="10:11" x14ac:dyDescent="0.2">
      <c r="J280" t="str">
        <f ca="1">IFERROR(MATCH(OFFSET(#REF!,ROW()-1,0,1,1),C:C,0),"")</f>
        <v/>
      </c>
      <c r="K280" t="str">
        <f ca="1">IFERROR(MATCH(OFFSET(#REF!,ROW()-1,0,1,1),C:C,1)-J280+1,"")</f>
        <v/>
      </c>
    </row>
    <row r="281" spans="10:11" x14ac:dyDescent="0.2">
      <c r="J281" t="str">
        <f ca="1">IFERROR(MATCH(OFFSET(#REF!,ROW()-1,0,1,1),C:C,0),"")</f>
        <v/>
      </c>
      <c r="K281" t="str">
        <f ca="1">IFERROR(MATCH(OFFSET(#REF!,ROW()-1,0,1,1),C:C,1)-J281+1,"")</f>
        <v/>
      </c>
    </row>
    <row r="282" spans="10:11" x14ac:dyDescent="0.2">
      <c r="J282" t="str">
        <f ca="1">IFERROR(MATCH(OFFSET(#REF!,ROW()-1,0,1,1),C:C,0),"")</f>
        <v/>
      </c>
      <c r="K282" t="str">
        <f ca="1">IFERROR(MATCH(OFFSET(#REF!,ROW()-1,0,1,1),C:C,1)-J282+1,"")</f>
        <v/>
      </c>
    </row>
    <row r="283" spans="10:11" x14ac:dyDescent="0.2">
      <c r="J283" t="str">
        <f ca="1">IFERROR(MATCH(OFFSET(#REF!,ROW()-1,0,1,1),C:C,0),"")</f>
        <v/>
      </c>
      <c r="K283" t="str">
        <f ca="1">IFERROR(MATCH(OFFSET(#REF!,ROW()-1,0,1,1),C:C,1)-J283+1,"")</f>
        <v/>
      </c>
    </row>
    <row r="284" spans="10:11" x14ac:dyDescent="0.2">
      <c r="J284" t="str">
        <f ca="1">IFERROR(MATCH(OFFSET(#REF!,ROW()-1,0,1,1),C:C,0),"")</f>
        <v/>
      </c>
      <c r="K284" t="str">
        <f ca="1">IFERROR(MATCH(OFFSET(#REF!,ROW()-1,0,1,1),C:C,1)-J284+1,"")</f>
        <v/>
      </c>
    </row>
    <row r="285" spans="10:11" x14ac:dyDescent="0.2">
      <c r="J285" t="str">
        <f ca="1">IFERROR(MATCH(OFFSET(#REF!,ROW()-1,0,1,1),C:C,0),"")</f>
        <v/>
      </c>
      <c r="K285" t="str">
        <f ca="1">IFERROR(MATCH(OFFSET(#REF!,ROW()-1,0,1,1),C:C,1)-J285+1,"")</f>
        <v/>
      </c>
    </row>
    <row r="286" spans="10:11" x14ac:dyDescent="0.2">
      <c r="J286" t="str">
        <f ca="1">IFERROR(MATCH(OFFSET(#REF!,ROW()-1,0,1,1),C:C,0),"")</f>
        <v/>
      </c>
      <c r="K286" t="str">
        <f ca="1">IFERROR(MATCH(OFFSET(#REF!,ROW()-1,0,1,1),C:C,1)-J286+1,"")</f>
        <v/>
      </c>
    </row>
    <row r="287" spans="10:11" x14ac:dyDescent="0.2">
      <c r="J287" t="str">
        <f ca="1">IFERROR(MATCH(OFFSET(#REF!,ROW()-1,0,1,1),C:C,0),"")</f>
        <v/>
      </c>
      <c r="K287" t="str">
        <f ca="1">IFERROR(MATCH(OFFSET(#REF!,ROW()-1,0,1,1),C:C,1)-J287+1,"")</f>
        <v/>
      </c>
    </row>
    <row r="288" spans="10:11" x14ac:dyDescent="0.2">
      <c r="J288" t="str">
        <f ca="1">IFERROR(MATCH(OFFSET(#REF!,ROW()-1,0,1,1),C:C,0),"")</f>
        <v/>
      </c>
      <c r="K288" t="str">
        <f ca="1">IFERROR(MATCH(OFFSET(#REF!,ROW()-1,0,1,1),C:C,1)-J288+1,"")</f>
        <v/>
      </c>
    </row>
    <row r="289" spans="10:12" x14ac:dyDescent="0.2">
      <c r="J289" t="str">
        <f ca="1">IFERROR(MATCH(OFFSET(#REF!,ROW()-1,0,1,1),C:C,0),"")</f>
        <v/>
      </c>
      <c r="K289" t="str">
        <f ca="1">IFERROR(MATCH(OFFSET(#REF!,ROW()-1,0,1,1),C:C,1)-J289+1,"")</f>
        <v/>
      </c>
    </row>
    <row r="290" spans="10:12" x14ac:dyDescent="0.2">
      <c r="J290" t="str">
        <f ca="1">IFERROR(MATCH(OFFSET(#REF!,ROW()-1,0,1,1),C:C,0),"")</f>
        <v/>
      </c>
      <c r="K290" t="str">
        <f ca="1">IFERROR(MATCH(OFFSET(#REF!,ROW()-1,0,1,1),C:C,1)-J290+1,"")</f>
        <v/>
      </c>
    </row>
    <row r="291" spans="10:12" x14ac:dyDescent="0.2">
      <c r="J291" t="str">
        <f ca="1">IFERROR(MATCH(OFFSET(#REF!,ROW()-1,0,1,1),C:C,0),"")</f>
        <v/>
      </c>
      <c r="K291" t="str">
        <f ca="1">IFERROR(MATCH(OFFSET(#REF!,ROW()-1,0,1,1),C:C,1)-J291+1,"")</f>
        <v/>
      </c>
    </row>
    <row r="292" spans="10:12" x14ac:dyDescent="0.2">
      <c r="J292" t="str">
        <f ca="1">IFERROR(MATCH(OFFSET(#REF!,ROW()-1,0,1,1),C:C,0),"")</f>
        <v/>
      </c>
      <c r="K292" t="str">
        <f ca="1">IFERROR(MATCH(OFFSET(#REF!,ROW()-1,0,1,1),C:C,1)-J292+1,"")</f>
        <v/>
      </c>
    </row>
    <row r="293" spans="10:12" x14ac:dyDescent="0.2">
      <c r="J293" t="str">
        <f ca="1">IFERROR(MATCH(OFFSET(#REF!,ROW()-1,0,1,1),C:C,0),"")</f>
        <v/>
      </c>
      <c r="K293" t="str">
        <f ca="1">IFERROR(MATCH(OFFSET(#REF!,ROW()-1,0,1,1),C:C,1)-J293+1,"")</f>
        <v/>
      </c>
    </row>
    <row r="294" spans="10:12" x14ac:dyDescent="0.2">
      <c r="J294" t="str">
        <f ca="1">IFERROR(MATCH(OFFSET(#REF!,ROW()-1,0,1,1),C:C,0),"")</f>
        <v/>
      </c>
      <c r="K294" t="str">
        <f ca="1">IFERROR(MATCH(OFFSET(#REF!,ROW()-1,0,1,1),C:C,1)-J294+1,"")</f>
        <v/>
      </c>
    </row>
    <row r="295" spans="10:12" x14ac:dyDescent="0.2">
      <c r="J295" t="str">
        <f ca="1">IFERROR(MATCH(OFFSET(#REF!,ROW()-1,0,1,1),C:C,0),"")</f>
        <v/>
      </c>
      <c r="K295" t="str">
        <f ca="1">IFERROR(MATCH(OFFSET(#REF!,ROW()-1,0,1,1),C:C,1)-J295+1,"")</f>
        <v/>
      </c>
    </row>
    <row r="296" spans="10:12" x14ac:dyDescent="0.2">
      <c r="J296" t="str">
        <f ca="1">IFERROR(MATCH(OFFSET(#REF!,ROW()-1,0,1,1),C:C,0),"")</f>
        <v/>
      </c>
      <c r="K296" t="str">
        <f ca="1">IFERROR(MATCH(OFFSET(#REF!,ROW()-1,0,1,1),C:C,1)-J296+1,"")</f>
        <v/>
      </c>
    </row>
    <row r="297" spans="10:12" x14ac:dyDescent="0.2">
      <c r="K297" t="str">
        <f ca="1">IFERROR(MATCH(OFFSET(#REF!,ROW()-1,0,1,1),C:C,0),"")</f>
        <v/>
      </c>
      <c r="L297" t="str">
        <f ca="1">IFERROR(MATCH(OFFSET(#REF!,ROW()-1,0,1,1),C:C,1)-K297+1,"")</f>
        <v/>
      </c>
    </row>
    <row r="298" spans="10:12" x14ac:dyDescent="0.2">
      <c r="K298" t="str">
        <f ca="1">IFERROR(MATCH(OFFSET(#REF!,ROW()-1,0,1,1),C:C,0),"")</f>
        <v/>
      </c>
      <c r="L298" t="str">
        <f ca="1">IFERROR(MATCH(OFFSET(#REF!,ROW()-1,0,1,1),C:C,1)-K298+1,"")</f>
        <v/>
      </c>
    </row>
    <row r="299" spans="10:12" x14ac:dyDescent="0.2">
      <c r="K299" t="str">
        <f ca="1">IFERROR(MATCH(OFFSET(#REF!,ROW()-1,0,1,1),C:C,0),"")</f>
        <v/>
      </c>
      <c r="L299" t="str">
        <f ca="1">IFERROR(MATCH(OFFSET(#REF!,ROW()-1,0,1,1),C:C,1)-K299+1,"")</f>
        <v/>
      </c>
    </row>
    <row r="300" spans="10:12" x14ac:dyDescent="0.2">
      <c r="K300" t="str">
        <f ca="1">IFERROR(MATCH(OFFSET(#REF!,ROW()-1,0,1,1),C:C,0),"")</f>
        <v/>
      </c>
      <c r="L300" t="str">
        <f ca="1">IFERROR(MATCH(OFFSET(#REF!,ROW()-1,0,1,1),C:C,1)-K300+1,"")</f>
        <v/>
      </c>
    </row>
    <row r="301" spans="10:12" x14ac:dyDescent="0.2">
      <c r="K301" t="str">
        <f ca="1">IFERROR(MATCH(OFFSET(#REF!,ROW()-1,0,1,1),C:C,0),"")</f>
        <v/>
      </c>
      <c r="L301" t="str">
        <f ca="1">IFERROR(MATCH(OFFSET(#REF!,ROW()-1,0,1,1),C:C,1)-K301+1,"")</f>
        <v/>
      </c>
    </row>
    <row r="302" spans="10:12" x14ac:dyDescent="0.2">
      <c r="K302" t="str">
        <f ca="1">IFERROR(MATCH(OFFSET(#REF!,ROW()-1,0,1,1),C:C,0),"")</f>
        <v/>
      </c>
      <c r="L302" t="str">
        <f ca="1">IFERROR(MATCH(OFFSET(#REF!,ROW()-1,0,1,1),C:C,1)-K302+1,"")</f>
        <v/>
      </c>
    </row>
    <row r="303" spans="10:12" x14ac:dyDescent="0.2">
      <c r="K303" t="str">
        <f ca="1">IFERROR(MATCH(OFFSET(#REF!,ROW()-1,0,1,1),C:C,0),"")</f>
        <v/>
      </c>
      <c r="L303" t="str">
        <f ca="1">IFERROR(MATCH(OFFSET(#REF!,ROW()-1,0,1,1),C:C,1)-K303+1,"")</f>
        <v/>
      </c>
    </row>
    <row r="304" spans="10:12" x14ac:dyDescent="0.2">
      <c r="K304" t="str">
        <f ca="1">IFERROR(MATCH(OFFSET(#REF!,ROW()-1,0,1,1),C:C,0),"")</f>
        <v/>
      </c>
      <c r="L304" t="str">
        <f ca="1">IFERROR(MATCH(OFFSET(#REF!,ROW()-1,0,1,1),C:C,1)-K304+1,"")</f>
        <v/>
      </c>
    </row>
    <row r="305" spans="11:12" x14ac:dyDescent="0.2">
      <c r="K305" t="str">
        <f ca="1">IFERROR(MATCH(OFFSET(#REF!,ROW()-1,0,1,1),C:C,0),"")</f>
        <v/>
      </c>
      <c r="L305" t="str">
        <f ca="1">IFERROR(MATCH(OFFSET(#REF!,ROW()-1,0,1,1),C:C,1)-K305+1,"")</f>
        <v/>
      </c>
    </row>
    <row r="306" spans="11:12" x14ac:dyDescent="0.2">
      <c r="K306" t="str">
        <f ca="1">IFERROR(MATCH(OFFSET(#REF!,ROW()-1,0,1,1),C:C,0),"")</f>
        <v/>
      </c>
      <c r="L306" t="str">
        <f ca="1">IFERROR(MATCH(OFFSET(#REF!,ROW()-1,0,1,1),C:C,1)-K306+1,"")</f>
        <v/>
      </c>
    </row>
    <row r="307" spans="11:12" x14ac:dyDescent="0.2">
      <c r="K307" t="str">
        <f ca="1">IFERROR(MATCH(OFFSET(#REF!,ROW()-1,0,1,1),C:C,0),"")</f>
        <v/>
      </c>
      <c r="L307" t="str">
        <f ca="1">IFERROR(MATCH(OFFSET(#REF!,ROW()-1,0,1,1),C:C,1)-K307+1,"")</f>
        <v/>
      </c>
    </row>
    <row r="308" spans="11:12" x14ac:dyDescent="0.2">
      <c r="K308" t="str">
        <f ca="1">IFERROR(MATCH(OFFSET(#REF!,ROW()-1,0,1,1),C:C,0),"")</f>
        <v/>
      </c>
      <c r="L308" t="str">
        <f ca="1">IFERROR(MATCH(OFFSET(#REF!,ROW()-1,0,1,1),C:C,1)-K308+1,"")</f>
        <v/>
      </c>
    </row>
    <row r="309" spans="11:12" x14ac:dyDescent="0.2">
      <c r="K309" t="str">
        <f ca="1">IFERROR(MATCH(OFFSET(#REF!,ROW()-1,0,1,1),C:C,0),"")</f>
        <v/>
      </c>
      <c r="L309" t="str">
        <f ca="1">IFERROR(MATCH(OFFSET(#REF!,ROW()-1,0,1,1),C:C,1)-K309+1,"")</f>
        <v/>
      </c>
    </row>
    <row r="310" spans="11:12" x14ac:dyDescent="0.2">
      <c r="K310" t="str">
        <f ca="1">IFERROR(MATCH(OFFSET(#REF!,ROW()-1,0,1,1),C:C,0),"")</f>
        <v/>
      </c>
      <c r="L310" t="str">
        <f ca="1">IFERROR(MATCH(OFFSET(#REF!,ROW()-1,0,1,1),C:C,1)-K310+1,"")</f>
        <v/>
      </c>
    </row>
    <row r="311" spans="11:12" x14ac:dyDescent="0.2">
      <c r="K311" t="str">
        <f ca="1">IFERROR(MATCH(OFFSET(#REF!,ROW()-1,0,1,1),C:C,0),"")</f>
        <v/>
      </c>
      <c r="L311" t="str">
        <f ca="1">IFERROR(MATCH(OFFSET(#REF!,ROW()-1,0,1,1),C:C,1)-K311+1,"")</f>
        <v/>
      </c>
    </row>
    <row r="312" spans="11:12" x14ac:dyDescent="0.2">
      <c r="K312" t="str">
        <f ca="1">IFERROR(MATCH(OFFSET(#REF!,ROW()-1,0,1,1),C:C,0),"")</f>
        <v/>
      </c>
      <c r="L312" t="str">
        <f ca="1">IFERROR(MATCH(OFFSET(#REF!,ROW()-1,0,1,1),C:C,1)-K312+1,"")</f>
        <v/>
      </c>
    </row>
    <row r="313" spans="11:12" x14ac:dyDescent="0.2">
      <c r="K313" t="str">
        <f ca="1">IFERROR(MATCH(OFFSET(#REF!,ROW()-1,0,1,1),C:C,0),"")</f>
        <v/>
      </c>
      <c r="L313" t="str">
        <f ca="1">IFERROR(MATCH(OFFSET(#REF!,ROW()-1,0,1,1),C:C,1)-K313+1,"")</f>
        <v/>
      </c>
    </row>
    <row r="314" spans="11:12" x14ac:dyDescent="0.2">
      <c r="K314" t="str">
        <f ca="1">IFERROR(MATCH(OFFSET(#REF!,ROW()-1,0,1,1),C:C,0),"")</f>
        <v/>
      </c>
      <c r="L314" t="str">
        <f ca="1">IFERROR(MATCH(OFFSET(#REF!,ROW()-1,0,1,1),C:C,1)-K314+1,"")</f>
        <v/>
      </c>
    </row>
    <row r="315" spans="11:12" x14ac:dyDescent="0.2">
      <c r="K315" t="str">
        <f ca="1">IFERROR(MATCH(OFFSET(#REF!,ROW()-1,0,1,1),C:C,0),"")</f>
        <v/>
      </c>
      <c r="L315" t="str">
        <f ca="1">IFERROR(MATCH(OFFSET(#REF!,ROW()-1,0,1,1),C:C,1)-K315+1,"")</f>
        <v/>
      </c>
    </row>
    <row r="316" spans="11:12" x14ac:dyDescent="0.2">
      <c r="K316" t="str">
        <f ca="1">IFERROR(MATCH(OFFSET(#REF!,ROW()-1,0,1,1),C:C,0),"")</f>
        <v/>
      </c>
      <c r="L316" t="str">
        <f ca="1">IFERROR(MATCH(OFFSET(#REF!,ROW()-1,0,1,1),C:C,1)-K316+1,"")</f>
        <v/>
      </c>
    </row>
    <row r="317" spans="11:12" x14ac:dyDescent="0.2">
      <c r="K317" t="str">
        <f ca="1">IFERROR(MATCH(OFFSET(#REF!,ROW()-1,0,1,1),C:C,0),"")</f>
        <v/>
      </c>
      <c r="L317" t="str">
        <f ca="1">IFERROR(MATCH(OFFSET(#REF!,ROW()-1,0,1,1),C:C,1)-K317+1,"")</f>
        <v/>
      </c>
    </row>
    <row r="318" spans="11:12" x14ac:dyDescent="0.2">
      <c r="K318" t="str">
        <f ca="1">IFERROR(MATCH(OFFSET(#REF!,ROW()-1,0,1,1),C:C,0),"")</f>
        <v/>
      </c>
      <c r="L318" t="str">
        <f ca="1">IFERROR(MATCH(OFFSET(#REF!,ROW()-1,0,1,1),C:C,1)-K318+1,"")</f>
        <v/>
      </c>
    </row>
    <row r="319" spans="11:12" x14ac:dyDescent="0.2">
      <c r="K319" t="str">
        <f ca="1">IFERROR(MATCH(OFFSET(#REF!,ROW()-1,0,1,1),C:C,0),"")</f>
        <v/>
      </c>
      <c r="L319" t="str">
        <f ca="1">IFERROR(MATCH(OFFSET(#REF!,ROW()-1,0,1,1),C:C,1)-K319+1,"")</f>
        <v/>
      </c>
    </row>
    <row r="320" spans="11:12" x14ac:dyDescent="0.2">
      <c r="K320" t="str">
        <f ca="1">IFERROR(MATCH(OFFSET(#REF!,ROW()-1,0,1,1),C:C,0),"")</f>
        <v/>
      </c>
      <c r="L320" t="str">
        <f ca="1">IFERROR(MATCH(OFFSET(#REF!,ROW()-1,0,1,1),C:C,1)-K320+1,"")</f>
        <v/>
      </c>
    </row>
    <row r="321" spans="11:12" x14ac:dyDescent="0.2">
      <c r="K321" t="str">
        <f ca="1">IFERROR(MATCH(OFFSET(#REF!,ROW()-1,0,1,1),C:C,0),"")</f>
        <v/>
      </c>
      <c r="L321" t="str">
        <f ca="1">IFERROR(MATCH(OFFSET(#REF!,ROW()-1,0,1,1),C:C,1)-K321+1,"")</f>
        <v/>
      </c>
    </row>
    <row r="322" spans="11:12" x14ac:dyDescent="0.2">
      <c r="K322" t="str">
        <f ca="1">IFERROR(MATCH(OFFSET(#REF!,ROW()-1,0,1,1),C:C,0),"")</f>
        <v/>
      </c>
      <c r="L322" t="str">
        <f ca="1">IFERROR(MATCH(OFFSET(#REF!,ROW()-1,0,1,1),C:C,1)-K322+1,"")</f>
        <v/>
      </c>
    </row>
    <row r="323" spans="11:12" x14ac:dyDescent="0.2">
      <c r="K323" t="str">
        <f ca="1">IFERROR(MATCH(OFFSET(#REF!,ROW()-1,0,1,1),C:C,0),"")</f>
        <v/>
      </c>
      <c r="L323" t="str">
        <f ca="1">IFERROR(MATCH(OFFSET(#REF!,ROW()-1,0,1,1),C:C,1)-K323+1,"")</f>
        <v/>
      </c>
    </row>
    <row r="324" spans="11:12" x14ac:dyDescent="0.2">
      <c r="K324" t="str">
        <f ca="1">IFERROR(MATCH(OFFSET(#REF!,ROW()-1,0,1,1),C:C,0),"")</f>
        <v/>
      </c>
      <c r="L324" t="str">
        <f ca="1">IFERROR(MATCH(OFFSET(#REF!,ROW()-1,0,1,1),C:C,1)-K324+1,"")</f>
        <v/>
      </c>
    </row>
    <row r="325" spans="11:12" x14ac:dyDescent="0.2">
      <c r="K325" t="str">
        <f ca="1">IFERROR(MATCH(OFFSET(#REF!,ROW()-1,0,1,1),C:C,0),"")</f>
        <v/>
      </c>
      <c r="L325" t="str">
        <f ca="1">IFERROR(MATCH(OFFSET(#REF!,ROW()-1,0,1,1),C:C,1)-K325+1,"")</f>
        <v/>
      </c>
    </row>
    <row r="326" spans="11:12" x14ac:dyDescent="0.2">
      <c r="K326" t="str">
        <f ca="1">IFERROR(MATCH(OFFSET(#REF!,ROW()-1,0,1,1),C:C,0),"")</f>
        <v/>
      </c>
      <c r="L326" t="str">
        <f ca="1">IFERROR(MATCH(OFFSET(#REF!,ROW()-1,0,1,1),C:C,1)-K326+1,"")</f>
        <v/>
      </c>
    </row>
    <row r="327" spans="11:12" x14ac:dyDescent="0.2">
      <c r="K327" t="str">
        <f ca="1">IFERROR(MATCH(OFFSET(#REF!,ROW()-1,0,1,1),C:C,0),"")</f>
        <v/>
      </c>
      <c r="L327" t="str">
        <f ca="1">IFERROR(MATCH(OFFSET(#REF!,ROW()-1,0,1,1),C:C,1)-K327+1,"")</f>
        <v/>
      </c>
    </row>
    <row r="328" spans="11:12" x14ac:dyDescent="0.2">
      <c r="K328" t="str">
        <f ca="1">IFERROR(MATCH(OFFSET(#REF!,ROW()-1,0,1,1),C:C,0),"")</f>
        <v/>
      </c>
      <c r="L328" t="str">
        <f ca="1">IFERROR(MATCH(OFFSET(#REF!,ROW()-1,0,1,1),C:C,1)-K328+1,"")</f>
        <v/>
      </c>
    </row>
    <row r="329" spans="11:12" x14ac:dyDescent="0.2">
      <c r="K329" t="str">
        <f ca="1">IFERROR(MATCH(OFFSET(#REF!,ROW()-1,0,1,1),C:C,0),"")</f>
        <v/>
      </c>
      <c r="L329" t="str">
        <f ca="1">IFERROR(MATCH(OFFSET(#REF!,ROW()-1,0,1,1),C:C,1)-K329+1,"")</f>
        <v/>
      </c>
    </row>
    <row r="330" spans="11:12" x14ac:dyDescent="0.2">
      <c r="K330" t="str">
        <f ca="1">IFERROR(MATCH(OFFSET(#REF!,ROW()-1,0,1,1),C:C,0),"")</f>
        <v/>
      </c>
      <c r="L330" t="str">
        <f ca="1">IFERROR(MATCH(OFFSET(#REF!,ROW()-1,0,1,1),C:C,1)-K330+1,"")</f>
        <v/>
      </c>
    </row>
    <row r="331" spans="11:12" x14ac:dyDescent="0.2">
      <c r="K331" t="str">
        <f ca="1">IFERROR(MATCH(OFFSET(#REF!,ROW()-1,0,1,1),C:C,0),"")</f>
        <v/>
      </c>
      <c r="L331" t="str">
        <f ca="1">IFERROR(MATCH(OFFSET(#REF!,ROW()-1,0,1,1),C:C,1)-K331+1,"")</f>
        <v/>
      </c>
    </row>
    <row r="332" spans="11:12" x14ac:dyDescent="0.2">
      <c r="K332" t="str">
        <f ca="1">IFERROR(MATCH(OFFSET(#REF!,ROW()-1,0,1,1),C:C,0),"")</f>
        <v/>
      </c>
      <c r="L332" t="str">
        <f ca="1">IFERROR(MATCH(OFFSET(#REF!,ROW()-1,0,1,1),C:C,1)-K332+1,"")</f>
        <v/>
      </c>
    </row>
    <row r="333" spans="11:12" x14ac:dyDescent="0.2">
      <c r="K333" t="str">
        <f ca="1">IFERROR(MATCH(OFFSET(#REF!,ROW()-1,0,1,1),C:C,0),"")</f>
        <v/>
      </c>
      <c r="L333" t="str">
        <f ca="1">IFERROR(MATCH(OFFSET(#REF!,ROW()-1,0,1,1),C:C,1)-K333+1,"")</f>
        <v/>
      </c>
    </row>
    <row r="334" spans="11:12" x14ac:dyDescent="0.2">
      <c r="K334" t="str">
        <f ca="1">IFERROR(MATCH(OFFSET(#REF!,ROW()-1,0,1,1),C:C,0),"")</f>
        <v/>
      </c>
      <c r="L334" t="str">
        <f ca="1">IFERROR(MATCH(OFFSET(#REF!,ROW()-1,0,1,1),C:C,1)-K334+1,"")</f>
        <v/>
      </c>
    </row>
    <row r="335" spans="11:12" x14ac:dyDescent="0.2">
      <c r="K335" t="str">
        <f ca="1">IFERROR(MATCH(OFFSET(#REF!,ROW()-1,0,1,1),C:C,0),"")</f>
        <v/>
      </c>
      <c r="L335" t="str">
        <f ca="1">IFERROR(MATCH(OFFSET(#REF!,ROW()-1,0,1,1),C:C,1)-K335+1,"")</f>
        <v/>
      </c>
    </row>
    <row r="336" spans="11:12" x14ac:dyDescent="0.2">
      <c r="K336" t="str">
        <f ca="1">IFERROR(MATCH(OFFSET(#REF!,ROW()-1,0,1,1),C:C,0),"")</f>
        <v/>
      </c>
      <c r="L336" t="str">
        <f ca="1">IFERROR(MATCH(OFFSET(#REF!,ROW()-1,0,1,1),C:C,1)-K336+1,"")</f>
        <v/>
      </c>
    </row>
    <row r="337" spans="11:12" x14ac:dyDescent="0.2">
      <c r="K337" t="str">
        <f ca="1">IFERROR(MATCH(OFFSET(#REF!,ROW()-1,0,1,1),C:C,0),"")</f>
        <v/>
      </c>
      <c r="L337" t="str">
        <f ca="1">IFERROR(MATCH(OFFSET(#REF!,ROW()-1,0,1,1),C:C,1)-K337+1,"")</f>
        <v/>
      </c>
    </row>
    <row r="338" spans="11:12" x14ac:dyDescent="0.2">
      <c r="K338" t="str">
        <f ca="1">IFERROR(MATCH(OFFSET(#REF!,ROW()-1,0,1,1),C:C,0),"")</f>
        <v/>
      </c>
      <c r="L338" t="str">
        <f ca="1">IFERROR(MATCH(OFFSET(#REF!,ROW()-1,0,1,1),C:C,1)-K338+1,"")</f>
        <v/>
      </c>
    </row>
    <row r="339" spans="11:12" x14ac:dyDescent="0.2">
      <c r="K339" t="str">
        <f ca="1">IFERROR(MATCH(OFFSET(#REF!,ROW()-1,0,1,1),C:C,0),"")</f>
        <v/>
      </c>
      <c r="L339" t="str">
        <f ca="1">IFERROR(MATCH(OFFSET(#REF!,ROW()-1,0,1,1),C:C,1)-K339+1,"")</f>
        <v/>
      </c>
    </row>
    <row r="340" spans="11:12" x14ac:dyDescent="0.2">
      <c r="K340" t="str">
        <f ca="1">IFERROR(MATCH(OFFSET(#REF!,ROW()-1,0,1,1),C:C,0),"")</f>
        <v/>
      </c>
      <c r="L340" t="str">
        <f ca="1">IFERROR(MATCH(OFFSET(#REF!,ROW()-1,0,1,1),C:C,1)-K340+1,"")</f>
        <v/>
      </c>
    </row>
    <row r="341" spans="11:12" x14ac:dyDescent="0.2">
      <c r="K341" t="str">
        <f ca="1">IFERROR(MATCH(OFFSET(#REF!,ROW()-1,0,1,1),C:C,0),"")</f>
        <v/>
      </c>
      <c r="L341" t="str">
        <f ca="1">IFERROR(MATCH(OFFSET(#REF!,ROW()-1,0,1,1),C:C,1)-K341+1,"")</f>
        <v/>
      </c>
    </row>
    <row r="342" spans="11:12" x14ac:dyDescent="0.2">
      <c r="K342" t="str">
        <f ca="1">IFERROR(MATCH(OFFSET(#REF!,ROW()-1,0,1,1),C:C,0),"")</f>
        <v/>
      </c>
      <c r="L342" t="str">
        <f ca="1">IFERROR(MATCH(OFFSET(#REF!,ROW()-1,0,1,1),C:C,1)-K342+1,"")</f>
        <v/>
      </c>
    </row>
    <row r="343" spans="11:12" x14ac:dyDescent="0.2">
      <c r="K343" t="str">
        <f ca="1">IFERROR(MATCH(OFFSET(#REF!,ROW()-1,0,1,1),C:C,0),"")</f>
        <v/>
      </c>
      <c r="L343" t="str">
        <f ca="1">IFERROR(MATCH(OFFSET(#REF!,ROW()-1,0,1,1),C:C,1)-K343+1,"")</f>
        <v/>
      </c>
    </row>
    <row r="344" spans="11:12" x14ac:dyDescent="0.2">
      <c r="K344" t="str">
        <f ca="1">IFERROR(MATCH(OFFSET(#REF!,ROW()-1,0,1,1),C:C,0),"")</f>
        <v/>
      </c>
      <c r="L344" t="str">
        <f ca="1">IFERROR(MATCH(OFFSET(#REF!,ROW()-1,0,1,1),C:C,1)-K344+1,"")</f>
        <v/>
      </c>
    </row>
    <row r="345" spans="11:12" x14ac:dyDescent="0.2">
      <c r="K345" t="str">
        <f ca="1">IFERROR(MATCH(OFFSET(#REF!,ROW()-1,0,1,1),C:C,0),"")</f>
        <v/>
      </c>
      <c r="L345" t="str">
        <f ca="1">IFERROR(MATCH(OFFSET(#REF!,ROW()-1,0,1,1),C:C,1)-K345+1,"")</f>
        <v/>
      </c>
    </row>
    <row r="346" spans="11:12" x14ac:dyDescent="0.2">
      <c r="K346" t="str">
        <f ca="1">IFERROR(MATCH(OFFSET(#REF!,ROW()-1,0,1,1),C:C,0),"")</f>
        <v/>
      </c>
      <c r="L346" t="str">
        <f ca="1">IFERROR(MATCH(OFFSET(#REF!,ROW()-1,0,1,1),C:C,1)-K346+1,"")</f>
        <v/>
      </c>
    </row>
    <row r="347" spans="11:12" x14ac:dyDescent="0.2">
      <c r="K347" t="str">
        <f ca="1">IFERROR(MATCH(OFFSET(#REF!,ROW()-1,0,1,1),C:C,0),"")</f>
        <v/>
      </c>
      <c r="L347" t="str">
        <f ca="1">IFERROR(MATCH(OFFSET(#REF!,ROW()-1,0,1,1),C:C,1)-K347+1,"")</f>
        <v/>
      </c>
    </row>
    <row r="348" spans="11:12" x14ac:dyDescent="0.2">
      <c r="K348" t="str">
        <f ca="1">IFERROR(MATCH(OFFSET(#REF!,ROW()-1,0,1,1),C:C,0),"")</f>
        <v/>
      </c>
      <c r="L348" t="str">
        <f ca="1">IFERROR(MATCH(OFFSET(#REF!,ROW()-1,0,1,1),C:C,1)-K348+1,"")</f>
        <v/>
      </c>
    </row>
    <row r="349" spans="11:12" x14ac:dyDescent="0.2">
      <c r="K349" t="str">
        <f ca="1">IFERROR(MATCH(OFFSET(#REF!,ROW()-1,0,1,1),C:C,0),"")</f>
        <v/>
      </c>
      <c r="L349" t="str">
        <f ca="1">IFERROR(MATCH(OFFSET(#REF!,ROW()-1,0,1,1),C:C,1)-K349+1,"")</f>
        <v/>
      </c>
    </row>
    <row r="350" spans="11:12" x14ac:dyDescent="0.2">
      <c r="K350" t="str">
        <f ca="1">IFERROR(MATCH(OFFSET(#REF!,ROW()-1,0,1,1),C:C,0),"")</f>
        <v/>
      </c>
      <c r="L350" t="str">
        <f ca="1">IFERROR(MATCH(OFFSET(#REF!,ROW()-1,0,1,1),C:C,1)-K350+1,"")</f>
        <v/>
      </c>
    </row>
    <row r="351" spans="11:12" x14ac:dyDescent="0.2">
      <c r="K351" t="str">
        <f ca="1">IFERROR(MATCH(OFFSET(#REF!,ROW()-1,0,1,1),C:C,0),"")</f>
        <v/>
      </c>
      <c r="L351" t="str">
        <f ca="1">IFERROR(MATCH(OFFSET(#REF!,ROW()-1,0,1,1),C:C,1)-K351+1,"")</f>
        <v/>
      </c>
    </row>
    <row r="352" spans="11:12" x14ac:dyDescent="0.2">
      <c r="K352" t="str">
        <f ca="1">IFERROR(MATCH(OFFSET(#REF!,ROW()-1,0,1,1),C:C,0),"")</f>
        <v/>
      </c>
      <c r="L352" t="str">
        <f ca="1">IFERROR(MATCH(OFFSET(#REF!,ROW()-1,0,1,1),C:C,1)-K352+1,"")</f>
        <v/>
      </c>
    </row>
    <row r="353" spans="11:12" x14ac:dyDescent="0.2">
      <c r="K353" t="str">
        <f ca="1">IFERROR(MATCH(OFFSET(#REF!,ROW()-1,0,1,1),C:C,0),"")</f>
        <v/>
      </c>
      <c r="L353" t="str">
        <f ca="1">IFERROR(MATCH(OFFSET(#REF!,ROW()-1,0,1,1),C:C,1)-K353+1,"")</f>
        <v/>
      </c>
    </row>
    <row r="354" spans="11:12" x14ac:dyDescent="0.2">
      <c r="K354" t="str">
        <f ca="1">IFERROR(MATCH(OFFSET(#REF!,ROW()-1,0,1,1),C:C,0),"")</f>
        <v/>
      </c>
      <c r="L354" t="str">
        <f ca="1">IFERROR(MATCH(OFFSET(#REF!,ROW()-1,0,1,1),C:C,1)-K354+1,"")</f>
        <v/>
      </c>
    </row>
    <row r="355" spans="11:12" x14ac:dyDescent="0.2">
      <c r="K355" t="str">
        <f ca="1">IFERROR(MATCH(OFFSET(#REF!,ROW()-1,0,1,1),C:C,0),"")</f>
        <v/>
      </c>
      <c r="L355" t="str">
        <f ca="1">IFERROR(MATCH(OFFSET(#REF!,ROW()-1,0,1,1),C:C,1)-K355+1,"")</f>
        <v/>
      </c>
    </row>
    <row r="356" spans="11:12" x14ac:dyDescent="0.2">
      <c r="K356" t="str">
        <f ca="1">IFERROR(MATCH(OFFSET(#REF!,ROW()-1,0,1,1),C:C,0),"")</f>
        <v/>
      </c>
      <c r="L356" t="str">
        <f ca="1">IFERROR(MATCH(OFFSET(#REF!,ROW()-1,0,1,1),C:C,1)-K356+1,"")</f>
        <v/>
      </c>
    </row>
    <row r="357" spans="11:12" x14ac:dyDescent="0.2">
      <c r="K357" t="str">
        <f ca="1">IFERROR(MATCH(OFFSET(#REF!,ROW()-1,0,1,1),C:C,0),"")</f>
        <v/>
      </c>
      <c r="L357" t="str">
        <f ca="1">IFERROR(MATCH(OFFSET(#REF!,ROW()-1,0,1,1),C:C,1)-K357+1,"")</f>
        <v/>
      </c>
    </row>
    <row r="358" spans="11:12" x14ac:dyDescent="0.2">
      <c r="K358" t="str">
        <f ca="1">IFERROR(MATCH(OFFSET(#REF!,ROW()-1,0,1,1),C:C,0),"")</f>
        <v/>
      </c>
      <c r="L358" t="str">
        <f ca="1">IFERROR(MATCH(OFFSET(#REF!,ROW()-1,0,1,1),C:C,1)-K358+1,"")</f>
        <v/>
      </c>
    </row>
    <row r="359" spans="11:12" x14ac:dyDescent="0.2">
      <c r="K359" t="str">
        <f ca="1">IFERROR(MATCH(OFFSET(#REF!,ROW()-1,0,1,1),C:C,0),"")</f>
        <v/>
      </c>
      <c r="L359" t="str">
        <f ca="1">IFERROR(MATCH(OFFSET(#REF!,ROW()-1,0,1,1),C:C,1)-K359+1,"")</f>
        <v/>
      </c>
    </row>
    <row r="360" spans="11:12" x14ac:dyDescent="0.2">
      <c r="K360" t="str">
        <f ca="1">IFERROR(MATCH(OFFSET(#REF!,ROW()-1,0,1,1),C:C,0),"")</f>
        <v/>
      </c>
      <c r="L360" t="str">
        <f ca="1">IFERROR(MATCH(OFFSET(#REF!,ROW()-1,0,1,1),C:C,1)-K360+1,"")</f>
        <v/>
      </c>
    </row>
    <row r="361" spans="11:12" x14ac:dyDescent="0.2">
      <c r="K361" t="str">
        <f ca="1">IFERROR(MATCH(OFFSET(#REF!,ROW()-1,0,1,1),C:C,0),"")</f>
        <v/>
      </c>
      <c r="L361" t="str">
        <f ca="1">IFERROR(MATCH(OFFSET(#REF!,ROW()-1,0,1,1),C:C,1)-K361+1,"")</f>
        <v/>
      </c>
    </row>
    <row r="362" spans="11:12" x14ac:dyDescent="0.2">
      <c r="K362" t="str">
        <f ca="1">IFERROR(MATCH(OFFSET(#REF!,ROW()-1,0,1,1),C:C,0),"")</f>
        <v/>
      </c>
      <c r="L362" t="str">
        <f ca="1">IFERROR(MATCH(OFFSET(#REF!,ROW()-1,0,1,1),C:C,1)-K362+1,"")</f>
        <v/>
      </c>
    </row>
    <row r="363" spans="11:12" x14ac:dyDescent="0.2">
      <c r="K363" t="str">
        <f ca="1">IFERROR(MATCH(OFFSET(#REF!,ROW()-1,0,1,1),C:C,0),"")</f>
        <v/>
      </c>
      <c r="L363" t="str">
        <f ca="1">IFERROR(MATCH(OFFSET(#REF!,ROW()-1,0,1,1),C:C,1)-K363+1,"")</f>
        <v/>
      </c>
    </row>
    <row r="364" spans="11:12" x14ac:dyDescent="0.2">
      <c r="K364" t="str">
        <f ca="1">IFERROR(MATCH(OFFSET(#REF!,ROW()-1,0,1,1),C:C,0),"")</f>
        <v/>
      </c>
      <c r="L364" t="str">
        <f ca="1">IFERROR(MATCH(OFFSET(#REF!,ROW()-1,0,1,1),C:C,1)-K364+1,"")</f>
        <v/>
      </c>
    </row>
    <row r="365" spans="11:12" x14ac:dyDescent="0.2">
      <c r="K365" t="str">
        <f ca="1">IFERROR(MATCH(OFFSET(#REF!,ROW()-1,0,1,1),C:C,0),"")</f>
        <v/>
      </c>
      <c r="L365" t="str">
        <f ca="1">IFERROR(MATCH(OFFSET(#REF!,ROW()-1,0,1,1),C:C,1)-K365+1,"")</f>
        <v/>
      </c>
    </row>
    <row r="366" spans="11:12" x14ac:dyDescent="0.2">
      <c r="K366" t="str">
        <f ca="1">IFERROR(MATCH(OFFSET(#REF!,ROW()-1,0,1,1),C:C,0),"")</f>
        <v/>
      </c>
      <c r="L366" t="str">
        <f ca="1">IFERROR(MATCH(OFFSET(#REF!,ROW()-1,0,1,1),C:C,1)-K366+1,"")</f>
        <v/>
      </c>
    </row>
    <row r="367" spans="11:12" x14ac:dyDescent="0.2">
      <c r="K367" t="str">
        <f ca="1">IFERROR(MATCH(OFFSET(#REF!,ROW()-1,0,1,1),C:C,0),"")</f>
        <v/>
      </c>
      <c r="L367" t="str">
        <f ca="1">IFERROR(MATCH(OFFSET(#REF!,ROW()-1,0,1,1),C:C,1)-K367+1,"")</f>
        <v/>
      </c>
    </row>
    <row r="368" spans="11:12" x14ac:dyDescent="0.2">
      <c r="K368" t="str">
        <f ca="1">IFERROR(MATCH(OFFSET(#REF!,ROW()-1,0,1,1),C:C,0),"")</f>
        <v/>
      </c>
      <c r="L368" t="str">
        <f ca="1">IFERROR(MATCH(OFFSET(#REF!,ROW()-1,0,1,1),C:C,1)-K368+1,"")</f>
        <v/>
      </c>
    </row>
    <row r="369" spans="11:12" x14ac:dyDescent="0.2">
      <c r="K369" t="str">
        <f ca="1">IFERROR(MATCH(OFFSET(#REF!,ROW()-1,0,1,1),C:C,0),"")</f>
        <v/>
      </c>
      <c r="L369" t="str">
        <f ca="1">IFERROR(MATCH(OFFSET(#REF!,ROW()-1,0,1,1),C:C,1)-K369+1,"")</f>
        <v/>
      </c>
    </row>
    <row r="370" spans="11:12" x14ac:dyDescent="0.2">
      <c r="K370" t="str">
        <f ca="1">IFERROR(MATCH(OFFSET(#REF!,ROW()-1,0,1,1),C:C,0),"")</f>
        <v/>
      </c>
      <c r="L370" t="str">
        <f ca="1">IFERROR(MATCH(OFFSET(#REF!,ROW()-1,0,1,1),C:C,1)-K370+1,"")</f>
        <v/>
      </c>
    </row>
    <row r="371" spans="11:12" x14ac:dyDescent="0.2">
      <c r="K371" t="str">
        <f ca="1">IFERROR(MATCH(OFFSET(#REF!,ROW()-1,0,1,1),C:C,0),"")</f>
        <v/>
      </c>
      <c r="L371" t="str">
        <f ca="1">IFERROR(MATCH(OFFSET(#REF!,ROW()-1,0,1,1),C:C,1)-K371+1,"")</f>
        <v/>
      </c>
    </row>
    <row r="372" spans="11:12" x14ac:dyDescent="0.2">
      <c r="K372" t="str">
        <f ca="1">IFERROR(MATCH(OFFSET(#REF!,ROW()-1,0,1,1),C:C,0),"")</f>
        <v/>
      </c>
      <c r="L372" t="str">
        <f ca="1">IFERROR(MATCH(OFFSET(#REF!,ROW()-1,0,1,1),C:C,1)-K372+1,"")</f>
        <v/>
      </c>
    </row>
    <row r="373" spans="11:12" x14ac:dyDescent="0.2">
      <c r="K373" t="str">
        <f ca="1">IFERROR(MATCH(OFFSET(#REF!,ROW()-1,0,1,1),C:C,0),"")</f>
        <v/>
      </c>
      <c r="L373" t="str">
        <f ca="1">IFERROR(MATCH(OFFSET(#REF!,ROW()-1,0,1,1),C:C,1)-K373+1,"")</f>
        <v/>
      </c>
    </row>
    <row r="374" spans="11:12" x14ac:dyDescent="0.2">
      <c r="K374" t="str">
        <f ca="1">IFERROR(MATCH(OFFSET(#REF!,ROW()-1,0,1,1),C:C,0),"")</f>
        <v/>
      </c>
      <c r="L374" t="str">
        <f ca="1">IFERROR(MATCH(OFFSET(#REF!,ROW()-1,0,1,1),C:C,1)-K374+1,"")</f>
        <v/>
      </c>
    </row>
    <row r="375" spans="11:12" x14ac:dyDescent="0.2">
      <c r="K375" t="str">
        <f ca="1">IFERROR(MATCH(OFFSET(#REF!,ROW()-1,0,1,1),C:C,0),"")</f>
        <v/>
      </c>
      <c r="L375" t="str">
        <f ca="1">IFERROR(MATCH(OFFSET(#REF!,ROW()-1,0,1,1),C:C,1)-K375+1,"")</f>
        <v/>
      </c>
    </row>
    <row r="376" spans="11:12" x14ac:dyDescent="0.2">
      <c r="K376" t="str">
        <f ca="1">IFERROR(MATCH(OFFSET(#REF!,ROW()-1,0,1,1),C:C,0),"")</f>
        <v/>
      </c>
      <c r="L376" t="str">
        <f ca="1">IFERROR(MATCH(OFFSET(#REF!,ROW()-1,0,1,1),C:C,1)-K376+1,"")</f>
        <v/>
      </c>
    </row>
    <row r="377" spans="11:12" x14ac:dyDescent="0.2">
      <c r="K377" t="str">
        <f ca="1">IFERROR(MATCH(OFFSET(#REF!,ROW()-1,0,1,1),C:C,0),"")</f>
        <v/>
      </c>
      <c r="L377" t="str">
        <f ca="1">IFERROR(MATCH(OFFSET(#REF!,ROW()-1,0,1,1),C:C,1)-K377+1,"")</f>
        <v/>
      </c>
    </row>
    <row r="378" spans="11:12" x14ac:dyDescent="0.2">
      <c r="K378" t="str">
        <f ca="1">IFERROR(MATCH(OFFSET(#REF!,ROW()-1,0,1,1),C:C,0),"")</f>
        <v/>
      </c>
      <c r="L378" t="str">
        <f ca="1">IFERROR(MATCH(OFFSET(#REF!,ROW()-1,0,1,1),C:C,1)-K378+1,"")</f>
        <v/>
      </c>
    </row>
    <row r="379" spans="11:12" x14ac:dyDescent="0.2">
      <c r="K379" t="str">
        <f ca="1">IFERROR(MATCH(OFFSET(#REF!,ROW()-1,0,1,1),C:C,0),"")</f>
        <v/>
      </c>
      <c r="L379" t="str">
        <f ca="1">IFERROR(MATCH(OFFSET(#REF!,ROW()-1,0,1,1),C:C,1)-K379+1,"")</f>
        <v/>
      </c>
    </row>
    <row r="380" spans="11:12" x14ac:dyDescent="0.2">
      <c r="K380" t="str">
        <f ca="1">IFERROR(MATCH(OFFSET(#REF!,ROW()-1,0,1,1),C:C,0),"")</f>
        <v/>
      </c>
      <c r="L380" t="str">
        <f ca="1">IFERROR(MATCH(OFFSET(#REF!,ROW()-1,0,1,1),C:C,1)-K380+1,"")</f>
        <v/>
      </c>
    </row>
    <row r="381" spans="11:12" x14ac:dyDescent="0.2">
      <c r="K381" t="str">
        <f ca="1">IFERROR(MATCH(OFFSET(#REF!,ROW()-1,0,1,1),C:C,0),"")</f>
        <v/>
      </c>
      <c r="L381" t="str">
        <f ca="1">IFERROR(MATCH(OFFSET(#REF!,ROW()-1,0,1,1),C:C,1)-K381+1,"")</f>
        <v/>
      </c>
    </row>
    <row r="382" spans="11:12" x14ac:dyDescent="0.2">
      <c r="K382" t="str">
        <f ca="1">IFERROR(MATCH(OFFSET(#REF!,ROW()-1,0,1,1),C:C,0),"")</f>
        <v/>
      </c>
      <c r="L382" t="str">
        <f ca="1">IFERROR(MATCH(OFFSET(#REF!,ROW()-1,0,1,1),C:C,1)-K382+1,"")</f>
        <v/>
      </c>
    </row>
    <row r="383" spans="11:12" x14ac:dyDescent="0.2">
      <c r="K383" t="str">
        <f ca="1">IFERROR(MATCH(OFFSET(#REF!,ROW()-1,0,1,1),C:C,0),"")</f>
        <v/>
      </c>
      <c r="L383" t="str">
        <f ca="1">IFERROR(MATCH(OFFSET(#REF!,ROW()-1,0,1,1),C:C,1)-K383+1,"")</f>
        <v/>
      </c>
    </row>
    <row r="384" spans="11:12" x14ac:dyDescent="0.2">
      <c r="K384" t="str">
        <f ca="1">IFERROR(MATCH(OFFSET(#REF!,ROW()-1,0,1,1),C:C,0),"")</f>
        <v/>
      </c>
      <c r="L384" t="str">
        <f ca="1">IFERROR(MATCH(OFFSET(#REF!,ROW()-1,0,1,1),C:C,1)-K384+1,"")</f>
        <v/>
      </c>
    </row>
    <row r="385" spans="11:12" x14ac:dyDescent="0.2">
      <c r="K385" t="str">
        <f ca="1">IFERROR(MATCH(OFFSET(#REF!,ROW()-1,0,1,1),C:C,0),"")</f>
        <v/>
      </c>
      <c r="L385" t="str">
        <f ca="1">IFERROR(MATCH(OFFSET(#REF!,ROW()-1,0,1,1),C:C,1)-K385+1,"")</f>
        <v/>
      </c>
    </row>
    <row r="386" spans="11:12" x14ac:dyDescent="0.2">
      <c r="K386" t="str">
        <f ca="1">IFERROR(MATCH(OFFSET(#REF!,ROW()-1,0,1,1),C:C,0),"")</f>
        <v/>
      </c>
      <c r="L386" t="str">
        <f ca="1">IFERROR(MATCH(OFFSET(#REF!,ROW()-1,0,1,1),C:C,1)-K386+1,"")</f>
        <v/>
      </c>
    </row>
    <row r="387" spans="11:12" x14ac:dyDescent="0.2">
      <c r="K387" t="str">
        <f ca="1">IFERROR(MATCH(OFFSET(#REF!,ROW()-1,0,1,1),C:C,0),"")</f>
        <v/>
      </c>
      <c r="L387" t="str">
        <f ca="1">IFERROR(MATCH(OFFSET(#REF!,ROW()-1,0,1,1),C:C,1)-K387+1,"")</f>
        <v/>
      </c>
    </row>
    <row r="388" spans="11:12" x14ac:dyDescent="0.2">
      <c r="K388" t="str">
        <f ca="1">IFERROR(MATCH(OFFSET(#REF!,ROW()-1,0,1,1),C:C,0),"")</f>
        <v/>
      </c>
      <c r="L388" t="str">
        <f ca="1">IFERROR(MATCH(OFFSET(#REF!,ROW()-1,0,1,1),C:C,1)-K388+1,"")</f>
        <v/>
      </c>
    </row>
    <row r="389" spans="11:12" x14ac:dyDescent="0.2">
      <c r="K389" t="str">
        <f ca="1">IFERROR(MATCH(OFFSET(#REF!,ROW()-1,0,1,1),C:C,0),"")</f>
        <v/>
      </c>
      <c r="L389" t="str">
        <f ca="1">IFERROR(MATCH(OFFSET(#REF!,ROW()-1,0,1,1),C:C,1)-K389+1,"")</f>
        <v/>
      </c>
    </row>
    <row r="390" spans="11:12" x14ac:dyDescent="0.2">
      <c r="K390" t="str">
        <f ca="1">IFERROR(MATCH(OFFSET(#REF!,ROW()-1,0,1,1),C:C,0),"")</f>
        <v/>
      </c>
      <c r="L390" t="str">
        <f ca="1">IFERROR(MATCH(OFFSET(#REF!,ROW()-1,0,1,1),C:C,1)-K390+1,"")</f>
        <v/>
      </c>
    </row>
    <row r="391" spans="11:12" x14ac:dyDescent="0.2">
      <c r="K391" t="str">
        <f ca="1">IFERROR(MATCH(OFFSET(#REF!,ROW()-1,0,1,1),C:C,0),"")</f>
        <v/>
      </c>
      <c r="L391" t="str">
        <f ca="1">IFERROR(MATCH(OFFSET(#REF!,ROW()-1,0,1,1),C:C,1)-K391+1,"")</f>
        <v/>
      </c>
    </row>
    <row r="392" spans="11:12" x14ac:dyDescent="0.2">
      <c r="K392" t="str">
        <f ca="1">IFERROR(MATCH(OFFSET(#REF!,ROW()-1,0,1,1),C:C,0),"")</f>
        <v/>
      </c>
      <c r="L392" t="str">
        <f ca="1">IFERROR(MATCH(OFFSET(#REF!,ROW()-1,0,1,1),C:C,1)-K392+1,"")</f>
        <v/>
      </c>
    </row>
    <row r="393" spans="11:12" x14ac:dyDescent="0.2">
      <c r="K393" t="str">
        <f ca="1">IFERROR(MATCH(OFFSET(#REF!,ROW()-1,0,1,1),C:C,0),"")</f>
        <v/>
      </c>
      <c r="L393" t="str">
        <f ca="1">IFERROR(MATCH(OFFSET(#REF!,ROW()-1,0,1,1),C:C,1)-K393+1,"")</f>
        <v/>
      </c>
    </row>
    <row r="394" spans="11:12" x14ac:dyDescent="0.2">
      <c r="K394" t="str">
        <f ca="1">IFERROR(MATCH(OFFSET(#REF!,ROW()-1,0,1,1),C:C,0),"")</f>
        <v/>
      </c>
      <c r="L394" t="str">
        <f ca="1">IFERROR(MATCH(OFFSET(#REF!,ROW()-1,0,1,1),C:C,1)-K394+1,"")</f>
        <v/>
      </c>
    </row>
    <row r="395" spans="11:12" x14ac:dyDescent="0.2">
      <c r="K395" t="str">
        <f ca="1">IFERROR(MATCH(OFFSET(#REF!,ROW()-1,0,1,1),C:C,0),"")</f>
        <v/>
      </c>
      <c r="L395" t="str">
        <f ca="1">IFERROR(MATCH(OFFSET(#REF!,ROW()-1,0,1,1),C:C,1)-K395+1,"")</f>
        <v/>
      </c>
    </row>
    <row r="396" spans="11:12" x14ac:dyDescent="0.2">
      <c r="K396" t="str">
        <f ca="1">IFERROR(MATCH(OFFSET(#REF!,ROW()-1,0,1,1),C:C,0),"")</f>
        <v/>
      </c>
      <c r="L396" t="str">
        <f ca="1">IFERROR(MATCH(OFFSET(#REF!,ROW()-1,0,1,1),C:C,1)-K396+1,"")</f>
        <v/>
      </c>
    </row>
    <row r="397" spans="11:12" x14ac:dyDescent="0.2">
      <c r="K397" t="str">
        <f ca="1">IFERROR(MATCH(OFFSET(#REF!,ROW()-1,0,1,1),C:C,0),"")</f>
        <v/>
      </c>
      <c r="L397" t="str">
        <f ca="1">IFERROR(MATCH(OFFSET(#REF!,ROW()-1,0,1,1),C:C,1)-K397+1,"")</f>
        <v/>
      </c>
    </row>
    <row r="398" spans="11:12" x14ac:dyDescent="0.2">
      <c r="K398" t="str">
        <f ca="1">IFERROR(MATCH(OFFSET(#REF!,ROW()-1,0,1,1),C:C,0),"")</f>
        <v/>
      </c>
      <c r="L398" t="str">
        <f ca="1">IFERROR(MATCH(OFFSET(#REF!,ROW()-1,0,1,1),C:C,1)-K398+1,"")</f>
        <v/>
      </c>
    </row>
    <row r="399" spans="11:12" x14ac:dyDescent="0.2">
      <c r="K399" t="str">
        <f ca="1">IFERROR(MATCH(OFFSET(#REF!,ROW()-1,0,1,1),C:C,0),"")</f>
        <v/>
      </c>
      <c r="L399" t="str">
        <f ca="1">IFERROR(MATCH(OFFSET(#REF!,ROW()-1,0,1,1),C:C,1)-K399+1,"")</f>
        <v/>
      </c>
    </row>
    <row r="400" spans="11:12" x14ac:dyDescent="0.2">
      <c r="K400" t="str">
        <f ca="1">IFERROR(MATCH(OFFSET(#REF!,ROW()-1,0,1,1),C:C,0),"")</f>
        <v/>
      </c>
      <c r="L400" t="str">
        <f ca="1">IFERROR(MATCH(OFFSET(#REF!,ROW()-1,0,1,1),C:C,1)-K400+1,"")</f>
        <v/>
      </c>
    </row>
    <row r="401" spans="11:12" x14ac:dyDescent="0.2">
      <c r="K401" t="str">
        <f ca="1">IFERROR(MATCH(OFFSET(#REF!,ROW()-1,0,1,1),C:C,0),"")</f>
        <v/>
      </c>
      <c r="L401" t="str">
        <f ca="1">IFERROR(MATCH(OFFSET(#REF!,ROW()-1,0,1,1),C:C,1)-K401+1,"")</f>
        <v/>
      </c>
    </row>
    <row r="402" spans="11:12" x14ac:dyDescent="0.2">
      <c r="K402" t="str">
        <f ca="1">IFERROR(MATCH(OFFSET(#REF!,ROW()-1,0,1,1),C:C,0),"")</f>
        <v/>
      </c>
      <c r="L402" t="str">
        <f ca="1">IFERROR(MATCH(OFFSET(#REF!,ROW()-1,0,1,1),C:C,1)-K402+1,"")</f>
        <v/>
      </c>
    </row>
    <row r="403" spans="11:12" x14ac:dyDescent="0.2">
      <c r="K403" t="str">
        <f ca="1">IFERROR(MATCH(OFFSET(#REF!,ROW()-1,0,1,1),C:C,0),"")</f>
        <v/>
      </c>
      <c r="L403" t="str">
        <f ca="1">IFERROR(MATCH(OFFSET(#REF!,ROW()-1,0,1,1),C:C,1)-K403+1,"")</f>
        <v/>
      </c>
    </row>
    <row r="404" spans="11:12" x14ac:dyDescent="0.2">
      <c r="K404" t="str">
        <f ca="1">IFERROR(MATCH(OFFSET(#REF!,ROW()-1,0,1,1),C:C,0),"")</f>
        <v/>
      </c>
      <c r="L404" t="str">
        <f ca="1">IFERROR(MATCH(OFFSET(#REF!,ROW()-1,0,1,1),C:C,1)-K404+1,"")</f>
        <v/>
      </c>
    </row>
    <row r="405" spans="11:12" x14ac:dyDescent="0.2">
      <c r="K405" t="str">
        <f ca="1">IFERROR(MATCH(OFFSET(#REF!,ROW()-1,0,1,1),C:C,0),"")</f>
        <v/>
      </c>
      <c r="L405" t="str">
        <f ca="1">IFERROR(MATCH(OFFSET(#REF!,ROW()-1,0,1,1),C:C,1)-K405+1,"")</f>
        <v/>
      </c>
    </row>
    <row r="406" spans="11:12" x14ac:dyDescent="0.2">
      <c r="K406" t="str">
        <f ca="1">IFERROR(MATCH(OFFSET(#REF!,ROW()-1,0,1,1),C:C,0),"")</f>
        <v/>
      </c>
      <c r="L406" t="str">
        <f ca="1">IFERROR(MATCH(OFFSET(#REF!,ROW()-1,0,1,1),C:C,1)-K406+1,"")</f>
        <v/>
      </c>
    </row>
    <row r="407" spans="11:12" x14ac:dyDescent="0.2">
      <c r="K407" t="str">
        <f ca="1">IFERROR(MATCH(OFFSET(#REF!,ROW()-1,0,1,1),C:C,0),"")</f>
        <v/>
      </c>
      <c r="L407" t="str">
        <f ca="1">IFERROR(MATCH(OFFSET(#REF!,ROW()-1,0,1,1),C:C,1)-K407+1,"")</f>
        <v/>
      </c>
    </row>
    <row r="408" spans="11:12" x14ac:dyDescent="0.2">
      <c r="K408" t="str">
        <f ca="1">IFERROR(MATCH(OFFSET(#REF!,ROW()-1,0,1,1),C:C,0),"")</f>
        <v/>
      </c>
      <c r="L408" t="str">
        <f ca="1">IFERROR(MATCH(OFFSET(#REF!,ROW()-1,0,1,1),C:C,1)-K408+1,"")</f>
        <v/>
      </c>
    </row>
    <row r="409" spans="11:12" x14ac:dyDescent="0.2">
      <c r="K409" t="str">
        <f ca="1">IFERROR(MATCH(OFFSET(#REF!,ROW()-1,0,1,1),C:C,0),"")</f>
        <v/>
      </c>
      <c r="L409" t="str">
        <f ca="1">IFERROR(MATCH(OFFSET(#REF!,ROW()-1,0,1,1),C:C,1)-K409+1,"")</f>
        <v/>
      </c>
    </row>
    <row r="410" spans="11:12" x14ac:dyDescent="0.2">
      <c r="K410" t="str">
        <f ca="1">IFERROR(MATCH(OFFSET(#REF!,ROW()-1,0,1,1),C:C,0),"")</f>
        <v/>
      </c>
      <c r="L410" t="str">
        <f ca="1">IFERROR(MATCH(OFFSET(#REF!,ROW()-1,0,1,1),C:C,1)-K410+1,"")</f>
        <v/>
      </c>
    </row>
    <row r="411" spans="11:12" x14ac:dyDescent="0.2">
      <c r="K411" t="str">
        <f ca="1">IFERROR(MATCH(OFFSET(#REF!,ROW()-1,0,1,1),C:C,0),"")</f>
        <v/>
      </c>
      <c r="L411" t="str">
        <f ca="1">IFERROR(MATCH(OFFSET(#REF!,ROW()-1,0,1,1),C:C,1)-K411+1,"")</f>
        <v/>
      </c>
    </row>
    <row r="412" spans="11:12" x14ac:dyDescent="0.2">
      <c r="K412" t="str">
        <f ca="1">IFERROR(MATCH(OFFSET(#REF!,ROW()-1,0,1,1),C:C,0),"")</f>
        <v/>
      </c>
      <c r="L412" t="str">
        <f ca="1">IFERROR(MATCH(OFFSET(#REF!,ROW()-1,0,1,1),C:C,1)-K412+1,"")</f>
        <v/>
      </c>
    </row>
    <row r="413" spans="11:12" x14ac:dyDescent="0.2">
      <c r="K413" t="str">
        <f ca="1">IFERROR(MATCH(OFFSET(#REF!,ROW()-1,0,1,1),C:C,0),"")</f>
        <v/>
      </c>
      <c r="L413" t="str">
        <f ca="1">IFERROR(MATCH(OFFSET(#REF!,ROW()-1,0,1,1),C:C,1)-K413+1,"")</f>
        <v/>
      </c>
    </row>
    <row r="414" spans="11:12" x14ac:dyDescent="0.2">
      <c r="K414" t="str">
        <f ca="1">IFERROR(MATCH(OFFSET(#REF!,ROW()-1,0,1,1),C:C,0),"")</f>
        <v/>
      </c>
      <c r="L414" t="str">
        <f ca="1">IFERROR(MATCH(OFFSET(#REF!,ROW()-1,0,1,1),C:C,1)-K414+1,"")</f>
        <v/>
      </c>
    </row>
    <row r="415" spans="11:12" x14ac:dyDescent="0.2">
      <c r="K415" t="str">
        <f ca="1">IFERROR(MATCH(OFFSET(#REF!,ROW()-1,0,1,1),C:C,0),"")</f>
        <v/>
      </c>
      <c r="L415" t="str">
        <f ca="1">IFERROR(MATCH(OFFSET(#REF!,ROW()-1,0,1,1),C:C,1)-K415+1,"")</f>
        <v/>
      </c>
    </row>
    <row r="416" spans="11:12" x14ac:dyDescent="0.2">
      <c r="K416" t="str">
        <f ca="1">IFERROR(MATCH(OFFSET(#REF!,ROW()-1,0,1,1),C:C,0),"")</f>
        <v/>
      </c>
      <c r="L416" t="str">
        <f ca="1">IFERROR(MATCH(OFFSET(#REF!,ROW()-1,0,1,1),C:C,1)-K416+1,"")</f>
        <v/>
      </c>
    </row>
    <row r="417" spans="11:12" x14ac:dyDescent="0.2">
      <c r="K417" t="str">
        <f ca="1">IFERROR(MATCH(OFFSET(#REF!,ROW()-1,0,1,1),C:C,0),"")</f>
        <v/>
      </c>
      <c r="L417" t="str">
        <f ca="1">IFERROR(MATCH(OFFSET(#REF!,ROW()-1,0,1,1),C:C,1)-K417+1,"")</f>
        <v/>
      </c>
    </row>
    <row r="418" spans="11:12" x14ac:dyDescent="0.2">
      <c r="K418" t="str">
        <f ca="1">IFERROR(MATCH(OFFSET(#REF!,ROW()-1,0,1,1),C:C,0),"")</f>
        <v/>
      </c>
      <c r="L418" t="str">
        <f ca="1">IFERROR(MATCH(OFFSET(#REF!,ROW()-1,0,1,1),C:C,1)-K418+1,"")</f>
        <v/>
      </c>
    </row>
    <row r="419" spans="11:12" x14ac:dyDescent="0.2">
      <c r="K419" t="str">
        <f ca="1">IFERROR(MATCH(OFFSET(#REF!,ROW()-1,0,1,1),C:C,0),"")</f>
        <v/>
      </c>
      <c r="L419" t="str">
        <f ca="1">IFERROR(MATCH(OFFSET(#REF!,ROW()-1,0,1,1),C:C,1)-K419+1,"")</f>
        <v/>
      </c>
    </row>
    <row r="420" spans="11:12" x14ac:dyDescent="0.2">
      <c r="K420" t="str">
        <f ca="1">IFERROR(MATCH(OFFSET(#REF!,ROW()-1,0,1,1),C:C,0),"")</f>
        <v/>
      </c>
      <c r="L420" t="str">
        <f ca="1">IFERROR(MATCH(OFFSET(#REF!,ROW()-1,0,1,1),C:C,1)-K420+1,"")</f>
        <v/>
      </c>
    </row>
    <row r="421" spans="11:12" x14ac:dyDescent="0.2">
      <c r="K421" t="str">
        <f ca="1">IFERROR(MATCH(OFFSET(#REF!,ROW()-1,0,1,1),C:C,0),"")</f>
        <v/>
      </c>
      <c r="L421" t="str">
        <f ca="1">IFERROR(MATCH(OFFSET(#REF!,ROW()-1,0,1,1),C:C,1)-K421+1,"")</f>
        <v/>
      </c>
    </row>
    <row r="422" spans="11:12" x14ac:dyDescent="0.2">
      <c r="K422" t="str">
        <f ca="1">IFERROR(MATCH(OFFSET(#REF!,ROW()-1,0,1,1),C:C,0),"")</f>
        <v/>
      </c>
      <c r="L422" t="str">
        <f ca="1">IFERROR(MATCH(OFFSET(#REF!,ROW()-1,0,1,1),C:C,1)-K422+1,"")</f>
        <v/>
      </c>
    </row>
    <row r="423" spans="11:12" x14ac:dyDescent="0.2">
      <c r="K423" t="str">
        <f ca="1">IFERROR(MATCH(OFFSET(#REF!,ROW()-1,0,1,1),C:C,0),"")</f>
        <v/>
      </c>
      <c r="L423" t="str">
        <f ca="1">IFERROR(MATCH(OFFSET(#REF!,ROW()-1,0,1,1),C:C,1)-K423+1,"")</f>
        <v/>
      </c>
    </row>
    <row r="424" spans="11:12" x14ac:dyDescent="0.2">
      <c r="K424" t="str">
        <f ca="1">IFERROR(MATCH(OFFSET(#REF!,ROW()-1,0,1,1),C:C,0),"")</f>
        <v/>
      </c>
      <c r="L424" t="str">
        <f ca="1">IFERROR(MATCH(OFFSET(#REF!,ROW()-1,0,1,1),C:C,1)-K424+1,"")</f>
        <v/>
      </c>
    </row>
    <row r="425" spans="11:12" x14ac:dyDescent="0.2">
      <c r="K425" t="str">
        <f ca="1">IFERROR(MATCH(OFFSET(#REF!,ROW()-1,0,1,1),C:C,0),"")</f>
        <v/>
      </c>
      <c r="L425" t="str">
        <f ca="1">IFERROR(MATCH(OFFSET(#REF!,ROW()-1,0,1,1),C:C,1)-K425+1,"")</f>
        <v/>
      </c>
    </row>
    <row r="426" spans="11:12" x14ac:dyDescent="0.2">
      <c r="K426" t="str">
        <f ca="1">IFERROR(MATCH(OFFSET(#REF!,ROW()-1,0,1,1),C:C,0),"")</f>
        <v/>
      </c>
      <c r="L426" t="str">
        <f ca="1">IFERROR(MATCH(OFFSET(#REF!,ROW()-1,0,1,1),C:C,1)-K426+1,"")</f>
        <v/>
      </c>
    </row>
    <row r="427" spans="11:12" x14ac:dyDescent="0.2">
      <c r="K427" t="str">
        <f ca="1">IFERROR(MATCH(OFFSET(#REF!,ROW()-1,0,1,1),C:C,0),"")</f>
        <v/>
      </c>
      <c r="L427" t="str">
        <f ca="1">IFERROR(MATCH(OFFSET(#REF!,ROW()-1,0,1,1),C:C,1)-K427+1,"")</f>
        <v/>
      </c>
    </row>
    <row r="428" spans="11:12" x14ac:dyDescent="0.2">
      <c r="K428" t="str">
        <f ca="1">IFERROR(MATCH(OFFSET(#REF!,ROW()-1,0,1,1),C:C,0),"")</f>
        <v/>
      </c>
      <c r="L428" t="str">
        <f ca="1">IFERROR(MATCH(OFFSET(#REF!,ROW()-1,0,1,1),C:C,1)-K428+1,"")</f>
        <v/>
      </c>
    </row>
    <row r="429" spans="11:12" x14ac:dyDescent="0.2">
      <c r="K429" t="str">
        <f ca="1">IFERROR(MATCH(OFFSET(#REF!,ROW()-1,0,1,1),C:C,0),"")</f>
        <v/>
      </c>
      <c r="L429" t="str">
        <f ca="1">IFERROR(MATCH(OFFSET(#REF!,ROW()-1,0,1,1),C:C,1)-K429+1,"")</f>
        <v/>
      </c>
    </row>
    <row r="430" spans="11:12" x14ac:dyDescent="0.2">
      <c r="K430" t="str">
        <f ca="1">IFERROR(MATCH(OFFSET(#REF!,ROW()-1,0,1,1),C:C,0),"")</f>
        <v/>
      </c>
      <c r="L430" t="str">
        <f ca="1">IFERROR(MATCH(OFFSET(#REF!,ROW()-1,0,1,1),C:C,1)-K430+1,"")</f>
        <v/>
      </c>
    </row>
    <row r="431" spans="11:12" x14ac:dyDescent="0.2">
      <c r="K431" t="str">
        <f ca="1">IFERROR(MATCH(OFFSET(#REF!,ROW()-1,0,1,1),C:C,0),"")</f>
        <v/>
      </c>
      <c r="L431" t="str">
        <f ca="1">IFERROR(MATCH(OFFSET(#REF!,ROW()-1,0,1,1),C:C,1)-K431+1,"")</f>
        <v/>
      </c>
    </row>
    <row r="432" spans="11:12" x14ac:dyDescent="0.2">
      <c r="K432" t="str">
        <f ca="1">IFERROR(MATCH(OFFSET(#REF!,ROW()-1,0,1,1),C:C,0),"")</f>
        <v/>
      </c>
      <c r="L432" t="str">
        <f ca="1">IFERROR(MATCH(OFFSET(#REF!,ROW()-1,0,1,1),C:C,1)-K432+1,"")</f>
        <v/>
      </c>
    </row>
    <row r="433" spans="11:12" x14ac:dyDescent="0.2">
      <c r="K433" t="str">
        <f ca="1">IFERROR(MATCH(OFFSET(#REF!,ROW()-1,0,1,1),C:C,0),"")</f>
        <v/>
      </c>
      <c r="L433" t="str">
        <f ca="1">IFERROR(MATCH(OFFSET(#REF!,ROW()-1,0,1,1),C:C,1)-K433+1,"")</f>
        <v/>
      </c>
    </row>
    <row r="434" spans="11:12" x14ac:dyDescent="0.2">
      <c r="K434" t="str">
        <f ca="1">IFERROR(MATCH(OFFSET(#REF!,ROW()-1,0,1,1),C:C,0),"")</f>
        <v/>
      </c>
      <c r="L434" t="str">
        <f ca="1">IFERROR(MATCH(OFFSET(#REF!,ROW()-1,0,1,1),C:C,1)-K434+1,"")</f>
        <v/>
      </c>
    </row>
    <row r="435" spans="11:12" x14ac:dyDescent="0.2">
      <c r="K435" t="str">
        <f ca="1">IFERROR(MATCH(OFFSET(#REF!,ROW()-1,0,1,1),C:C,0),"")</f>
        <v/>
      </c>
      <c r="L435" t="str">
        <f ca="1">IFERROR(MATCH(OFFSET(#REF!,ROW()-1,0,1,1),C:C,1)-K435+1,"")</f>
        <v/>
      </c>
    </row>
    <row r="436" spans="11:12" x14ac:dyDescent="0.2">
      <c r="K436" t="str">
        <f ca="1">IFERROR(MATCH(OFFSET(#REF!,ROW()-1,0,1,1),C:C,0),"")</f>
        <v/>
      </c>
      <c r="L436" t="str">
        <f ca="1">IFERROR(MATCH(OFFSET(#REF!,ROW()-1,0,1,1),C:C,1)-K436+1,"")</f>
        <v/>
      </c>
    </row>
    <row r="437" spans="11:12" x14ac:dyDescent="0.2">
      <c r="K437" t="str">
        <f ca="1">IFERROR(MATCH(OFFSET(#REF!,ROW()-1,0,1,1),C:C,0),"")</f>
        <v/>
      </c>
      <c r="L437" t="str">
        <f ca="1">IFERROR(MATCH(OFFSET(#REF!,ROW()-1,0,1,1),C:C,1)-K437+1,"")</f>
        <v/>
      </c>
    </row>
    <row r="438" spans="11:12" x14ac:dyDescent="0.2">
      <c r="K438" t="str">
        <f ca="1">IFERROR(MATCH(OFFSET(#REF!,ROW()-1,0,1,1),C:C,0),"")</f>
        <v/>
      </c>
      <c r="L438" t="str">
        <f ca="1">IFERROR(MATCH(OFFSET(#REF!,ROW()-1,0,1,1),C:C,1)-K438+1,"")</f>
        <v/>
      </c>
    </row>
    <row r="439" spans="11:12" x14ac:dyDescent="0.2">
      <c r="K439" t="str">
        <f ca="1">IFERROR(MATCH(OFFSET(#REF!,ROW()-1,0,1,1),C:C,0),"")</f>
        <v/>
      </c>
      <c r="L439" t="str">
        <f ca="1">IFERROR(MATCH(OFFSET(#REF!,ROW()-1,0,1,1),C:C,1)-K439+1,"")</f>
        <v/>
      </c>
    </row>
    <row r="440" spans="11:12" x14ac:dyDescent="0.2">
      <c r="K440" t="str">
        <f ca="1">IFERROR(MATCH(OFFSET(#REF!,ROW()-1,0,1,1),C:C,0),"")</f>
        <v/>
      </c>
      <c r="L440" t="str">
        <f ca="1">IFERROR(MATCH(OFFSET(#REF!,ROW()-1,0,1,1),C:C,1)-K440+1,"")</f>
        <v/>
      </c>
    </row>
    <row r="441" spans="11:12" x14ac:dyDescent="0.2">
      <c r="K441" t="str">
        <f ca="1">IFERROR(MATCH(OFFSET(#REF!,ROW()-1,0,1,1),C:C,0),"")</f>
        <v/>
      </c>
      <c r="L441" t="str">
        <f ca="1">IFERROR(MATCH(OFFSET(#REF!,ROW()-1,0,1,1),C:C,1)-K441+1,"")</f>
        <v/>
      </c>
    </row>
    <row r="442" spans="11:12" x14ac:dyDescent="0.2">
      <c r="K442" t="str">
        <f ca="1">IFERROR(MATCH(OFFSET(#REF!,ROW()-1,0,1,1),C:C,0),"")</f>
        <v/>
      </c>
      <c r="L442" t="str">
        <f ca="1">IFERROR(MATCH(OFFSET(#REF!,ROW()-1,0,1,1),C:C,1)-K442+1,"")</f>
        <v/>
      </c>
    </row>
    <row r="443" spans="11:12" x14ac:dyDescent="0.2">
      <c r="K443" t="str">
        <f ca="1">IFERROR(MATCH(OFFSET(#REF!,ROW()-1,0,1,1),C:C,0),"")</f>
        <v/>
      </c>
      <c r="L443" t="str">
        <f ca="1">IFERROR(MATCH(OFFSET(#REF!,ROW()-1,0,1,1),C:C,1)-K443+1,"")</f>
        <v/>
      </c>
    </row>
    <row r="444" spans="11:12" x14ac:dyDescent="0.2">
      <c r="K444" t="str">
        <f ca="1">IFERROR(MATCH(OFFSET(#REF!,ROW()-1,0,1,1),C:C,0),"")</f>
        <v/>
      </c>
      <c r="L444" t="str">
        <f ca="1">IFERROR(MATCH(OFFSET(#REF!,ROW()-1,0,1,1),C:C,1)-K444+1,"")</f>
        <v/>
      </c>
    </row>
    <row r="445" spans="11:12" x14ac:dyDescent="0.2">
      <c r="K445" t="str">
        <f ca="1">IFERROR(MATCH(OFFSET(#REF!,ROW()-1,0,1,1),C:C,0),"")</f>
        <v/>
      </c>
      <c r="L445" t="str">
        <f ca="1">IFERROR(MATCH(OFFSET(#REF!,ROW()-1,0,1,1),C:C,1)-K445+1,"")</f>
        <v/>
      </c>
    </row>
    <row r="446" spans="11:12" x14ac:dyDescent="0.2">
      <c r="K446" t="str">
        <f ca="1">IFERROR(MATCH(OFFSET(#REF!,ROW()-1,0,1,1),C:C,0),"")</f>
        <v/>
      </c>
      <c r="L446" t="str">
        <f ca="1">IFERROR(MATCH(OFFSET(#REF!,ROW()-1,0,1,1),C:C,1)-K446+1,"")</f>
        <v/>
      </c>
    </row>
    <row r="447" spans="11:12" x14ac:dyDescent="0.2">
      <c r="K447" t="str">
        <f ca="1">IFERROR(MATCH(OFFSET(#REF!,ROW()-1,0,1,1),C:C,0),"")</f>
        <v/>
      </c>
      <c r="L447" t="str">
        <f ca="1">IFERROR(MATCH(OFFSET(#REF!,ROW()-1,0,1,1),C:C,1)-K447+1,"")</f>
        <v/>
      </c>
    </row>
    <row r="448" spans="11:12" x14ac:dyDescent="0.2">
      <c r="K448" t="str">
        <f ca="1">IFERROR(MATCH(OFFSET(#REF!,ROW()-1,0,1,1),C:C,0),"")</f>
        <v/>
      </c>
      <c r="L448" t="str">
        <f ca="1">IFERROR(MATCH(OFFSET(#REF!,ROW()-1,0,1,1),C:C,1)-K448+1,"")</f>
        <v/>
      </c>
    </row>
    <row r="449" spans="11:12" x14ac:dyDescent="0.2">
      <c r="K449" t="str">
        <f ca="1">IFERROR(MATCH(OFFSET(#REF!,ROW()-1,0,1,1),C:C,0),"")</f>
        <v/>
      </c>
      <c r="L449" t="str">
        <f ca="1">IFERROR(MATCH(OFFSET(#REF!,ROW()-1,0,1,1),C:C,1)-K449+1,"")</f>
        <v/>
      </c>
    </row>
    <row r="450" spans="11:12" x14ac:dyDescent="0.2">
      <c r="K450" t="str">
        <f ca="1">IFERROR(MATCH(OFFSET(#REF!,ROW()-1,0,1,1),C:C,0),"")</f>
        <v/>
      </c>
      <c r="L450" t="str">
        <f ca="1">IFERROR(MATCH(OFFSET(#REF!,ROW()-1,0,1,1),C:C,1)-K450+1,"")</f>
        <v/>
      </c>
    </row>
    <row r="451" spans="11:12" x14ac:dyDescent="0.2">
      <c r="K451" t="str">
        <f ca="1">IFERROR(MATCH(OFFSET(#REF!,ROW()-1,0,1,1),C:C,0),"")</f>
        <v/>
      </c>
      <c r="L451" t="str">
        <f ca="1">IFERROR(MATCH(OFFSET(#REF!,ROW()-1,0,1,1),C:C,1)-K451+1,"")</f>
        <v/>
      </c>
    </row>
    <row r="452" spans="11:12" x14ac:dyDescent="0.2">
      <c r="K452" t="str">
        <f ca="1">IFERROR(MATCH(OFFSET(#REF!,ROW()-1,0,1,1),C:C,0),"")</f>
        <v/>
      </c>
      <c r="L452" t="str">
        <f ca="1">IFERROR(MATCH(OFFSET(#REF!,ROW()-1,0,1,1),C:C,1)-K452+1,"")</f>
        <v/>
      </c>
    </row>
    <row r="453" spans="11:12" x14ac:dyDescent="0.2">
      <c r="K453" t="str">
        <f ca="1">IFERROR(MATCH(OFFSET(#REF!,ROW()-1,0,1,1),C:C,0),"")</f>
        <v/>
      </c>
      <c r="L453" t="str">
        <f ca="1">IFERROR(MATCH(OFFSET(#REF!,ROW()-1,0,1,1),C:C,1)-K453+1,"")</f>
        <v/>
      </c>
    </row>
    <row r="454" spans="11:12" x14ac:dyDescent="0.2">
      <c r="K454" t="str">
        <f ca="1">IFERROR(MATCH(OFFSET(#REF!,ROW()-1,0,1,1),C:C,0),"")</f>
        <v/>
      </c>
      <c r="L454" t="str">
        <f ca="1">IFERROR(MATCH(OFFSET(#REF!,ROW()-1,0,1,1),C:C,1)-K454+1,"")</f>
        <v/>
      </c>
    </row>
    <row r="455" spans="11:12" x14ac:dyDescent="0.2">
      <c r="K455" t="str">
        <f ca="1">IFERROR(MATCH(OFFSET(#REF!,ROW()-1,0,1,1),C:C,0),"")</f>
        <v/>
      </c>
      <c r="L455" t="str">
        <f ca="1">IFERROR(MATCH(OFFSET(#REF!,ROW()-1,0,1,1),C:C,1)-K455+1,"")</f>
        <v/>
      </c>
    </row>
    <row r="456" spans="11:12" x14ac:dyDescent="0.2">
      <c r="K456" t="str">
        <f ca="1">IFERROR(MATCH(OFFSET(#REF!,ROW()-1,0,1,1),C:C,0),"")</f>
        <v/>
      </c>
      <c r="L456" t="str">
        <f ca="1">IFERROR(MATCH(OFFSET(#REF!,ROW()-1,0,1,1),C:C,1)-K456+1,"")</f>
        <v/>
      </c>
    </row>
    <row r="457" spans="11:12" x14ac:dyDescent="0.2">
      <c r="K457" t="str">
        <f ca="1">IFERROR(MATCH(OFFSET(#REF!,ROW()-1,0,1,1),C:C,0),"")</f>
        <v/>
      </c>
      <c r="L457" t="str">
        <f ca="1">IFERROR(MATCH(OFFSET(#REF!,ROW()-1,0,1,1),C:C,1)-K457+1,"")</f>
        <v/>
      </c>
    </row>
    <row r="458" spans="11:12" x14ac:dyDescent="0.2">
      <c r="K458" t="str">
        <f ca="1">IFERROR(MATCH(OFFSET(#REF!,ROW()-1,0,1,1),C:C,0),"")</f>
        <v/>
      </c>
      <c r="L458" t="str">
        <f ca="1">IFERROR(MATCH(OFFSET(#REF!,ROW()-1,0,1,1),C:C,1)-K458+1,"")</f>
        <v/>
      </c>
    </row>
    <row r="459" spans="11:12" x14ac:dyDescent="0.2">
      <c r="K459" t="str">
        <f ca="1">IFERROR(MATCH(OFFSET(#REF!,ROW()-1,0,1,1),C:C,0),"")</f>
        <v/>
      </c>
      <c r="L459" t="str">
        <f ca="1">IFERROR(MATCH(OFFSET(#REF!,ROW()-1,0,1,1),C:C,1)-K459+1,"")</f>
        <v/>
      </c>
    </row>
    <row r="460" spans="11:12" x14ac:dyDescent="0.2">
      <c r="K460" t="str">
        <f ca="1">IFERROR(MATCH(OFFSET(#REF!,ROW()-1,0,1,1),C:C,0),"")</f>
        <v/>
      </c>
      <c r="L460" t="str">
        <f ca="1">IFERROR(MATCH(OFFSET(#REF!,ROW()-1,0,1,1),C:C,1)-K460+1,"")</f>
        <v/>
      </c>
    </row>
    <row r="461" spans="11:12" x14ac:dyDescent="0.2">
      <c r="K461" t="str">
        <f ca="1">IFERROR(MATCH(OFFSET(#REF!,ROW()-1,0,1,1),C:C,0),"")</f>
        <v/>
      </c>
      <c r="L461" t="str">
        <f ca="1">IFERROR(MATCH(OFFSET(#REF!,ROW()-1,0,1,1),C:C,1)-K461+1,"")</f>
        <v/>
      </c>
    </row>
    <row r="462" spans="11:12" x14ac:dyDescent="0.2">
      <c r="K462" t="str">
        <f ca="1">IFERROR(MATCH(OFFSET(#REF!,ROW()-1,0,1,1),C:C,0),"")</f>
        <v/>
      </c>
      <c r="L462" t="str">
        <f ca="1">IFERROR(MATCH(OFFSET(#REF!,ROW()-1,0,1,1),C:C,1)-K462+1,"")</f>
        <v/>
      </c>
    </row>
    <row r="463" spans="11:12" x14ac:dyDescent="0.2">
      <c r="K463" t="str">
        <f ca="1">IFERROR(MATCH(OFFSET(#REF!,ROW()-1,0,1,1),C:C,0),"")</f>
        <v/>
      </c>
      <c r="L463" t="str">
        <f ca="1">IFERROR(MATCH(OFFSET(#REF!,ROW()-1,0,1,1),C:C,1)-K463+1,"")</f>
        <v/>
      </c>
    </row>
    <row r="464" spans="11:12" x14ac:dyDescent="0.2">
      <c r="K464" t="str">
        <f ca="1">IFERROR(MATCH(OFFSET(#REF!,ROW()-1,0,1,1),C:C,0),"")</f>
        <v/>
      </c>
      <c r="L464" t="str">
        <f ca="1">IFERROR(MATCH(OFFSET(#REF!,ROW()-1,0,1,1),C:C,1)-K464+1,"")</f>
        <v/>
      </c>
    </row>
    <row r="465" spans="11:12" x14ac:dyDescent="0.2">
      <c r="K465" t="str">
        <f ca="1">IFERROR(MATCH(OFFSET(#REF!,ROW()-1,0,1,1),C:C,0),"")</f>
        <v/>
      </c>
      <c r="L465" t="str">
        <f ca="1">IFERROR(MATCH(OFFSET(#REF!,ROW()-1,0,1,1),C:C,1)-K465+1,"")</f>
        <v/>
      </c>
    </row>
    <row r="466" spans="11:12" x14ac:dyDescent="0.2">
      <c r="K466" t="str">
        <f ca="1">IFERROR(MATCH(OFFSET(#REF!,ROW()-1,0,1,1),C:C,0),"")</f>
        <v/>
      </c>
      <c r="L466" t="str">
        <f ca="1">IFERROR(MATCH(OFFSET(#REF!,ROW()-1,0,1,1),C:C,1)-K466+1,"")</f>
        <v/>
      </c>
    </row>
    <row r="467" spans="11:12" x14ac:dyDescent="0.2">
      <c r="K467" t="str">
        <f ca="1">IFERROR(MATCH(OFFSET(#REF!,ROW()-1,0,1,1),C:C,0),"")</f>
        <v/>
      </c>
      <c r="L467" t="str">
        <f ca="1">IFERROR(MATCH(OFFSET(#REF!,ROW()-1,0,1,1),C:C,1)-K467+1,"")</f>
        <v/>
      </c>
    </row>
    <row r="468" spans="11:12" x14ac:dyDescent="0.2">
      <c r="K468" t="str">
        <f ca="1">IFERROR(MATCH(OFFSET(#REF!,ROW()-1,0,1,1),C:C,0),"")</f>
        <v/>
      </c>
      <c r="L468" t="str">
        <f ca="1">IFERROR(MATCH(OFFSET(#REF!,ROW()-1,0,1,1),C:C,1)-K468+1,"")</f>
        <v/>
      </c>
    </row>
    <row r="469" spans="11:12" x14ac:dyDescent="0.2">
      <c r="K469" t="str">
        <f ca="1">IFERROR(MATCH(OFFSET(#REF!,ROW()-1,0,1,1),C:C,0),"")</f>
        <v/>
      </c>
      <c r="L469" t="str">
        <f ca="1">IFERROR(MATCH(OFFSET(#REF!,ROW()-1,0,1,1),C:C,1)-K469+1,"")</f>
        <v/>
      </c>
    </row>
    <row r="470" spans="11:12" x14ac:dyDescent="0.2">
      <c r="K470" t="str">
        <f ca="1">IFERROR(MATCH(OFFSET(#REF!,ROW()-1,0,1,1),C:C,0),"")</f>
        <v/>
      </c>
      <c r="L470" t="str">
        <f ca="1">IFERROR(MATCH(OFFSET(#REF!,ROW()-1,0,1,1),C:C,1)-K470+1,"")</f>
        <v/>
      </c>
    </row>
    <row r="471" spans="11:12" x14ac:dyDescent="0.2">
      <c r="K471" t="str">
        <f ca="1">IFERROR(MATCH(OFFSET(#REF!,ROW()-1,0,1,1),C:C,0),"")</f>
        <v/>
      </c>
      <c r="L471" t="str">
        <f ca="1">IFERROR(MATCH(OFFSET(#REF!,ROW()-1,0,1,1),C:C,1)-K471+1,"")</f>
        <v/>
      </c>
    </row>
    <row r="472" spans="11:12" x14ac:dyDescent="0.2">
      <c r="K472" t="str">
        <f ca="1">IFERROR(MATCH(OFFSET(#REF!,ROW()-1,0,1,1),C:C,0),"")</f>
        <v/>
      </c>
      <c r="L472" t="str">
        <f ca="1">IFERROR(MATCH(OFFSET(#REF!,ROW()-1,0,1,1),C:C,1)-K472+1,"")</f>
        <v/>
      </c>
    </row>
    <row r="473" spans="11:12" x14ac:dyDescent="0.2">
      <c r="K473" t="str">
        <f ca="1">IFERROR(MATCH(OFFSET(#REF!,ROW()-1,0,1,1),C:C,0),"")</f>
        <v/>
      </c>
      <c r="L473" t="str">
        <f ca="1">IFERROR(MATCH(OFFSET(#REF!,ROW()-1,0,1,1),C:C,1)-K473+1,"")</f>
        <v/>
      </c>
    </row>
    <row r="474" spans="11:12" x14ac:dyDescent="0.2">
      <c r="K474" t="str">
        <f ca="1">IFERROR(MATCH(OFFSET(#REF!,ROW()-1,0,1,1),C:C,0),"")</f>
        <v/>
      </c>
      <c r="L474" t="str">
        <f ca="1">IFERROR(MATCH(OFFSET(#REF!,ROW()-1,0,1,1),C:C,1)-K474+1,"")</f>
        <v/>
      </c>
    </row>
    <row r="475" spans="11:12" x14ac:dyDescent="0.2">
      <c r="K475" t="str">
        <f ca="1">IFERROR(MATCH(OFFSET(#REF!,ROW()-1,0,1,1),C:C,0),"")</f>
        <v/>
      </c>
      <c r="L475" t="str">
        <f ca="1">IFERROR(MATCH(OFFSET(#REF!,ROW()-1,0,1,1),C:C,1)-K475+1,"")</f>
        <v/>
      </c>
    </row>
    <row r="476" spans="11:12" x14ac:dyDescent="0.2">
      <c r="K476" t="str">
        <f ca="1">IFERROR(MATCH(OFFSET(#REF!,ROW()-1,0,1,1),C:C,0),"")</f>
        <v/>
      </c>
      <c r="L476" t="str">
        <f ca="1">IFERROR(MATCH(OFFSET(#REF!,ROW()-1,0,1,1),C:C,1)-K476+1,"")</f>
        <v/>
      </c>
    </row>
    <row r="477" spans="11:12" x14ac:dyDescent="0.2">
      <c r="K477" t="str">
        <f ca="1">IFERROR(MATCH(OFFSET(#REF!,ROW()-1,0,1,1),C:C,0),"")</f>
        <v/>
      </c>
      <c r="L477" t="str">
        <f ca="1">IFERROR(MATCH(OFFSET(#REF!,ROW()-1,0,1,1),C:C,1)-K477+1,"")</f>
        <v/>
      </c>
    </row>
    <row r="478" spans="11:12" x14ac:dyDescent="0.2">
      <c r="K478" t="str">
        <f ca="1">IFERROR(MATCH(OFFSET(#REF!,ROW()-1,0,1,1),C:C,0),"")</f>
        <v/>
      </c>
      <c r="L478" t="str">
        <f ca="1">IFERROR(MATCH(OFFSET(#REF!,ROW()-1,0,1,1),C:C,1)-K478+1,"")</f>
        <v/>
      </c>
    </row>
    <row r="479" spans="11:12" x14ac:dyDescent="0.2">
      <c r="K479" t="str">
        <f ca="1">IFERROR(MATCH(OFFSET(#REF!,ROW()-1,0,1,1),C:C,0),"")</f>
        <v/>
      </c>
      <c r="L479" t="str">
        <f ca="1">IFERROR(MATCH(OFFSET(#REF!,ROW()-1,0,1,1),C:C,1)-K479+1,"")</f>
        <v/>
      </c>
    </row>
    <row r="480" spans="11:12" x14ac:dyDescent="0.2">
      <c r="K480" t="str">
        <f ca="1">IFERROR(MATCH(OFFSET(#REF!,ROW()-1,0,1,1),C:C,0),"")</f>
        <v/>
      </c>
      <c r="L480" t="str">
        <f ca="1">IFERROR(MATCH(OFFSET(#REF!,ROW()-1,0,1,1),C:C,1)-K480+1,"")</f>
        <v/>
      </c>
    </row>
    <row r="481" spans="11:12" x14ac:dyDescent="0.2">
      <c r="K481" t="str">
        <f ca="1">IFERROR(MATCH(OFFSET(#REF!,ROW()-1,0,1,1),C:C,0),"")</f>
        <v/>
      </c>
      <c r="L481" t="str">
        <f ca="1">IFERROR(MATCH(OFFSET(#REF!,ROW()-1,0,1,1),C:C,1)-K481+1,"")</f>
        <v/>
      </c>
    </row>
    <row r="482" spans="11:12" x14ac:dyDescent="0.2">
      <c r="K482" t="str">
        <f ca="1">IFERROR(MATCH(OFFSET(#REF!,ROW()-1,0,1,1),C:C,0),"")</f>
        <v/>
      </c>
      <c r="L482" t="str">
        <f ca="1">IFERROR(MATCH(OFFSET(#REF!,ROW()-1,0,1,1),C:C,1)-K482+1,"")</f>
        <v/>
      </c>
    </row>
    <row r="483" spans="11:12" x14ac:dyDescent="0.2">
      <c r="K483" t="str">
        <f ca="1">IFERROR(MATCH(OFFSET(#REF!,ROW()-1,0,1,1),C:C,0),"")</f>
        <v/>
      </c>
      <c r="L483" t="str">
        <f ca="1">IFERROR(MATCH(OFFSET(#REF!,ROW()-1,0,1,1),C:C,1)-K483+1,"")</f>
        <v/>
      </c>
    </row>
    <row r="484" spans="11:12" x14ac:dyDescent="0.2">
      <c r="K484" t="str">
        <f ca="1">IFERROR(MATCH(OFFSET(#REF!,ROW()-1,0,1,1),C:C,0),"")</f>
        <v/>
      </c>
      <c r="L484" t="str">
        <f ca="1">IFERROR(MATCH(OFFSET(#REF!,ROW()-1,0,1,1),C:C,1)-K484+1,"")</f>
        <v/>
      </c>
    </row>
    <row r="485" spans="11:12" x14ac:dyDescent="0.2">
      <c r="K485" t="str">
        <f ca="1">IFERROR(MATCH(OFFSET(#REF!,ROW()-1,0,1,1),C:C,0),"")</f>
        <v/>
      </c>
      <c r="L485" t="str">
        <f ca="1">IFERROR(MATCH(OFFSET(#REF!,ROW()-1,0,1,1),C:C,1)-K485+1,"")</f>
        <v/>
      </c>
    </row>
    <row r="486" spans="11:12" x14ac:dyDescent="0.2">
      <c r="K486" t="str">
        <f ca="1">IFERROR(MATCH(OFFSET(#REF!,ROW()-1,0,1,1),C:C,0),"")</f>
        <v/>
      </c>
      <c r="L486" t="str">
        <f ca="1">IFERROR(MATCH(OFFSET(#REF!,ROW()-1,0,1,1),C:C,1)-K486+1,"")</f>
        <v/>
      </c>
    </row>
    <row r="487" spans="11:12" x14ac:dyDescent="0.2">
      <c r="K487" t="str">
        <f ca="1">IFERROR(MATCH(OFFSET(#REF!,ROW()-1,0,1,1),C:C,0),"")</f>
        <v/>
      </c>
      <c r="L487" t="str">
        <f ca="1">IFERROR(MATCH(OFFSET(#REF!,ROW()-1,0,1,1),C:C,1)-K487+1,"")</f>
        <v/>
      </c>
    </row>
    <row r="488" spans="11:12" x14ac:dyDescent="0.2">
      <c r="K488" t="str">
        <f ca="1">IFERROR(MATCH(OFFSET(#REF!,ROW()-1,0,1,1),C:C,0),"")</f>
        <v/>
      </c>
      <c r="L488" t="str">
        <f ca="1">IFERROR(MATCH(OFFSET(#REF!,ROW()-1,0,1,1),C:C,1)-K488+1,"")</f>
        <v/>
      </c>
    </row>
    <row r="489" spans="11:12" x14ac:dyDescent="0.2">
      <c r="K489" t="str">
        <f ca="1">IFERROR(MATCH(OFFSET(#REF!,ROW()-1,0,1,1),C:C,0),"")</f>
        <v/>
      </c>
      <c r="L489" t="str">
        <f ca="1">IFERROR(MATCH(OFFSET(#REF!,ROW()-1,0,1,1),C:C,1)-K489+1,"")</f>
        <v/>
      </c>
    </row>
    <row r="490" spans="11:12" x14ac:dyDescent="0.2">
      <c r="K490" t="str">
        <f ca="1">IFERROR(MATCH(OFFSET(#REF!,ROW()-1,0,1,1),C:C,0),"")</f>
        <v/>
      </c>
      <c r="L490" t="str">
        <f ca="1">IFERROR(MATCH(OFFSET(#REF!,ROW()-1,0,1,1),C:C,1)-K490+1,"")</f>
        <v/>
      </c>
    </row>
    <row r="491" spans="11:12" x14ac:dyDescent="0.2">
      <c r="K491" t="str">
        <f ca="1">IFERROR(MATCH(OFFSET(#REF!,ROW()-1,0,1,1),C:C,0),"")</f>
        <v/>
      </c>
      <c r="L491" t="str">
        <f ca="1">IFERROR(MATCH(OFFSET(#REF!,ROW()-1,0,1,1),C:C,1)-K491+1,"")</f>
        <v/>
      </c>
    </row>
    <row r="492" spans="11:12" x14ac:dyDescent="0.2">
      <c r="K492" t="str">
        <f ca="1">IFERROR(MATCH(OFFSET(#REF!,ROW()-1,0,1,1),C:C,0),"")</f>
        <v/>
      </c>
      <c r="L492" t="str">
        <f ca="1">IFERROR(MATCH(OFFSET(#REF!,ROW()-1,0,1,1),C:C,1)-K492+1,"")</f>
        <v/>
      </c>
    </row>
    <row r="493" spans="11:12" x14ac:dyDescent="0.2">
      <c r="K493" t="str">
        <f ca="1">IFERROR(MATCH(OFFSET(#REF!,ROW()-1,0,1,1),C:C,0),"")</f>
        <v/>
      </c>
      <c r="L493" t="str">
        <f ca="1">IFERROR(MATCH(OFFSET(#REF!,ROW()-1,0,1,1),C:C,1)-K493+1,"")</f>
        <v/>
      </c>
    </row>
    <row r="494" spans="11:12" x14ac:dyDescent="0.2">
      <c r="K494" t="str">
        <f ca="1">IFERROR(MATCH(OFFSET(#REF!,ROW()-1,0,1,1),C:C,0),"")</f>
        <v/>
      </c>
      <c r="L494" t="str">
        <f ca="1">IFERROR(MATCH(OFFSET(#REF!,ROW()-1,0,1,1),C:C,1)-K494+1,"")</f>
        <v/>
      </c>
    </row>
    <row r="495" spans="11:12" x14ac:dyDescent="0.2">
      <c r="K495" t="str">
        <f ca="1">IFERROR(MATCH(OFFSET(#REF!,ROW()-1,0,1,1),C:C,0),"")</f>
        <v/>
      </c>
      <c r="L495" t="str">
        <f ca="1">IFERROR(MATCH(OFFSET(#REF!,ROW()-1,0,1,1),C:C,1)-K495+1,"")</f>
        <v/>
      </c>
    </row>
    <row r="496" spans="11:12" x14ac:dyDescent="0.2">
      <c r="K496" t="str">
        <f ca="1">IFERROR(MATCH(OFFSET(#REF!,ROW()-1,0,1,1),C:C,0),"")</f>
        <v/>
      </c>
      <c r="L496" t="str">
        <f ca="1">IFERROR(MATCH(OFFSET(#REF!,ROW()-1,0,1,1),C:C,1)-K496+1,"")</f>
        <v/>
      </c>
    </row>
    <row r="497" spans="11:12" x14ac:dyDescent="0.2">
      <c r="K497" t="str">
        <f ca="1">IFERROR(MATCH(OFFSET(#REF!,ROW()-1,0,1,1),C:C,0),"")</f>
        <v/>
      </c>
      <c r="L497" t="str">
        <f ca="1">IFERROR(MATCH(OFFSET(#REF!,ROW()-1,0,1,1),C:C,1)-K497+1,"")</f>
        <v/>
      </c>
    </row>
    <row r="498" spans="11:12" x14ac:dyDescent="0.2">
      <c r="K498" t="str">
        <f ca="1">IFERROR(MATCH(OFFSET(#REF!,ROW()-1,0,1,1),C:C,0),"")</f>
        <v/>
      </c>
      <c r="L498" t="str">
        <f ca="1">IFERROR(MATCH(OFFSET(#REF!,ROW()-1,0,1,1),C:C,1)-K498+1,"")</f>
        <v/>
      </c>
    </row>
    <row r="499" spans="11:12" x14ac:dyDescent="0.2">
      <c r="K499" t="str">
        <f ca="1">IFERROR(MATCH(OFFSET(#REF!,ROW()-1,0,1,1),C:C,0),"")</f>
        <v/>
      </c>
      <c r="L499" t="str">
        <f ca="1">IFERROR(MATCH(OFFSET(#REF!,ROW()-1,0,1,1),C:C,1)-K499+1,"")</f>
        <v/>
      </c>
    </row>
    <row r="500" spans="11:12" x14ac:dyDescent="0.2">
      <c r="K500" t="str">
        <f ca="1">IFERROR(MATCH(OFFSET(#REF!,ROW()-1,0,1,1),C:C,0),"")</f>
        <v/>
      </c>
      <c r="L500" t="str">
        <f ca="1">IFERROR(MATCH(OFFSET(#REF!,ROW()-1,0,1,1),C:C,1)-K500+1,"")</f>
        <v/>
      </c>
    </row>
    <row r="501" spans="11:12" x14ac:dyDescent="0.2">
      <c r="K501" t="str">
        <f ca="1">IFERROR(MATCH(OFFSET(#REF!,ROW()-1,0,1,1),C:C,0),"")</f>
        <v/>
      </c>
      <c r="L501" t="str">
        <f ca="1">IFERROR(MATCH(OFFSET(#REF!,ROW()-1,0,1,1),C:C,1)-K501+1,"")</f>
        <v/>
      </c>
    </row>
    <row r="502" spans="11:12" x14ac:dyDescent="0.2">
      <c r="K502" t="str">
        <f ca="1">IFERROR(MATCH(OFFSET(#REF!,ROW()-1,0,1,1),C:C,0),"")</f>
        <v/>
      </c>
      <c r="L502" t="str">
        <f ca="1">IFERROR(MATCH(OFFSET(#REF!,ROW()-1,0,1,1),C:C,1)-K502+1,"")</f>
        <v/>
      </c>
    </row>
    <row r="503" spans="11:12" x14ac:dyDescent="0.2">
      <c r="K503" t="str">
        <f ca="1">IFERROR(MATCH(OFFSET(#REF!,ROW()-1,0,1,1),C:C,0),"")</f>
        <v/>
      </c>
      <c r="L503" t="str">
        <f ca="1">IFERROR(MATCH(OFFSET(#REF!,ROW()-1,0,1,1),C:C,1)-K503+1,"")</f>
        <v/>
      </c>
    </row>
    <row r="504" spans="11:12" x14ac:dyDescent="0.2">
      <c r="K504" t="str">
        <f ca="1">IFERROR(MATCH(OFFSET(#REF!,ROW()-1,0,1,1),C:C,0),"")</f>
        <v/>
      </c>
      <c r="L504" t="str">
        <f ca="1">IFERROR(MATCH(OFFSET(#REF!,ROW()-1,0,1,1),C:C,1)-K504+1,"")</f>
        <v/>
      </c>
    </row>
    <row r="505" spans="11:12" x14ac:dyDescent="0.2">
      <c r="K505" t="str">
        <f ca="1">IFERROR(MATCH(OFFSET(#REF!,ROW()-1,0,1,1),C:C,0),"")</f>
        <v/>
      </c>
      <c r="L505" t="str">
        <f ca="1">IFERROR(MATCH(OFFSET(#REF!,ROW()-1,0,1,1),C:C,1)-K505+1,"")</f>
        <v/>
      </c>
    </row>
    <row r="506" spans="11:12" x14ac:dyDescent="0.2">
      <c r="K506" t="str">
        <f ca="1">IFERROR(MATCH(OFFSET(#REF!,ROW()-1,0,1,1),C:C,0),"")</f>
        <v/>
      </c>
      <c r="L506" t="str">
        <f ca="1">IFERROR(MATCH(OFFSET(#REF!,ROW()-1,0,1,1),C:C,1)-K506+1,"")</f>
        <v/>
      </c>
    </row>
    <row r="507" spans="11:12" x14ac:dyDescent="0.2">
      <c r="K507" t="str">
        <f ca="1">IFERROR(MATCH(OFFSET(#REF!,ROW()-1,0,1,1),C:C,0),"")</f>
        <v/>
      </c>
      <c r="L507" t="str">
        <f ca="1">IFERROR(MATCH(OFFSET(#REF!,ROW()-1,0,1,1),C:C,1)-K507+1,"")</f>
        <v/>
      </c>
    </row>
    <row r="508" spans="11:12" x14ac:dyDescent="0.2">
      <c r="K508" t="str">
        <f ca="1">IFERROR(MATCH(OFFSET(#REF!,ROW()-1,0,1,1),C:C,0),"")</f>
        <v/>
      </c>
      <c r="L508" t="str">
        <f ca="1">IFERROR(MATCH(OFFSET(#REF!,ROW()-1,0,1,1),C:C,1)-K508+1,"")</f>
        <v/>
      </c>
    </row>
    <row r="509" spans="11:12" x14ac:dyDescent="0.2">
      <c r="K509" t="str">
        <f ca="1">IFERROR(MATCH(OFFSET(#REF!,ROW()-1,0,1,1),C:C,0),"")</f>
        <v/>
      </c>
      <c r="L509" t="str">
        <f ca="1">IFERROR(MATCH(OFFSET(#REF!,ROW()-1,0,1,1),C:C,1)-K509+1,"")</f>
        <v/>
      </c>
    </row>
    <row r="510" spans="11:12" x14ac:dyDescent="0.2">
      <c r="K510" t="str">
        <f ca="1">IFERROR(MATCH(OFFSET(#REF!,ROW()-1,0,1,1),C:C,0),"")</f>
        <v/>
      </c>
      <c r="L510" t="str">
        <f ca="1">IFERROR(MATCH(OFFSET(#REF!,ROW()-1,0,1,1),C:C,1)-K510+1,"")</f>
        <v/>
      </c>
    </row>
    <row r="511" spans="11:12" x14ac:dyDescent="0.2">
      <c r="K511" t="str">
        <f ca="1">IFERROR(MATCH(OFFSET(#REF!,ROW()-1,0,1,1),C:C,0),"")</f>
        <v/>
      </c>
      <c r="L511" t="str">
        <f ca="1">IFERROR(MATCH(OFFSET(#REF!,ROW()-1,0,1,1),C:C,1)-K511+1,"")</f>
        <v/>
      </c>
    </row>
    <row r="512" spans="11:12" x14ac:dyDescent="0.2">
      <c r="K512" t="str">
        <f ca="1">IFERROR(MATCH(OFFSET(#REF!,ROW()-1,0,1,1),C:C,0),"")</f>
        <v/>
      </c>
      <c r="L512" t="str">
        <f ca="1">IFERROR(MATCH(OFFSET(#REF!,ROW()-1,0,1,1),C:C,1)-K512+1,"")</f>
        <v/>
      </c>
    </row>
    <row r="513" spans="11:12" x14ac:dyDescent="0.2">
      <c r="K513" t="str">
        <f ca="1">IFERROR(MATCH(OFFSET(#REF!,ROW()-1,0,1,1),C:C,0),"")</f>
        <v/>
      </c>
      <c r="L513" t="str">
        <f ca="1">IFERROR(MATCH(OFFSET(#REF!,ROW()-1,0,1,1),C:C,1)-K513+1,"")</f>
        <v/>
      </c>
    </row>
    <row r="514" spans="11:12" x14ac:dyDescent="0.2">
      <c r="K514" t="str">
        <f ca="1">IFERROR(MATCH(OFFSET(#REF!,ROW()-1,0,1,1),C:C,0),"")</f>
        <v/>
      </c>
      <c r="L514" t="str">
        <f ca="1">IFERROR(MATCH(OFFSET(#REF!,ROW()-1,0,1,1),C:C,1)-K514+1,"")</f>
        <v/>
      </c>
    </row>
    <row r="515" spans="11:12" x14ac:dyDescent="0.2">
      <c r="K515" t="str">
        <f ca="1">IFERROR(MATCH(OFFSET(#REF!,ROW()-1,0,1,1),C:C,0),"")</f>
        <v/>
      </c>
      <c r="L515" t="str">
        <f ca="1">IFERROR(MATCH(OFFSET(#REF!,ROW()-1,0,1,1),C:C,1)-K515+1,"")</f>
        <v/>
      </c>
    </row>
    <row r="516" spans="11:12" x14ac:dyDescent="0.2">
      <c r="K516" t="str">
        <f ca="1">IFERROR(MATCH(OFFSET(#REF!,ROW()-1,0,1,1),C:C,0),"")</f>
        <v/>
      </c>
      <c r="L516" t="str">
        <f ca="1">IFERROR(MATCH(OFFSET(#REF!,ROW()-1,0,1,1),C:C,1)-K516+1,"")</f>
        <v/>
      </c>
    </row>
    <row r="517" spans="11:12" x14ac:dyDescent="0.2">
      <c r="K517" t="str">
        <f ca="1">IFERROR(MATCH(OFFSET(#REF!,ROW()-1,0,1,1),C:C,0),"")</f>
        <v/>
      </c>
      <c r="L517" t="str">
        <f ca="1">IFERROR(MATCH(OFFSET(#REF!,ROW()-1,0,1,1),C:C,1)-K517+1,"")</f>
        <v/>
      </c>
    </row>
    <row r="518" spans="11:12" x14ac:dyDescent="0.2">
      <c r="K518" t="str">
        <f ca="1">IFERROR(MATCH(OFFSET(#REF!,ROW()-1,0,1,1),C:C,0),"")</f>
        <v/>
      </c>
      <c r="L518" t="str">
        <f ca="1">IFERROR(MATCH(OFFSET(#REF!,ROW()-1,0,1,1),C:C,1)-K518+1,"")</f>
        <v/>
      </c>
    </row>
    <row r="519" spans="11:12" x14ac:dyDescent="0.2">
      <c r="K519" t="str">
        <f ca="1">IFERROR(MATCH(OFFSET(#REF!,ROW()-1,0,1,1),C:C,0),"")</f>
        <v/>
      </c>
      <c r="L519" t="str">
        <f ca="1">IFERROR(MATCH(OFFSET(#REF!,ROW()-1,0,1,1),C:C,1)-K519+1,"")</f>
        <v/>
      </c>
    </row>
    <row r="520" spans="11:12" x14ac:dyDescent="0.2">
      <c r="K520" t="str">
        <f ca="1">IFERROR(MATCH(OFFSET(#REF!,ROW()-1,0,1,1),C:C,0),"")</f>
        <v/>
      </c>
      <c r="L520" t="str">
        <f ca="1">IFERROR(MATCH(OFFSET(#REF!,ROW()-1,0,1,1),C:C,1)-K520+1,"")</f>
        <v/>
      </c>
    </row>
    <row r="521" spans="11:12" x14ac:dyDescent="0.2">
      <c r="K521" t="str">
        <f ca="1">IFERROR(MATCH(OFFSET(#REF!,ROW()-1,0,1,1),C:C,0),"")</f>
        <v/>
      </c>
      <c r="L521" t="str">
        <f ca="1">IFERROR(MATCH(OFFSET(#REF!,ROW()-1,0,1,1),C:C,1)-K521+1,"")</f>
        <v/>
      </c>
    </row>
    <row r="522" spans="11:12" x14ac:dyDescent="0.2">
      <c r="K522" t="str">
        <f ca="1">IFERROR(MATCH(OFFSET(#REF!,ROW()-1,0,1,1),C:C,0),"")</f>
        <v/>
      </c>
      <c r="L522" t="str">
        <f ca="1">IFERROR(MATCH(OFFSET(#REF!,ROW()-1,0,1,1),C:C,1)-K522+1,"")</f>
        <v/>
      </c>
    </row>
    <row r="523" spans="11:12" x14ac:dyDescent="0.2">
      <c r="K523" t="str">
        <f ca="1">IFERROR(MATCH(OFFSET(#REF!,ROW()-1,0,1,1),C:C,0),"")</f>
        <v/>
      </c>
      <c r="L523" t="str">
        <f ca="1">IFERROR(MATCH(OFFSET(#REF!,ROW()-1,0,1,1),C:C,1)-K523+1,"")</f>
        <v/>
      </c>
    </row>
    <row r="524" spans="11:12" x14ac:dyDescent="0.2">
      <c r="K524" t="str">
        <f ca="1">IFERROR(MATCH(OFFSET(#REF!,ROW()-1,0,1,1),C:C,0),"")</f>
        <v/>
      </c>
      <c r="L524" t="str">
        <f ca="1">IFERROR(MATCH(OFFSET(#REF!,ROW()-1,0,1,1),C:C,1)-K524+1,"")</f>
        <v/>
      </c>
    </row>
    <row r="525" spans="11:12" x14ac:dyDescent="0.2">
      <c r="K525" t="str">
        <f ca="1">IFERROR(MATCH(OFFSET(#REF!,ROW()-1,0,1,1),C:C,0),"")</f>
        <v/>
      </c>
      <c r="L525" t="str">
        <f ca="1">IFERROR(MATCH(OFFSET(#REF!,ROW()-1,0,1,1),C:C,1)-K525+1,"")</f>
        <v/>
      </c>
    </row>
    <row r="526" spans="11:12" x14ac:dyDescent="0.2">
      <c r="K526" t="str">
        <f ca="1">IFERROR(MATCH(OFFSET(#REF!,ROW()-1,0,1,1),C:C,0),"")</f>
        <v/>
      </c>
      <c r="L526" t="str">
        <f ca="1">IFERROR(MATCH(OFFSET(#REF!,ROW()-1,0,1,1),C:C,1)-K526+1,"")</f>
        <v/>
      </c>
    </row>
    <row r="527" spans="11:12" x14ac:dyDescent="0.2">
      <c r="K527" t="str">
        <f ca="1">IFERROR(MATCH(OFFSET(#REF!,ROW()-1,0,1,1),C:C,0),"")</f>
        <v/>
      </c>
      <c r="L527" t="str">
        <f ca="1">IFERROR(MATCH(OFFSET(#REF!,ROW()-1,0,1,1),C:C,1)-K527+1,"")</f>
        <v/>
      </c>
    </row>
    <row r="528" spans="11:12" x14ac:dyDescent="0.2">
      <c r="K528" t="str">
        <f ca="1">IFERROR(MATCH(OFFSET(#REF!,ROW()-1,0,1,1),C:C,0),"")</f>
        <v/>
      </c>
      <c r="L528" t="str">
        <f ca="1">IFERROR(MATCH(OFFSET(#REF!,ROW()-1,0,1,1),C:C,1)-K528+1,"")</f>
        <v/>
      </c>
    </row>
    <row r="529" spans="11:12" x14ac:dyDescent="0.2">
      <c r="K529" t="str">
        <f ca="1">IFERROR(MATCH(OFFSET(#REF!,ROW()-1,0,1,1),C:C,0),"")</f>
        <v/>
      </c>
      <c r="L529" t="str">
        <f ca="1">IFERROR(MATCH(OFFSET(#REF!,ROW()-1,0,1,1),C:C,1)-K529+1,"")</f>
        <v/>
      </c>
    </row>
    <row r="530" spans="11:12" x14ac:dyDescent="0.2">
      <c r="K530" t="str">
        <f ca="1">IFERROR(MATCH(OFFSET(#REF!,ROW()-1,0,1,1),C:C,0),"")</f>
        <v/>
      </c>
      <c r="L530" t="str">
        <f ca="1">IFERROR(MATCH(OFFSET(#REF!,ROW()-1,0,1,1),C:C,1)-K530+1,"")</f>
        <v/>
      </c>
    </row>
    <row r="531" spans="11:12" x14ac:dyDescent="0.2">
      <c r="K531" t="str">
        <f ca="1">IFERROR(MATCH(OFFSET(#REF!,ROW()-1,0,1,1),C:C,0),"")</f>
        <v/>
      </c>
      <c r="L531" t="str">
        <f ca="1">IFERROR(MATCH(OFFSET(#REF!,ROW()-1,0,1,1),C:C,1)-K531+1,"")</f>
        <v/>
      </c>
    </row>
    <row r="532" spans="11:12" x14ac:dyDescent="0.2">
      <c r="K532" t="str">
        <f ca="1">IFERROR(MATCH(OFFSET(#REF!,ROW()-1,0,1,1),C:C,0),"")</f>
        <v/>
      </c>
      <c r="L532" t="str">
        <f ca="1">IFERROR(MATCH(OFFSET(#REF!,ROW()-1,0,1,1),C:C,1)-K532+1,"")</f>
        <v/>
      </c>
    </row>
    <row r="533" spans="11:12" x14ac:dyDescent="0.2">
      <c r="K533" t="str">
        <f ca="1">IFERROR(MATCH(OFFSET(#REF!,ROW()-1,0,1,1),C:C,0),"")</f>
        <v/>
      </c>
      <c r="L533" t="str">
        <f ca="1">IFERROR(MATCH(OFFSET(#REF!,ROW()-1,0,1,1),C:C,1)-K533+1,"")</f>
        <v/>
      </c>
    </row>
    <row r="534" spans="11:12" x14ac:dyDescent="0.2">
      <c r="K534" t="str">
        <f ca="1">IFERROR(MATCH(OFFSET(#REF!,ROW()-1,0,1,1),C:C,0),"")</f>
        <v/>
      </c>
      <c r="L534" t="str">
        <f ca="1">IFERROR(MATCH(OFFSET(#REF!,ROW()-1,0,1,1),C:C,1)-K534+1,"")</f>
        <v/>
      </c>
    </row>
    <row r="535" spans="11:12" x14ac:dyDescent="0.2">
      <c r="K535" t="str">
        <f ca="1">IFERROR(MATCH(OFFSET(#REF!,ROW()-1,0,1,1),C:C,0),"")</f>
        <v/>
      </c>
      <c r="L535" t="str">
        <f ca="1">IFERROR(MATCH(OFFSET(#REF!,ROW()-1,0,1,1),C:C,1)-K535+1,"")</f>
        <v/>
      </c>
    </row>
    <row r="536" spans="11:12" x14ac:dyDescent="0.2">
      <c r="K536" t="str">
        <f ca="1">IFERROR(MATCH(OFFSET(#REF!,ROW()-1,0,1,1),C:C,0),"")</f>
        <v/>
      </c>
      <c r="L536" t="str">
        <f ca="1">IFERROR(MATCH(OFFSET(#REF!,ROW()-1,0,1,1),C:C,1)-K536+1,"")</f>
        <v/>
      </c>
    </row>
    <row r="537" spans="11:12" x14ac:dyDescent="0.2">
      <c r="K537" t="str">
        <f ca="1">IFERROR(MATCH(OFFSET(#REF!,ROW()-1,0,1,1),C:C,0),"")</f>
        <v/>
      </c>
      <c r="L537" t="str">
        <f ca="1">IFERROR(MATCH(OFFSET(#REF!,ROW()-1,0,1,1),C:C,1)-K537+1,"")</f>
        <v/>
      </c>
    </row>
    <row r="538" spans="11:12" x14ac:dyDescent="0.2">
      <c r="K538" t="str">
        <f ca="1">IFERROR(MATCH(OFFSET(#REF!,ROW()-1,0,1,1),C:C,0),"")</f>
        <v/>
      </c>
      <c r="L538" t="str">
        <f ca="1">IFERROR(MATCH(OFFSET(#REF!,ROW()-1,0,1,1),C:C,1)-K538+1,"")</f>
        <v/>
      </c>
    </row>
    <row r="539" spans="11:12" x14ac:dyDescent="0.2">
      <c r="K539" t="str">
        <f ca="1">IFERROR(MATCH(OFFSET(#REF!,ROW()-1,0,1,1),C:C,0),"")</f>
        <v/>
      </c>
      <c r="L539" t="str">
        <f ca="1">IFERROR(MATCH(OFFSET(#REF!,ROW()-1,0,1,1),C:C,1)-K539+1,"")</f>
        <v/>
      </c>
    </row>
    <row r="540" spans="11:12" x14ac:dyDescent="0.2">
      <c r="K540" t="str">
        <f ca="1">IFERROR(MATCH(OFFSET(#REF!,ROW()-1,0,1,1),C:C,0),"")</f>
        <v/>
      </c>
      <c r="L540" t="str">
        <f ca="1">IFERROR(MATCH(OFFSET(#REF!,ROW()-1,0,1,1),C:C,1)-K540+1,"")</f>
        <v/>
      </c>
    </row>
    <row r="541" spans="11:12" x14ac:dyDescent="0.2">
      <c r="K541" t="str">
        <f ca="1">IFERROR(MATCH(OFFSET(#REF!,ROW()-1,0,1,1),C:C,0),"")</f>
        <v/>
      </c>
      <c r="L541" t="str">
        <f ca="1">IFERROR(MATCH(OFFSET(#REF!,ROW()-1,0,1,1),C:C,1)-K541+1,"")</f>
        <v/>
      </c>
    </row>
    <row r="542" spans="11:12" x14ac:dyDescent="0.2">
      <c r="K542" t="str">
        <f ca="1">IFERROR(MATCH(OFFSET(#REF!,ROW()-1,0,1,1),C:C,0),"")</f>
        <v/>
      </c>
      <c r="L542" t="str">
        <f ca="1">IFERROR(MATCH(OFFSET(#REF!,ROW()-1,0,1,1),C:C,1)-K542+1,"")</f>
        <v/>
      </c>
    </row>
    <row r="543" spans="11:12" x14ac:dyDescent="0.2">
      <c r="K543" t="str">
        <f ca="1">IFERROR(MATCH(OFFSET(#REF!,ROW()-1,0,1,1),C:C,0),"")</f>
        <v/>
      </c>
      <c r="L543" t="str">
        <f ca="1">IFERROR(MATCH(OFFSET(#REF!,ROW()-1,0,1,1),C:C,1)-K543+1,"")</f>
        <v/>
      </c>
    </row>
    <row r="544" spans="11:12" x14ac:dyDescent="0.2">
      <c r="K544" t="str">
        <f ca="1">IFERROR(MATCH(OFFSET(#REF!,ROW()-1,0,1,1),C:C,0),"")</f>
        <v/>
      </c>
      <c r="L544" t="str">
        <f ca="1">IFERROR(MATCH(OFFSET(#REF!,ROW()-1,0,1,1),C:C,1)-K544+1,"")</f>
        <v/>
      </c>
    </row>
    <row r="545" spans="11:12" x14ac:dyDescent="0.2">
      <c r="K545" t="str">
        <f ca="1">IFERROR(MATCH(OFFSET(#REF!,ROW()-1,0,1,1),C:C,0),"")</f>
        <v/>
      </c>
      <c r="L545" t="str">
        <f ca="1">IFERROR(MATCH(OFFSET(#REF!,ROW()-1,0,1,1),C:C,1)-K545+1,"")</f>
        <v/>
      </c>
    </row>
    <row r="546" spans="11:12" x14ac:dyDescent="0.2">
      <c r="K546" t="str">
        <f ca="1">IFERROR(MATCH(OFFSET(#REF!,ROW()-1,0,1,1),C:C,0),"")</f>
        <v/>
      </c>
      <c r="L546" t="str">
        <f ca="1">IFERROR(MATCH(OFFSET(#REF!,ROW()-1,0,1,1),C:C,1)-K546+1,"")</f>
        <v/>
      </c>
    </row>
    <row r="547" spans="11:12" x14ac:dyDescent="0.2">
      <c r="K547" t="str">
        <f ca="1">IFERROR(MATCH(OFFSET(#REF!,ROW()-1,0,1,1),C:C,0),"")</f>
        <v/>
      </c>
      <c r="L547" t="str">
        <f ca="1">IFERROR(MATCH(OFFSET(#REF!,ROW()-1,0,1,1),C:C,1)-K547+1,"")</f>
        <v/>
      </c>
    </row>
    <row r="548" spans="11:12" x14ac:dyDescent="0.2">
      <c r="K548" t="str">
        <f ca="1">IFERROR(MATCH(OFFSET(#REF!,ROW()-1,0,1,1),C:C,0),"")</f>
        <v/>
      </c>
      <c r="L548" t="str">
        <f ca="1">IFERROR(MATCH(OFFSET(#REF!,ROW()-1,0,1,1),C:C,1)-K548+1,"")</f>
        <v/>
      </c>
    </row>
    <row r="549" spans="11:12" x14ac:dyDescent="0.2">
      <c r="K549" t="str">
        <f ca="1">IFERROR(MATCH(OFFSET(#REF!,ROW()-1,0,1,1),C:C,0),"")</f>
        <v/>
      </c>
      <c r="L549" t="str">
        <f ca="1">IFERROR(MATCH(OFFSET(#REF!,ROW()-1,0,1,1),C:C,1)-K549+1,"")</f>
        <v/>
      </c>
    </row>
    <row r="550" spans="11:12" x14ac:dyDescent="0.2">
      <c r="K550" t="str">
        <f ca="1">IFERROR(MATCH(OFFSET(#REF!,ROW()-1,0,1,1),C:C,0),"")</f>
        <v/>
      </c>
      <c r="L550" t="str">
        <f ca="1">IFERROR(MATCH(OFFSET(#REF!,ROW()-1,0,1,1),C:C,1)-K550+1,"")</f>
        <v/>
      </c>
    </row>
    <row r="551" spans="11:12" x14ac:dyDescent="0.2">
      <c r="K551" t="str">
        <f ca="1">IFERROR(MATCH(OFFSET(#REF!,ROW()-1,0,1,1),C:C,0),"")</f>
        <v/>
      </c>
      <c r="L551" t="str">
        <f ca="1">IFERROR(MATCH(OFFSET(#REF!,ROW()-1,0,1,1),C:C,1)-K551+1,"")</f>
        <v/>
      </c>
    </row>
    <row r="552" spans="11:12" x14ac:dyDescent="0.2">
      <c r="K552" t="str">
        <f ca="1">IFERROR(MATCH(OFFSET(#REF!,ROW()-1,0,1,1),C:C,0),"")</f>
        <v/>
      </c>
      <c r="L552" t="str">
        <f ca="1">IFERROR(MATCH(OFFSET(#REF!,ROW()-1,0,1,1),C:C,1)-K552+1,"")</f>
        <v/>
      </c>
    </row>
    <row r="553" spans="11:12" x14ac:dyDescent="0.2">
      <c r="K553" t="str">
        <f ca="1">IFERROR(MATCH(OFFSET(#REF!,ROW()-1,0,1,1),C:C,0),"")</f>
        <v/>
      </c>
      <c r="L553" t="str">
        <f ca="1">IFERROR(MATCH(OFFSET(#REF!,ROW()-1,0,1,1),C:C,1)-K553+1,"")</f>
        <v/>
      </c>
    </row>
    <row r="554" spans="11:12" x14ac:dyDescent="0.2">
      <c r="K554" t="str">
        <f ca="1">IFERROR(MATCH(OFFSET(#REF!,ROW()-1,0,1,1),C:C,0),"")</f>
        <v/>
      </c>
      <c r="L554" t="str">
        <f ca="1">IFERROR(MATCH(OFFSET(#REF!,ROW()-1,0,1,1),C:C,1)-K554+1,"")</f>
        <v/>
      </c>
    </row>
    <row r="555" spans="11:12" x14ac:dyDescent="0.2">
      <c r="K555" t="str">
        <f ca="1">IFERROR(MATCH(OFFSET(#REF!,ROW()-1,0,1,1),C:C,0),"")</f>
        <v/>
      </c>
      <c r="L555" t="str">
        <f ca="1">IFERROR(MATCH(OFFSET(#REF!,ROW()-1,0,1,1),C:C,1)-K555+1,"")</f>
        <v/>
      </c>
    </row>
    <row r="556" spans="11:12" x14ac:dyDescent="0.2">
      <c r="K556" t="str">
        <f ca="1">IFERROR(MATCH(OFFSET(#REF!,ROW()-1,0,1,1),C:C,0),"")</f>
        <v/>
      </c>
      <c r="L556" t="str">
        <f ca="1">IFERROR(MATCH(OFFSET(#REF!,ROW()-1,0,1,1),C:C,1)-K556+1,"")</f>
        <v/>
      </c>
    </row>
    <row r="557" spans="11:12" x14ac:dyDescent="0.2">
      <c r="K557" t="str">
        <f ca="1">IFERROR(MATCH(OFFSET(#REF!,ROW()-1,0,1,1),C:C,0),"")</f>
        <v/>
      </c>
      <c r="L557" t="str">
        <f ca="1">IFERROR(MATCH(OFFSET(#REF!,ROW()-1,0,1,1),C:C,1)-K557+1,"")</f>
        <v/>
      </c>
    </row>
    <row r="558" spans="11:12" x14ac:dyDescent="0.2">
      <c r="K558" t="str">
        <f ca="1">IFERROR(MATCH(OFFSET(#REF!,ROW()-1,0,1,1),C:C,0),"")</f>
        <v/>
      </c>
      <c r="L558" t="str">
        <f ca="1">IFERROR(MATCH(OFFSET(#REF!,ROW()-1,0,1,1),C:C,1)-K558+1,"")</f>
        <v/>
      </c>
    </row>
    <row r="559" spans="11:12" x14ac:dyDescent="0.2">
      <c r="K559" t="str">
        <f ca="1">IFERROR(MATCH(OFFSET(#REF!,ROW()-1,0,1,1),C:C,0),"")</f>
        <v/>
      </c>
      <c r="L559" t="str">
        <f ca="1">IFERROR(MATCH(OFFSET(#REF!,ROW()-1,0,1,1),C:C,1)-K559+1,"")</f>
        <v/>
      </c>
    </row>
    <row r="560" spans="11:12" x14ac:dyDescent="0.2">
      <c r="K560" t="str">
        <f ca="1">IFERROR(MATCH(OFFSET(#REF!,ROW()-1,0,1,1),C:C,0),"")</f>
        <v/>
      </c>
      <c r="L560" t="str">
        <f ca="1">IFERROR(MATCH(OFFSET(#REF!,ROW()-1,0,1,1),C:C,1)-K560+1,"")</f>
        <v/>
      </c>
    </row>
    <row r="561" spans="11:12" x14ac:dyDescent="0.2">
      <c r="K561" t="str">
        <f ca="1">IFERROR(MATCH(OFFSET(#REF!,ROW()-1,0,1,1),C:C,0),"")</f>
        <v/>
      </c>
      <c r="L561" t="str">
        <f ca="1">IFERROR(MATCH(OFFSET(#REF!,ROW()-1,0,1,1),C:C,1)-K561+1,"")</f>
        <v/>
      </c>
    </row>
    <row r="562" spans="11:12" x14ac:dyDescent="0.2">
      <c r="K562" t="str">
        <f ca="1">IFERROR(MATCH(OFFSET(#REF!,ROW()-1,0,1,1),C:C,0),"")</f>
        <v/>
      </c>
      <c r="L562" t="str">
        <f ca="1">IFERROR(MATCH(OFFSET(#REF!,ROW()-1,0,1,1),C:C,1)-K562+1,"")</f>
        <v/>
      </c>
    </row>
    <row r="563" spans="11:12" x14ac:dyDescent="0.2">
      <c r="K563" t="str">
        <f ca="1">IFERROR(MATCH(OFFSET(#REF!,ROW()-1,0,1,1),C:C,0),"")</f>
        <v/>
      </c>
      <c r="L563" t="str">
        <f ca="1">IFERROR(MATCH(OFFSET(#REF!,ROW()-1,0,1,1),C:C,1)-K563+1,"")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28FBA-3D9F-4ACA-848E-23BAAA844868}">
  <sheetPr codeName="Sht_SCFinancials"/>
  <dimension ref="A1:J563"/>
  <sheetViews>
    <sheetView workbookViewId="0">
      <selection activeCell="A50" sqref="A50"/>
    </sheetView>
  </sheetViews>
  <sheetFormatPr defaultRowHeight="14.25" x14ac:dyDescent="0.2"/>
  <cols>
    <col min="1" max="1" width="30.75" bestFit="1" customWidth="1"/>
    <col min="2" max="2" width="20.875" bestFit="1" customWidth="1"/>
    <col min="3" max="3" width="29.375" bestFit="1" customWidth="1"/>
    <col min="4" max="4" width="32.375" bestFit="1" customWidth="1"/>
    <col min="5" max="5" width="18.25" bestFit="1" customWidth="1"/>
    <col min="6" max="6" width="47.875" bestFit="1" customWidth="1"/>
  </cols>
  <sheetData>
    <row r="1" spans="1:7" x14ac:dyDescent="0.2">
      <c r="A1" t="s">
        <v>248</v>
      </c>
      <c r="B1" t="s">
        <v>249</v>
      </c>
      <c r="C1" t="s">
        <v>250</v>
      </c>
    </row>
    <row r="2" spans="1:7" x14ac:dyDescent="0.2">
      <c r="A2" t="s">
        <v>1205</v>
      </c>
      <c r="B2" t="s">
        <v>252</v>
      </c>
      <c r="C2" t="s">
        <v>264</v>
      </c>
      <c r="F2">
        <f t="shared" ref="F2:F65" ca="1" si="0">IFERROR(MATCH(OFFSET($A$1,ROW()-1,0,1,1),A:A,0),"")</f>
        <v>2</v>
      </c>
      <c r="G2">
        <f t="shared" ref="G2:G65" ca="1" si="1">COUNTIF(A:A,OFFSET($A$1,ROW()-1,0))</f>
        <v>1</v>
      </c>
    </row>
    <row r="3" spans="1:7" x14ac:dyDescent="0.2">
      <c r="A3" t="s">
        <v>251</v>
      </c>
      <c r="B3" t="s">
        <v>252</v>
      </c>
      <c r="C3" t="s">
        <v>253</v>
      </c>
      <c r="F3">
        <f t="shared" ca="1" si="0"/>
        <v>3</v>
      </c>
      <c r="G3">
        <f t="shared" ca="1" si="1"/>
        <v>1</v>
      </c>
    </row>
    <row r="4" spans="1:7" x14ac:dyDescent="0.2">
      <c r="A4" t="s">
        <v>254</v>
      </c>
      <c r="B4" t="s">
        <v>252</v>
      </c>
      <c r="C4" t="s">
        <v>255</v>
      </c>
      <c r="F4">
        <f t="shared" ca="1" si="0"/>
        <v>4</v>
      </c>
      <c r="G4">
        <f t="shared" ca="1" si="1"/>
        <v>1</v>
      </c>
    </row>
    <row r="5" spans="1:7" x14ac:dyDescent="0.2">
      <c r="A5" t="s">
        <v>256</v>
      </c>
      <c r="B5" t="s">
        <v>257</v>
      </c>
      <c r="C5" t="s">
        <v>258</v>
      </c>
      <c r="F5">
        <f t="shared" ca="1" si="0"/>
        <v>5</v>
      </c>
      <c r="G5">
        <f t="shared" ca="1" si="1"/>
        <v>1</v>
      </c>
    </row>
    <row r="6" spans="1:7" x14ac:dyDescent="0.2">
      <c r="A6" t="s">
        <v>259</v>
      </c>
      <c r="B6" t="s">
        <v>252</v>
      </c>
      <c r="C6" t="s">
        <v>260</v>
      </c>
      <c r="F6">
        <f t="shared" ca="1" si="0"/>
        <v>6</v>
      </c>
      <c r="G6">
        <f t="shared" ca="1" si="1"/>
        <v>1</v>
      </c>
    </row>
    <row r="7" spans="1:7" x14ac:dyDescent="0.2">
      <c r="A7" t="s">
        <v>262</v>
      </c>
      <c r="B7" t="s">
        <v>252</v>
      </c>
      <c r="C7" t="s">
        <v>263</v>
      </c>
      <c r="F7">
        <f t="shared" ca="1" si="0"/>
        <v>7</v>
      </c>
      <c r="G7">
        <f t="shared" ca="1" si="1"/>
        <v>2</v>
      </c>
    </row>
    <row r="8" spans="1:7" x14ac:dyDescent="0.2">
      <c r="A8" t="s">
        <v>262</v>
      </c>
      <c r="B8" t="s">
        <v>252</v>
      </c>
      <c r="C8" t="s">
        <v>264</v>
      </c>
      <c r="F8">
        <f t="shared" ca="1" si="0"/>
        <v>7</v>
      </c>
      <c r="G8">
        <f t="shared" ca="1" si="1"/>
        <v>2</v>
      </c>
    </row>
    <row r="9" spans="1:7" x14ac:dyDescent="0.2">
      <c r="A9" t="s">
        <v>870</v>
      </c>
      <c r="B9" t="s">
        <v>261</v>
      </c>
      <c r="C9" t="s">
        <v>261</v>
      </c>
      <c r="F9">
        <f t="shared" ca="1" si="0"/>
        <v>9</v>
      </c>
      <c r="G9">
        <f t="shared" ca="1" si="1"/>
        <v>1</v>
      </c>
    </row>
    <row r="10" spans="1:7" x14ac:dyDescent="0.2">
      <c r="A10" t="s">
        <v>265</v>
      </c>
      <c r="B10" t="s">
        <v>261</v>
      </c>
      <c r="C10" t="s">
        <v>261</v>
      </c>
      <c r="F10">
        <f t="shared" ca="1" si="0"/>
        <v>10</v>
      </c>
      <c r="G10">
        <f t="shared" ca="1" si="1"/>
        <v>1</v>
      </c>
    </row>
    <row r="11" spans="1:7" x14ac:dyDescent="0.2">
      <c r="A11" t="s">
        <v>266</v>
      </c>
      <c r="B11" t="s">
        <v>252</v>
      </c>
      <c r="C11" t="s">
        <v>255</v>
      </c>
      <c r="F11">
        <f t="shared" ca="1" si="0"/>
        <v>11</v>
      </c>
      <c r="G11">
        <f t="shared" ca="1" si="1"/>
        <v>1</v>
      </c>
    </row>
    <row r="12" spans="1:7" x14ac:dyDescent="0.2">
      <c r="A12" t="s">
        <v>1149</v>
      </c>
      <c r="B12" t="s">
        <v>261</v>
      </c>
      <c r="C12" t="s">
        <v>261</v>
      </c>
      <c r="F12">
        <f t="shared" ca="1" si="0"/>
        <v>12</v>
      </c>
      <c r="G12">
        <f t="shared" ca="1" si="1"/>
        <v>1</v>
      </c>
    </row>
    <row r="13" spans="1:7" x14ac:dyDescent="0.2">
      <c r="A13" t="s">
        <v>267</v>
      </c>
      <c r="B13" t="s">
        <v>252</v>
      </c>
      <c r="C13" t="s">
        <v>263</v>
      </c>
      <c r="F13">
        <f t="shared" ca="1" si="0"/>
        <v>13</v>
      </c>
      <c r="G13">
        <f t="shared" ca="1" si="1"/>
        <v>1</v>
      </c>
    </row>
    <row r="14" spans="1:7" x14ac:dyDescent="0.2">
      <c r="A14" t="s">
        <v>268</v>
      </c>
      <c r="B14" t="s">
        <v>252</v>
      </c>
      <c r="C14" t="s">
        <v>263</v>
      </c>
      <c r="F14">
        <f t="shared" ca="1" si="0"/>
        <v>14</v>
      </c>
      <c r="G14">
        <f t="shared" ca="1" si="1"/>
        <v>1</v>
      </c>
    </row>
    <row r="15" spans="1:7" x14ac:dyDescent="0.2">
      <c r="A15" t="s">
        <v>269</v>
      </c>
      <c r="B15" t="s">
        <v>252</v>
      </c>
      <c r="C15" t="s">
        <v>263</v>
      </c>
      <c r="F15">
        <f t="shared" ca="1" si="0"/>
        <v>15</v>
      </c>
      <c r="G15">
        <f t="shared" ca="1" si="1"/>
        <v>1</v>
      </c>
    </row>
    <row r="16" spans="1:7" x14ac:dyDescent="0.2">
      <c r="A16" t="s">
        <v>270</v>
      </c>
      <c r="B16" t="s">
        <v>252</v>
      </c>
      <c r="C16" t="s">
        <v>263</v>
      </c>
      <c r="F16">
        <f t="shared" ca="1" si="0"/>
        <v>16</v>
      </c>
      <c r="G16">
        <f t="shared" ca="1" si="1"/>
        <v>1</v>
      </c>
    </row>
    <row r="17" spans="1:7" x14ac:dyDescent="0.2">
      <c r="A17" t="s">
        <v>271</v>
      </c>
      <c r="B17" t="s">
        <v>252</v>
      </c>
      <c r="C17" t="s">
        <v>264</v>
      </c>
      <c r="F17">
        <f t="shared" ca="1" si="0"/>
        <v>17</v>
      </c>
      <c r="G17">
        <f t="shared" ca="1" si="1"/>
        <v>2</v>
      </c>
    </row>
    <row r="18" spans="1:7" x14ac:dyDescent="0.2">
      <c r="A18" t="s">
        <v>271</v>
      </c>
      <c r="B18" t="s">
        <v>252</v>
      </c>
      <c r="C18" t="s">
        <v>263</v>
      </c>
      <c r="F18">
        <f t="shared" ca="1" si="0"/>
        <v>17</v>
      </c>
      <c r="G18">
        <f t="shared" ca="1" si="1"/>
        <v>2</v>
      </c>
    </row>
    <row r="19" spans="1:7" x14ac:dyDescent="0.2">
      <c r="A19" t="s">
        <v>272</v>
      </c>
      <c r="B19" t="s">
        <v>252</v>
      </c>
      <c r="C19" t="s">
        <v>273</v>
      </c>
      <c r="F19">
        <f t="shared" ca="1" si="0"/>
        <v>19</v>
      </c>
      <c r="G19">
        <f t="shared" ca="1" si="1"/>
        <v>1</v>
      </c>
    </row>
    <row r="20" spans="1:7" x14ac:dyDescent="0.2">
      <c r="A20" t="s">
        <v>274</v>
      </c>
      <c r="B20" t="s">
        <v>275</v>
      </c>
      <c r="C20" t="s">
        <v>275</v>
      </c>
      <c r="F20">
        <f t="shared" ca="1" si="0"/>
        <v>20</v>
      </c>
      <c r="G20">
        <f t="shared" ca="1" si="1"/>
        <v>2</v>
      </c>
    </row>
    <row r="21" spans="1:7" x14ac:dyDescent="0.2">
      <c r="A21" t="s">
        <v>274</v>
      </c>
      <c r="B21" t="s">
        <v>276</v>
      </c>
      <c r="C21" t="s">
        <v>276</v>
      </c>
      <c r="F21">
        <f t="shared" ca="1" si="0"/>
        <v>20</v>
      </c>
      <c r="G21">
        <f t="shared" ca="1" si="1"/>
        <v>2</v>
      </c>
    </row>
    <row r="22" spans="1:7" x14ac:dyDescent="0.2">
      <c r="A22" t="s">
        <v>277</v>
      </c>
      <c r="B22" t="s">
        <v>252</v>
      </c>
      <c r="C22" t="s">
        <v>263</v>
      </c>
      <c r="F22">
        <f t="shared" ca="1" si="0"/>
        <v>22</v>
      </c>
      <c r="G22">
        <f t="shared" ca="1" si="1"/>
        <v>1</v>
      </c>
    </row>
    <row r="23" spans="1:7" x14ac:dyDescent="0.2">
      <c r="A23" t="s">
        <v>278</v>
      </c>
      <c r="B23" t="s">
        <v>252</v>
      </c>
      <c r="C23" t="s">
        <v>263</v>
      </c>
      <c r="F23">
        <f t="shared" ca="1" si="0"/>
        <v>23</v>
      </c>
      <c r="G23">
        <f t="shared" ca="1" si="1"/>
        <v>1</v>
      </c>
    </row>
    <row r="24" spans="1:7" x14ac:dyDescent="0.2">
      <c r="A24" t="s">
        <v>279</v>
      </c>
      <c r="B24" t="s">
        <v>252</v>
      </c>
      <c r="C24" t="s">
        <v>264</v>
      </c>
      <c r="F24">
        <f t="shared" ca="1" si="0"/>
        <v>24</v>
      </c>
      <c r="G24">
        <f t="shared" ca="1" si="1"/>
        <v>1</v>
      </c>
    </row>
    <row r="25" spans="1:7" x14ac:dyDescent="0.2">
      <c r="A25" t="s">
        <v>280</v>
      </c>
      <c r="B25" t="s">
        <v>252</v>
      </c>
      <c r="C25" t="s">
        <v>264</v>
      </c>
      <c r="F25">
        <f t="shared" ca="1" si="0"/>
        <v>25</v>
      </c>
      <c r="G25">
        <f t="shared" ca="1" si="1"/>
        <v>1</v>
      </c>
    </row>
    <row r="26" spans="1:7" x14ac:dyDescent="0.2">
      <c r="A26" t="s">
        <v>281</v>
      </c>
      <c r="B26" t="s">
        <v>252</v>
      </c>
      <c r="C26" t="s">
        <v>282</v>
      </c>
      <c r="F26">
        <f t="shared" ca="1" si="0"/>
        <v>26</v>
      </c>
      <c r="G26">
        <f t="shared" ca="1" si="1"/>
        <v>1</v>
      </c>
    </row>
    <row r="27" spans="1:7" x14ac:dyDescent="0.2">
      <c r="A27" t="s">
        <v>1150</v>
      </c>
      <c r="B27" t="s">
        <v>261</v>
      </c>
      <c r="C27" t="s">
        <v>261</v>
      </c>
      <c r="F27">
        <f t="shared" ca="1" si="0"/>
        <v>27</v>
      </c>
      <c r="G27">
        <f t="shared" ca="1" si="1"/>
        <v>1</v>
      </c>
    </row>
    <row r="28" spans="1:7" x14ac:dyDescent="0.2">
      <c r="A28" t="s">
        <v>283</v>
      </c>
      <c r="B28" t="s">
        <v>257</v>
      </c>
      <c r="C28" t="s">
        <v>284</v>
      </c>
      <c r="F28">
        <f t="shared" ca="1" si="0"/>
        <v>28</v>
      </c>
      <c r="G28">
        <f t="shared" ca="1" si="1"/>
        <v>1</v>
      </c>
    </row>
    <row r="29" spans="1:7" x14ac:dyDescent="0.2">
      <c r="A29" t="s">
        <v>285</v>
      </c>
      <c r="B29" t="s">
        <v>257</v>
      </c>
      <c r="C29" t="s">
        <v>284</v>
      </c>
      <c r="F29">
        <f t="shared" ca="1" si="0"/>
        <v>29</v>
      </c>
      <c r="G29">
        <f t="shared" ca="1" si="1"/>
        <v>1</v>
      </c>
    </row>
    <row r="30" spans="1:7" x14ac:dyDescent="0.2">
      <c r="A30" t="s">
        <v>286</v>
      </c>
      <c r="B30" t="s">
        <v>252</v>
      </c>
      <c r="C30" t="s">
        <v>255</v>
      </c>
      <c r="F30">
        <f t="shared" ca="1" si="0"/>
        <v>30</v>
      </c>
      <c r="G30">
        <f t="shared" ca="1" si="1"/>
        <v>1</v>
      </c>
    </row>
    <row r="31" spans="1:7" x14ac:dyDescent="0.2">
      <c r="A31" t="s">
        <v>1151</v>
      </c>
      <c r="B31" t="s">
        <v>261</v>
      </c>
      <c r="C31" t="s">
        <v>261</v>
      </c>
      <c r="F31">
        <f t="shared" ca="1" si="0"/>
        <v>31</v>
      </c>
      <c r="G31">
        <f t="shared" ca="1" si="1"/>
        <v>1</v>
      </c>
    </row>
    <row r="32" spans="1:7" x14ac:dyDescent="0.2">
      <c r="A32" t="s">
        <v>287</v>
      </c>
      <c r="B32" t="s">
        <v>252</v>
      </c>
      <c r="C32" t="s">
        <v>255</v>
      </c>
      <c r="F32">
        <f t="shared" ca="1" si="0"/>
        <v>32</v>
      </c>
      <c r="G32">
        <f t="shared" ca="1" si="1"/>
        <v>1</v>
      </c>
    </row>
    <row r="33" spans="1:7" x14ac:dyDescent="0.2">
      <c r="A33" t="s">
        <v>288</v>
      </c>
      <c r="B33" t="s">
        <v>252</v>
      </c>
      <c r="C33" t="s">
        <v>263</v>
      </c>
      <c r="F33">
        <f t="shared" ca="1" si="0"/>
        <v>33</v>
      </c>
      <c r="G33">
        <f t="shared" ca="1" si="1"/>
        <v>1</v>
      </c>
    </row>
    <row r="34" spans="1:7" x14ac:dyDescent="0.2">
      <c r="A34" t="s">
        <v>86</v>
      </c>
      <c r="B34" t="s">
        <v>252</v>
      </c>
      <c r="C34" t="s">
        <v>289</v>
      </c>
      <c r="F34">
        <f t="shared" ca="1" si="0"/>
        <v>34</v>
      </c>
      <c r="G34">
        <f t="shared" ca="1" si="1"/>
        <v>1</v>
      </c>
    </row>
    <row r="35" spans="1:7" x14ac:dyDescent="0.2">
      <c r="A35" t="s">
        <v>290</v>
      </c>
      <c r="B35" t="s">
        <v>252</v>
      </c>
      <c r="C35" t="s">
        <v>263</v>
      </c>
      <c r="F35">
        <f t="shared" ca="1" si="0"/>
        <v>35</v>
      </c>
      <c r="G35">
        <f t="shared" ca="1" si="1"/>
        <v>1</v>
      </c>
    </row>
    <row r="36" spans="1:7" x14ac:dyDescent="0.2">
      <c r="A36" t="s">
        <v>291</v>
      </c>
      <c r="B36" t="s">
        <v>252</v>
      </c>
      <c r="C36" t="s">
        <v>255</v>
      </c>
      <c r="F36">
        <f t="shared" ca="1" si="0"/>
        <v>36</v>
      </c>
      <c r="G36">
        <f t="shared" ca="1" si="1"/>
        <v>1</v>
      </c>
    </row>
    <row r="37" spans="1:7" x14ac:dyDescent="0.2">
      <c r="A37" t="s">
        <v>90</v>
      </c>
      <c r="B37" t="s">
        <v>252</v>
      </c>
      <c r="C37" t="s">
        <v>264</v>
      </c>
      <c r="F37">
        <f t="shared" ca="1" si="0"/>
        <v>37</v>
      </c>
      <c r="G37">
        <f t="shared" ca="1" si="1"/>
        <v>1</v>
      </c>
    </row>
    <row r="38" spans="1:7" x14ac:dyDescent="0.2">
      <c r="A38" t="s">
        <v>292</v>
      </c>
      <c r="B38" t="s">
        <v>252</v>
      </c>
      <c r="C38" t="s">
        <v>264</v>
      </c>
      <c r="F38">
        <f t="shared" ca="1" si="0"/>
        <v>38</v>
      </c>
      <c r="G38">
        <f t="shared" ca="1" si="1"/>
        <v>1</v>
      </c>
    </row>
    <row r="39" spans="1:7" x14ac:dyDescent="0.2">
      <c r="A39" t="s">
        <v>293</v>
      </c>
      <c r="B39" t="s">
        <v>257</v>
      </c>
      <c r="C39" t="s">
        <v>284</v>
      </c>
      <c r="F39">
        <f t="shared" ca="1" si="0"/>
        <v>39</v>
      </c>
      <c r="G39">
        <f t="shared" ca="1" si="1"/>
        <v>1</v>
      </c>
    </row>
    <row r="40" spans="1:7" x14ac:dyDescent="0.2">
      <c r="A40" t="s">
        <v>294</v>
      </c>
      <c r="B40" t="s">
        <v>257</v>
      </c>
      <c r="C40" t="s">
        <v>284</v>
      </c>
      <c r="F40">
        <f t="shared" ca="1" si="0"/>
        <v>40</v>
      </c>
      <c r="G40">
        <f t="shared" ca="1" si="1"/>
        <v>1</v>
      </c>
    </row>
    <row r="41" spans="1:7" x14ac:dyDescent="0.2">
      <c r="A41" t="s">
        <v>295</v>
      </c>
      <c r="B41" t="s">
        <v>257</v>
      </c>
      <c r="C41" t="s">
        <v>284</v>
      </c>
      <c r="F41">
        <f t="shared" ca="1" si="0"/>
        <v>41</v>
      </c>
      <c r="G41">
        <f t="shared" ca="1" si="1"/>
        <v>1</v>
      </c>
    </row>
    <row r="42" spans="1:7" x14ac:dyDescent="0.2">
      <c r="A42" t="s">
        <v>296</v>
      </c>
      <c r="B42" t="s">
        <v>257</v>
      </c>
      <c r="C42" t="s">
        <v>284</v>
      </c>
      <c r="F42">
        <f t="shared" ca="1" si="0"/>
        <v>42</v>
      </c>
      <c r="G42">
        <f t="shared" ca="1" si="1"/>
        <v>1</v>
      </c>
    </row>
    <row r="43" spans="1:7" x14ac:dyDescent="0.2">
      <c r="A43" t="s">
        <v>297</v>
      </c>
      <c r="B43" t="s">
        <v>257</v>
      </c>
      <c r="C43" t="s">
        <v>284</v>
      </c>
      <c r="F43">
        <f t="shared" ca="1" si="0"/>
        <v>43</v>
      </c>
      <c r="G43">
        <f t="shared" ca="1" si="1"/>
        <v>1</v>
      </c>
    </row>
    <row r="44" spans="1:7" x14ac:dyDescent="0.2">
      <c r="A44" t="s">
        <v>298</v>
      </c>
      <c r="B44" t="s">
        <v>257</v>
      </c>
      <c r="C44" t="s">
        <v>284</v>
      </c>
      <c r="F44">
        <f t="shared" ca="1" si="0"/>
        <v>44</v>
      </c>
      <c r="G44">
        <f t="shared" ca="1" si="1"/>
        <v>1</v>
      </c>
    </row>
    <row r="45" spans="1:7" x14ac:dyDescent="0.2">
      <c r="A45" t="s">
        <v>299</v>
      </c>
      <c r="B45" t="s">
        <v>257</v>
      </c>
      <c r="C45" t="s">
        <v>284</v>
      </c>
      <c r="F45">
        <f t="shared" ca="1" si="0"/>
        <v>45</v>
      </c>
      <c r="G45">
        <f t="shared" ca="1" si="1"/>
        <v>1</v>
      </c>
    </row>
    <row r="46" spans="1:7" x14ac:dyDescent="0.2">
      <c r="A46" t="s">
        <v>300</v>
      </c>
      <c r="B46" t="s">
        <v>257</v>
      </c>
      <c r="C46" t="s">
        <v>284</v>
      </c>
      <c r="F46">
        <f t="shared" ca="1" si="0"/>
        <v>46</v>
      </c>
      <c r="G46">
        <f t="shared" ca="1" si="1"/>
        <v>1</v>
      </c>
    </row>
    <row r="47" spans="1:7" x14ac:dyDescent="0.2">
      <c r="A47" t="s">
        <v>1152</v>
      </c>
      <c r="B47" t="s">
        <v>257</v>
      </c>
      <c r="C47" t="s">
        <v>284</v>
      </c>
      <c r="F47">
        <f t="shared" ca="1" si="0"/>
        <v>47</v>
      </c>
      <c r="G47">
        <f t="shared" ca="1" si="1"/>
        <v>1</v>
      </c>
    </row>
    <row r="48" spans="1:7" x14ac:dyDescent="0.2">
      <c r="A48" t="s">
        <v>301</v>
      </c>
      <c r="B48" t="s">
        <v>257</v>
      </c>
      <c r="C48" t="s">
        <v>284</v>
      </c>
      <c r="F48">
        <f t="shared" ca="1" si="0"/>
        <v>48</v>
      </c>
      <c r="G48">
        <f t="shared" ca="1" si="1"/>
        <v>1</v>
      </c>
    </row>
    <row r="49" spans="1:7" x14ac:dyDescent="0.2">
      <c r="A49" t="s">
        <v>302</v>
      </c>
      <c r="B49" t="s">
        <v>257</v>
      </c>
      <c r="C49" t="s">
        <v>284</v>
      </c>
      <c r="F49">
        <f t="shared" ca="1" si="0"/>
        <v>49</v>
      </c>
      <c r="G49">
        <f t="shared" ca="1" si="1"/>
        <v>1</v>
      </c>
    </row>
    <row r="50" spans="1:7" x14ac:dyDescent="0.2">
      <c r="A50" t="s">
        <v>1153</v>
      </c>
      <c r="B50" t="s">
        <v>257</v>
      </c>
      <c r="C50" t="s">
        <v>284</v>
      </c>
      <c r="F50">
        <f t="shared" ca="1" si="0"/>
        <v>50</v>
      </c>
      <c r="G50">
        <f t="shared" ca="1" si="1"/>
        <v>1</v>
      </c>
    </row>
    <row r="51" spans="1:7" x14ac:dyDescent="0.2">
      <c r="A51" t="s">
        <v>303</v>
      </c>
      <c r="B51" t="s">
        <v>252</v>
      </c>
      <c r="C51" t="s">
        <v>263</v>
      </c>
      <c r="F51">
        <f t="shared" ca="1" si="0"/>
        <v>51</v>
      </c>
      <c r="G51">
        <f t="shared" ca="1" si="1"/>
        <v>1</v>
      </c>
    </row>
    <row r="52" spans="1:7" x14ac:dyDescent="0.2">
      <c r="A52" t="s">
        <v>304</v>
      </c>
      <c r="B52" t="s">
        <v>252</v>
      </c>
      <c r="C52" t="s">
        <v>263</v>
      </c>
      <c r="F52">
        <f t="shared" ca="1" si="0"/>
        <v>52</v>
      </c>
      <c r="G52">
        <f t="shared" ca="1" si="1"/>
        <v>1</v>
      </c>
    </row>
    <row r="53" spans="1:7" x14ac:dyDescent="0.2">
      <c r="A53" t="s">
        <v>305</v>
      </c>
      <c r="B53" t="s">
        <v>257</v>
      </c>
      <c r="C53" t="s">
        <v>284</v>
      </c>
      <c r="F53">
        <f t="shared" ca="1" si="0"/>
        <v>53</v>
      </c>
      <c r="G53">
        <f t="shared" ca="1" si="1"/>
        <v>1</v>
      </c>
    </row>
    <row r="54" spans="1:7" x14ac:dyDescent="0.2">
      <c r="A54" t="s">
        <v>306</v>
      </c>
      <c r="B54" t="s">
        <v>257</v>
      </c>
      <c r="C54" t="s">
        <v>284</v>
      </c>
      <c r="F54">
        <f t="shared" ca="1" si="0"/>
        <v>54</v>
      </c>
      <c r="G54">
        <f t="shared" ca="1" si="1"/>
        <v>1</v>
      </c>
    </row>
    <row r="55" spans="1:7" x14ac:dyDescent="0.2">
      <c r="A55" t="s">
        <v>307</v>
      </c>
      <c r="B55" t="s">
        <v>261</v>
      </c>
      <c r="C55" t="s">
        <v>261</v>
      </c>
      <c r="F55">
        <f t="shared" ca="1" si="0"/>
        <v>55</v>
      </c>
      <c r="G55">
        <f t="shared" ca="1" si="1"/>
        <v>1</v>
      </c>
    </row>
    <row r="56" spans="1:7" x14ac:dyDescent="0.2">
      <c r="A56" t="s">
        <v>103</v>
      </c>
      <c r="B56" t="s">
        <v>252</v>
      </c>
      <c r="C56" t="s">
        <v>263</v>
      </c>
      <c r="F56">
        <f t="shared" ca="1" si="0"/>
        <v>56</v>
      </c>
      <c r="G56">
        <f t="shared" ca="1" si="1"/>
        <v>1</v>
      </c>
    </row>
    <row r="57" spans="1:7" x14ac:dyDescent="0.2">
      <c r="A57" t="s">
        <v>308</v>
      </c>
      <c r="B57" t="s">
        <v>257</v>
      </c>
      <c r="C57" t="s">
        <v>284</v>
      </c>
      <c r="F57">
        <f t="shared" ca="1" si="0"/>
        <v>57</v>
      </c>
      <c r="G57">
        <f t="shared" ca="1" si="1"/>
        <v>1</v>
      </c>
    </row>
    <row r="58" spans="1:7" x14ac:dyDescent="0.2">
      <c r="A58" t="s">
        <v>1230</v>
      </c>
      <c r="B58" t="s">
        <v>261</v>
      </c>
      <c r="C58" t="s">
        <v>261</v>
      </c>
      <c r="F58">
        <f t="shared" ca="1" si="0"/>
        <v>58</v>
      </c>
      <c r="G58">
        <f t="shared" ca="1" si="1"/>
        <v>1</v>
      </c>
    </row>
    <row r="59" spans="1:7" x14ac:dyDescent="0.2">
      <c r="A59" t="s">
        <v>309</v>
      </c>
      <c r="B59" t="s">
        <v>252</v>
      </c>
      <c r="C59" t="s">
        <v>255</v>
      </c>
      <c r="F59">
        <f t="shared" ca="1" si="0"/>
        <v>59</v>
      </c>
      <c r="G59">
        <f t="shared" ca="1" si="1"/>
        <v>1</v>
      </c>
    </row>
    <row r="60" spans="1:7" x14ac:dyDescent="0.2">
      <c r="A60" t="s">
        <v>310</v>
      </c>
      <c r="B60" t="s">
        <v>252</v>
      </c>
      <c r="C60" t="s">
        <v>255</v>
      </c>
      <c r="F60">
        <f t="shared" ca="1" si="0"/>
        <v>60</v>
      </c>
      <c r="G60">
        <f t="shared" ca="1" si="1"/>
        <v>1</v>
      </c>
    </row>
    <row r="61" spans="1:7" x14ac:dyDescent="0.2">
      <c r="A61" t="s">
        <v>311</v>
      </c>
      <c r="B61" t="s">
        <v>257</v>
      </c>
      <c r="C61" t="s">
        <v>312</v>
      </c>
      <c r="F61">
        <f t="shared" ca="1" si="0"/>
        <v>61</v>
      </c>
      <c r="G61">
        <f t="shared" ca="1" si="1"/>
        <v>1</v>
      </c>
    </row>
    <row r="62" spans="1:7" x14ac:dyDescent="0.2">
      <c r="A62" t="s">
        <v>313</v>
      </c>
      <c r="B62" t="s">
        <v>252</v>
      </c>
      <c r="C62" t="s">
        <v>255</v>
      </c>
      <c r="F62">
        <f t="shared" ca="1" si="0"/>
        <v>62</v>
      </c>
      <c r="G62">
        <f t="shared" ca="1" si="1"/>
        <v>1</v>
      </c>
    </row>
    <row r="63" spans="1:7" x14ac:dyDescent="0.2">
      <c r="A63" t="s">
        <v>314</v>
      </c>
      <c r="B63" t="s">
        <v>261</v>
      </c>
      <c r="C63" t="s">
        <v>261</v>
      </c>
      <c r="F63">
        <f t="shared" ca="1" si="0"/>
        <v>63</v>
      </c>
      <c r="G63">
        <f t="shared" ca="1" si="1"/>
        <v>1</v>
      </c>
    </row>
    <row r="64" spans="1:7" x14ac:dyDescent="0.2">
      <c r="A64" t="s">
        <v>315</v>
      </c>
      <c r="B64" t="s">
        <v>252</v>
      </c>
      <c r="C64" t="s">
        <v>255</v>
      </c>
      <c r="F64">
        <f t="shared" ca="1" si="0"/>
        <v>64</v>
      </c>
      <c r="G64">
        <f t="shared" ca="1" si="1"/>
        <v>1</v>
      </c>
    </row>
    <row r="65" spans="1:7" x14ac:dyDescent="0.2">
      <c r="A65" t="s">
        <v>316</v>
      </c>
      <c r="B65" t="s">
        <v>252</v>
      </c>
      <c r="C65" t="s">
        <v>316</v>
      </c>
      <c r="F65">
        <f t="shared" ca="1" si="0"/>
        <v>65</v>
      </c>
      <c r="G65">
        <f t="shared" ca="1" si="1"/>
        <v>1</v>
      </c>
    </row>
    <row r="66" spans="1:7" x14ac:dyDescent="0.2">
      <c r="A66" t="s">
        <v>121</v>
      </c>
      <c r="B66" t="s">
        <v>121</v>
      </c>
      <c r="C66" t="s">
        <v>257</v>
      </c>
      <c r="F66">
        <f t="shared" ref="F66:F129" ca="1" si="2">IFERROR(MATCH(OFFSET($A$1,ROW()-1,0,1,1),A:A,0),"")</f>
        <v>66</v>
      </c>
      <c r="G66">
        <f t="shared" ref="G66:G129" ca="1" si="3">COUNTIF(A:A,OFFSET($A$1,ROW()-1,0))</f>
        <v>2</v>
      </c>
    </row>
    <row r="67" spans="1:7" x14ac:dyDescent="0.2">
      <c r="A67" t="s">
        <v>121</v>
      </c>
      <c r="B67" t="s">
        <v>121</v>
      </c>
      <c r="C67" t="s">
        <v>75</v>
      </c>
      <c r="F67">
        <f t="shared" ca="1" si="2"/>
        <v>66</v>
      </c>
      <c r="G67">
        <f t="shared" ca="1" si="3"/>
        <v>2</v>
      </c>
    </row>
    <row r="68" spans="1:7" x14ac:dyDescent="0.2">
      <c r="A68" t="s">
        <v>317</v>
      </c>
      <c r="B68" t="s">
        <v>257</v>
      </c>
      <c r="C68" t="s">
        <v>312</v>
      </c>
      <c r="F68">
        <f t="shared" ca="1" si="2"/>
        <v>68</v>
      </c>
      <c r="G68">
        <f t="shared" ca="1" si="3"/>
        <v>1</v>
      </c>
    </row>
    <row r="69" spans="1:7" x14ac:dyDescent="0.2">
      <c r="A69" t="s">
        <v>318</v>
      </c>
      <c r="B69" t="s">
        <v>252</v>
      </c>
      <c r="C69" t="s">
        <v>264</v>
      </c>
      <c r="F69">
        <f t="shared" ca="1" si="2"/>
        <v>69</v>
      </c>
      <c r="G69">
        <f t="shared" ca="1" si="3"/>
        <v>1</v>
      </c>
    </row>
    <row r="70" spans="1:7" x14ac:dyDescent="0.2">
      <c r="A70" t="s">
        <v>1154</v>
      </c>
      <c r="B70" t="s">
        <v>252</v>
      </c>
      <c r="C70" t="s">
        <v>264</v>
      </c>
      <c r="F70">
        <f t="shared" ca="1" si="2"/>
        <v>70</v>
      </c>
      <c r="G70">
        <f t="shared" ca="1" si="3"/>
        <v>1</v>
      </c>
    </row>
    <row r="71" spans="1:7" x14ac:dyDescent="0.2">
      <c r="A71" t="s">
        <v>319</v>
      </c>
      <c r="B71" t="s">
        <v>252</v>
      </c>
      <c r="C71" t="s">
        <v>255</v>
      </c>
      <c r="F71">
        <f t="shared" ca="1" si="2"/>
        <v>71</v>
      </c>
      <c r="G71">
        <f t="shared" ca="1" si="3"/>
        <v>1</v>
      </c>
    </row>
    <row r="72" spans="1:7" x14ac:dyDescent="0.2">
      <c r="A72" t="s">
        <v>129</v>
      </c>
      <c r="B72" t="s">
        <v>252</v>
      </c>
      <c r="C72" t="s">
        <v>264</v>
      </c>
      <c r="F72">
        <f t="shared" ca="1" si="2"/>
        <v>72</v>
      </c>
      <c r="G72">
        <f t="shared" ca="1" si="3"/>
        <v>2</v>
      </c>
    </row>
    <row r="73" spans="1:7" x14ac:dyDescent="0.2">
      <c r="A73" t="s">
        <v>129</v>
      </c>
      <c r="B73" t="s">
        <v>252</v>
      </c>
      <c r="C73" t="s">
        <v>289</v>
      </c>
      <c r="F73">
        <f t="shared" ca="1" si="2"/>
        <v>72</v>
      </c>
      <c r="G73">
        <f t="shared" ca="1" si="3"/>
        <v>2</v>
      </c>
    </row>
    <row r="74" spans="1:7" x14ac:dyDescent="0.2">
      <c r="A74" t="s">
        <v>320</v>
      </c>
      <c r="B74" t="s">
        <v>257</v>
      </c>
      <c r="C74" t="s">
        <v>312</v>
      </c>
      <c r="F74">
        <f t="shared" ca="1" si="2"/>
        <v>74</v>
      </c>
      <c r="G74">
        <f t="shared" ca="1" si="3"/>
        <v>1</v>
      </c>
    </row>
    <row r="75" spans="1:7" x14ac:dyDescent="0.2">
      <c r="A75" t="s">
        <v>321</v>
      </c>
      <c r="B75" t="s">
        <v>252</v>
      </c>
      <c r="C75" t="s">
        <v>255</v>
      </c>
      <c r="F75">
        <f t="shared" ca="1" si="2"/>
        <v>75</v>
      </c>
      <c r="G75">
        <f t="shared" ca="1" si="3"/>
        <v>2</v>
      </c>
    </row>
    <row r="76" spans="1:7" x14ac:dyDescent="0.2">
      <c r="A76" t="s">
        <v>321</v>
      </c>
      <c r="B76" t="s">
        <v>261</v>
      </c>
      <c r="C76" t="s">
        <v>261</v>
      </c>
      <c r="F76">
        <f t="shared" ca="1" si="2"/>
        <v>75</v>
      </c>
      <c r="G76">
        <f t="shared" ca="1" si="3"/>
        <v>2</v>
      </c>
    </row>
    <row r="77" spans="1:7" x14ac:dyDescent="0.2">
      <c r="A77" t="s">
        <v>322</v>
      </c>
      <c r="B77" t="s">
        <v>252</v>
      </c>
      <c r="C77" t="s">
        <v>264</v>
      </c>
      <c r="F77">
        <f t="shared" ca="1" si="2"/>
        <v>77</v>
      </c>
      <c r="G77">
        <f t="shared" ca="1" si="3"/>
        <v>1</v>
      </c>
    </row>
    <row r="78" spans="1:7" x14ac:dyDescent="0.2">
      <c r="A78" t="s">
        <v>323</v>
      </c>
      <c r="B78" t="s">
        <v>257</v>
      </c>
      <c r="C78" t="s">
        <v>312</v>
      </c>
      <c r="F78">
        <f t="shared" ca="1" si="2"/>
        <v>78</v>
      </c>
      <c r="G78">
        <f t="shared" ca="1" si="3"/>
        <v>1</v>
      </c>
    </row>
    <row r="79" spans="1:7" x14ac:dyDescent="0.2">
      <c r="A79" t="s">
        <v>324</v>
      </c>
      <c r="B79" t="s">
        <v>257</v>
      </c>
      <c r="C79" t="s">
        <v>312</v>
      </c>
      <c r="F79">
        <f t="shared" ca="1" si="2"/>
        <v>79</v>
      </c>
      <c r="G79">
        <f t="shared" ca="1" si="3"/>
        <v>1</v>
      </c>
    </row>
    <row r="80" spans="1:7" x14ac:dyDescent="0.2">
      <c r="A80" t="s">
        <v>1155</v>
      </c>
      <c r="B80" t="s">
        <v>261</v>
      </c>
      <c r="C80" t="s">
        <v>261</v>
      </c>
      <c r="F80">
        <f t="shared" ca="1" si="2"/>
        <v>80</v>
      </c>
      <c r="G80">
        <f t="shared" ca="1" si="3"/>
        <v>1</v>
      </c>
    </row>
    <row r="81" spans="1:7" x14ac:dyDescent="0.2">
      <c r="A81" t="s">
        <v>871</v>
      </c>
      <c r="B81" t="s">
        <v>261</v>
      </c>
      <c r="C81" t="s">
        <v>261</v>
      </c>
      <c r="F81">
        <f t="shared" ca="1" si="2"/>
        <v>81</v>
      </c>
      <c r="G81">
        <f t="shared" ca="1" si="3"/>
        <v>1</v>
      </c>
    </row>
    <row r="82" spans="1:7" x14ac:dyDescent="0.2">
      <c r="A82" t="s">
        <v>325</v>
      </c>
      <c r="B82" t="s">
        <v>257</v>
      </c>
      <c r="C82" t="s">
        <v>284</v>
      </c>
      <c r="F82">
        <f t="shared" ca="1" si="2"/>
        <v>82</v>
      </c>
      <c r="G82">
        <f t="shared" ca="1" si="3"/>
        <v>1</v>
      </c>
    </row>
    <row r="83" spans="1:7" x14ac:dyDescent="0.2">
      <c r="A83" t="s">
        <v>326</v>
      </c>
      <c r="B83" t="s">
        <v>252</v>
      </c>
      <c r="C83" t="s">
        <v>255</v>
      </c>
      <c r="F83">
        <f t="shared" ca="1" si="2"/>
        <v>83</v>
      </c>
      <c r="G83">
        <f t="shared" ca="1" si="3"/>
        <v>1</v>
      </c>
    </row>
    <row r="84" spans="1:7" x14ac:dyDescent="0.2">
      <c r="A84" t="s">
        <v>327</v>
      </c>
      <c r="B84" t="s">
        <v>252</v>
      </c>
      <c r="C84" t="s">
        <v>255</v>
      </c>
      <c r="F84">
        <f t="shared" ca="1" si="2"/>
        <v>84</v>
      </c>
      <c r="G84">
        <f t="shared" ca="1" si="3"/>
        <v>1</v>
      </c>
    </row>
    <row r="85" spans="1:7" x14ac:dyDescent="0.2">
      <c r="A85" t="s">
        <v>779</v>
      </c>
      <c r="B85" t="s">
        <v>252</v>
      </c>
      <c r="C85" t="s">
        <v>264</v>
      </c>
      <c r="F85">
        <f t="shared" ca="1" si="2"/>
        <v>85</v>
      </c>
      <c r="G85">
        <f t="shared" ca="1" si="3"/>
        <v>1</v>
      </c>
    </row>
    <row r="86" spans="1:7" x14ac:dyDescent="0.2">
      <c r="A86" t="s">
        <v>328</v>
      </c>
      <c r="B86" t="s">
        <v>252</v>
      </c>
      <c r="C86" t="s">
        <v>263</v>
      </c>
      <c r="F86">
        <f t="shared" ca="1" si="2"/>
        <v>86</v>
      </c>
      <c r="G86">
        <f t="shared" ca="1" si="3"/>
        <v>1</v>
      </c>
    </row>
    <row r="87" spans="1:7" x14ac:dyDescent="0.2">
      <c r="A87" t="s">
        <v>329</v>
      </c>
      <c r="B87" t="s">
        <v>252</v>
      </c>
      <c r="C87" t="s">
        <v>253</v>
      </c>
      <c r="F87">
        <f t="shared" ca="1" si="2"/>
        <v>87</v>
      </c>
      <c r="G87">
        <f t="shared" ca="1" si="3"/>
        <v>1</v>
      </c>
    </row>
    <row r="88" spans="1:7" x14ac:dyDescent="0.2">
      <c r="A88" t="s">
        <v>1156</v>
      </c>
      <c r="B88" t="s">
        <v>252</v>
      </c>
      <c r="C88" t="s">
        <v>282</v>
      </c>
      <c r="F88">
        <f t="shared" ca="1" si="2"/>
        <v>88</v>
      </c>
      <c r="G88">
        <f t="shared" ca="1" si="3"/>
        <v>1</v>
      </c>
    </row>
    <row r="89" spans="1:7" x14ac:dyDescent="0.2">
      <c r="A89" t="s">
        <v>330</v>
      </c>
      <c r="B89" t="s">
        <v>252</v>
      </c>
      <c r="C89" t="s">
        <v>331</v>
      </c>
      <c r="F89">
        <f t="shared" ca="1" si="2"/>
        <v>89</v>
      </c>
      <c r="G89">
        <f t="shared" ca="1" si="3"/>
        <v>1</v>
      </c>
    </row>
    <row r="90" spans="1:7" x14ac:dyDescent="0.2">
      <c r="A90" t="s">
        <v>151</v>
      </c>
      <c r="B90" t="s">
        <v>252</v>
      </c>
      <c r="C90" t="s">
        <v>264</v>
      </c>
      <c r="F90">
        <f t="shared" ca="1" si="2"/>
        <v>90</v>
      </c>
      <c r="G90">
        <f t="shared" ca="1" si="3"/>
        <v>1</v>
      </c>
    </row>
    <row r="91" spans="1:7" x14ac:dyDescent="0.2">
      <c r="A91" t="s">
        <v>1157</v>
      </c>
      <c r="B91" t="s">
        <v>261</v>
      </c>
      <c r="C91" t="s">
        <v>261</v>
      </c>
      <c r="F91">
        <f t="shared" ca="1" si="2"/>
        <v>91</v>
      </c>
      <c r="G91">
        <f t="shared" ca="1" si="3"/>
        <v>1</v>
      </c>
    </row>
    <row r="92" spans="1:7" x14ac:dyDescent="0.2">
      <c r="A92" t="s">
        <v>332</v>
      </c>
      <c r="B92" t="s">
        <v>252</v>
      </c>
      <c r="C92" t="s">
        <v>263</v>
      </c>
      <c r="F92">
        <f t="shared" ca="1" si="2"/>
        <v>92</v>
      </c>
      <c r="G92">
        <f t="shared" ca="1" si="3"/>
        <v>1</v>
      </c>
    </row>
    <row r="93" spans="1:7" x14ac:dyDescent="0.2">
      <c r="A93" t="s">
        <v>333</v>
      </c>
      <c r="B93" t="s">
        <v>252</v>
      </c>
      <c r="C93" t="s">
        <v>255</v>
      </c>
      <c r="F93">
        <f t="shared" ca="1" si="2"/>
        <v>93</v>
      </c>
      <c r="G93">
        <f t="shared" ca="1" si="3"/>
        <v>1</v>
      </c>
    </row>
    <row r="94" spans="1:7" x14ac:dyDescent="0.2">
      <c r="A94" t="s">
        <v>334</v>
      </c>
      <c r="B94" t="s">
        <v>252</v>
      </c>
      <c r="C94" t="s">
        <v>289</v>
      </c>
      <c r="F94">
        <f t="shared" ca="1" si="2"/>
        <v>94</v>
      </c>
      <c r="G94">
        <f t="shared" ca="1" si="3"/>
        <v>2</v>
      </c>
    </row>
    <row r="95" spans="1:7" x14ac:dyDescent="0.2">
      <c r="A95" t="s">
        <v>334</v>
      </c>
      <c r="B95" t="s">
        <v>252</v>
      </c>
      <c r="C95" t="s">
        <v>264</v>
      </c>
      <c r="F95">
        <f t="shared" ca="1" si="2"/>
        <v>94</v>
      </c>
      <c r="G95">
        <f t="shared" ca="1" si="3"/>
        <v>2</v>
      </c>
    </row>
    <row r="96" spans="1:7" x14ac:dyDescent="0.2">
      <c r="A96" t="s">
        <v>335</v>
      </c>
      <c r="B96" t="s">
        <v>252</v>
      </c>
      <c r="C96" t="s">
        <v>263</v>
      </c>
      <c r="F96">
        <f t="shared" ca="1" si="2"/>
        <v>96</v>
      </c>
      <c r="G96">
        <f t="shared" ca="1" si="3"/>
        <v>1</v>
      </c>
    </row>
    <row r="97" spans="1:7" x14ac:dyDescent="0.2">
      <c r="A97" t="s">
        <v>336</v>
      </c>
      <c r="B97" t="s">
        <v>261</v>
      </c>
      <c r="C97" t="s">
        <v>261</v>
      </c>
      <c r="F97">
        <f t="shared" ca="1" si="2"/>
        <v>97</v>
      </c>
      <c r="G97">
        <f t="shared" ca="1" si="3"/>
        <v>1</v>
      </c>
    </row>
    <row r="98" spans="1:7" x14ac:dyDescent="0.2">
      <c r="A98" t="s">
        <v>337</v>
      </c>
      <c r="B98" t="s">
        <v>261</v>
      </c>
      <c r="C98" t="s">
        <v>261</v>
      </c>
      <c r="F98">
        <f t="shared" ca="1" si="2"/>
        <v>98</v>
      </c>
      <c r="G98">
        <f t="shared" ca="1" si="3"/>
        <v>1</v>
      </c>
    </row>
    <row r="99" spans="1:7" x14ac:dyDescent="0.2">
      <c r="A99" t="s">
        <v>1158</v>
      </c>
      <c r="B99" t="s">
        <v>252</v>
      </c>
      <c r="C99" t="s">
        <v>264</v>
      </c>
      <c r="F99">
        <f t="shared" ca="1" si="2"/>
        <v>99</v>
      </c>
      <c r="G99">
        <f t="shared" ca="1" si="3"/>
        <v>1</v>
      </c>
    </row>
    <row r="100" spans="1:7" x14ac:dyDescent="0.2">
      <c r="A100" t="s">
        <v>338</v>
      </c>
      <c r="B100" t="s">
        <v>252</v>
      </c>
      <c r="C100" t="s">
        <v>263</v>
      </c>
      <c r="F100">
        <f t="shared" ca="1" si="2"/>
        <v>100</v>
      </c>
      <c r="G100">
        <f t="shared" ca="1" si="3"/>
        <v>1</v>
      </c>
    </row>
    <row r="101" spans="1:7" x14ac:dyDescent="0.2">
      <c r="A101" t="s">
        <v>339</v>
      </c>
      <c r="B101" t="s">
        <v>252</v>
      </c>
      <c r="C101" t="s">
        <v>282</v>
      </c>
      <c r="F101">
        <f t="shared" ca="1" si="2"/>
        <v>101</v>
      </c>
      <c r="G101">
        <f t="shared" ca="1" si="3"/>
        <v>1</v>
      </c>
    </row>
    <row r="102" spans="1:7" x14ac:dyDescent="0.2">
      <c r="A102" t="s">
        <v>1159</v>
      </c>
      <c r="B102" t="s">
        <v>252</v>
      </c>
      <c r="C102" t="s">
        <v>282</v>
      </c>
      <c r="F102">
        <f t="shared" ca="1" si="2"/>
        <v>102</v>
      </c>
      <c r="G102">
        <f t="shared" ca="1" si="3"/>
        <v>1</v>
      </c>
    </row>
    <row r="103" spans="1:7" x14ac:dyDescent="0.2">
      <c r="A103" t="s">
        <v>1160</v>
      </c>
      <c r="B103" t="s">
        <v>252</v>
      </c>
      <c r="C103" t="s">
        <v>282</v>
      </c>
      <c r="F103">
        <f t="shared" ca="1" si="2"/>
        <v>103</v>
      </c>
      <c r="G103">
        <f t="shared" ca="1" si="3"/>
        <v>1</v>
      </c>
    </row>
    <row r="104" spans="1:7" x14ac:dyDescent="0.2">
      <c r="A104" t="s">
        <v>1161</v>
      </c>
      <c r="B104" t="s">
        <v>252</v>
      </c>
      <c r="C104" t="s">
        <v>282</v>
      </c>
      <c r="F104">
        <f t="shared" ca="1" si="2"/>
        <v>104</v>
      </c>
      <c r="G104">
        <f t="shared" ca="1" si="3"/>
        <v>1</v>
      </c>
    </row>
    <row r="105" spans="1:7" x14ac:dyDescent="0.2">
      <c r="A105" t="s">
        <v>340</v>
      </c>
      <c r="B105" t="s">
        <v>252</v>
      </c>
      <c r="C105" t="s">
        <v>253</v>
      </c>
      <c r="F105">
        <f t="shared" ca="1" si="2"/>
        <v>105</v>
      </c>
      <c r="G105">
        <f t="shared" ca="1" si="3"/>
        <v>1</v>
      </c>
    </row>
    <row r="106" spans="1:7" x14ac:dyDescent="0.2">
      <c r="A106" t="s">
        <v>341</v>
      </c>
      <c r="B106" t="s">
        <v>252</v>
      </c>
      <c r="C106" t="s">
        <v>263</v>
      </c>
      <c r="F106">
        <f t="shared" ca="1" si="2"/>
        <v>106</v>
      </c>
      <c r="G106">
        <f t="shared" ca="1" si="3"/>
        <v>1</v>
      </c>
    </row>
    <row r="107" spans="1:7" x14ac:dyDescent="0.2">
      <c r="A107" t="s">
        <v>342</v>
      </c>
      <c r="B107" t="s">
        <v>252</v>
      </c>
      <c r="C107" t="s">
        <v>264</v>
      </c>
      <c r="F107">
        <f t="shared" ca="1" si="2"/>
        <v>107</v>
      </c>
      <c r="G107">
        <f t="shared" ca="1" si="3"/>
        <v>1</v>
      </c>
    </row>
    <row r="108" spans="1:7" x14ac:dyDescent="0.2">
      <c r="A108" t="s">
        <v>1162</v>
      </c>
      <c r="B108" t="s">
        <v>261</v>
      </c>
      <c r="C108" t="s">
        <v>261</v>
      </c>
      <c r="F108">
        <f t="shared" ca="1" si="2"/>
        <v>108</v>
      </c>
      <c r="G108">
        <f t="shared" ca="1" si="3"/>
        <v>1</v>
      </c>
    </row>
    <row r="109" spans="1:7" x14ac:dyDescent="0.2">
      <c r="A109" t="s">
        <v>1163</v>
      </c>
      <c r="B109" t="s">
        <v>257</v>
      </c>
      <c r="C109" t="s">
        <v>312</v>
      </c>
      <c r="F109">
        <f t="shared" ca="1" si="2"/>
        <v>109</v>
      </c>
      <c r="G109">
        <f t="shared" ca="1" si="3"/>
        <v>1</v>
      </c>
    </row>
    <row r="110" spans="1:7" x14ac:dyDescent="0.2">
      <c r="A110" t="s">
        <v>187</v>
      </c>
      <c r="B110" t="s">
        <v>252</v>
      </c>
      <c r="C110" t="s">
        <v>263</v>
      </c>
      <c r="F110">
        <f t="shared" ca="1" si="2"/>
        <v>110</v>
      </c>
      <c r="G110">
        <f t="shared" ca="1" si="3"/>
        <v>1</v>
      </c>
    </row>
    <row r="111" spans="1:7" x14ac:dyDescent="0.2">
      <c r="A111" t="s">
        <v>1164</v>
      </c>
      <c r="B111" t="s">
        <v>261</v>
      </c>
      <c r="C111" t="s">
        <v>261</v>
      </c>
      <c r="F111">
        <f t="shared" ca="1" si="2"/>
        <v>111</v>
      </c>
      <c r="G111">
        <f t="shared" ca="1" si="3"/>
        <v>1</v>
      </c>
    </row>
    <row r="112" spans="1:7" x14ac:dyDescent="0.2">
      <c r="A112" t="s">
        <v>343</v>
      </c>
      <c r="B112" t="s">
        <v>261</v>
      </c>
      <c r="C112" t="s">
        <v>261</v>
      </c>
      <c r="F112">
        <f t="shared" ca="1" si="2"/>
        <v>112</v>
      </c>
      <c r="G112">
        <f t="shared" ca="1" si="3"/>
        <v>1</v>
      </c>
    </row>
    <row r="113" spans="1:7" x14ac:dyDescent="0.2">
      <c r="A113" t="s">
        <v>220</v>
      </c>
      <c r="B113" t="s">
        <v>261</v>
      </c>
      <c r="C113" t="s">
        <v>261</v>
      </c>
      <c r="F113">
        <f t="shared" ca="1" si="2"/>
        <v>113</v>
      </c>
      <c r="G113">
        <f t="shared" ca="1" si="3"/>
        <v>1</v>
      </c>
    </row>
    <row r="114" spans="1:7" x14ac:dyDescent="0.2">
      <c r="A114" t="s">
        <v>344</v>
      </c>
      <c r="B114" t="s">
        <v>252</v>
      </c>
      <c r="C114" t="s">
        <v>255</v>
      </c>
      <c r="F114">
        <f t="shared" ca="1" si="2"/>
        <v>114</v>
      </c>
      <c r="G114">
        <f t="shared" ca="1" si="3"/>
        <v>1</v>
      </c>
    </row>
    <row r="115" spans="1:7" x14ac:dyDescent="0.2">
      <c r="A115" t="s">
        <v>345</v>
      </c>
      <c r="B115" t="s">
        <v>252</v>
      </c>
      <c r="C115" t="s">
        <v>255</v>
      </c>
      <c r="F115">
        <f t="shared" ca="1" si="2"/>
        <v>115</v>
      </c>
      <c r="G115">
        <f t="shared" ca="1" si="3"/>
        <v>1</v>
      </c>
    </row>
    <row r="116" spans="1:7" x14ac:dyDescent="0.2">
      <c r="A116" t="s">
        <v>346</v>
      </c>
      <c r="B116" t="s">
        <v>252</v>
      </c>
      <c r="C116" t="s">
        <v>264</v>
      </c>
      <c r="F116">
        <f t="shared" ca="1" si="2"/>
        <v>116</v>
      </c>
      <c r="G116">
        <f t="shared" ca="1" si="3"/>
        <v>1</v>
      </c>
    </row>
    <row r="117" spans="1:7" x14ac:dyDescent="0.2">
      <c r="A117" t="s">
        <v>347</v>
      </c>
      <c r="B117" t="s">
        <v>257</v>
      </c>
      <c r="C117" t="s">
        <v>284</v>
      </c>
      <c r="F117">
        <f t="shared" ca="1" si="2"/>
        <v>117</v>
      </c>
      <c r="G117">
        <f t="shared" ca="1" si="3"/>
        <v>1</v>
      </c>
    </row>
    <row r="118" spans="1:7" x14ac:dyDescent="0.2">
      <c r="A118" t="s">
        <v>873</v>
      </c>
      <c r="B118" t="s">
        <v>261</v>
      </c>
      <c r="C118" t="s">
        <v>261</v>
      </c>
      <c r="F118">
        <f t="shared" ca="1" si="2"/>
        <v>118</v>
      </c>
      <c r="G118">
        <f t="shared" ca="1" si="3"/>
        <v>1</v>
      </c>
    </row>
    <row r="119" spans="1:7" x14ac:dyDescent="0.2">
      <c r="A119" t="s">
        <v>348</v>
      </c>
      <c r="B119" t="s">
        <v>252</v>
      </c>
      <c r="C119" t="s">
        <v>316</v>
      </c>
      <c r="F119">
        <f t="shared" ca="1" si="2"/>
        <v>119</v>
      </c>
      <c r="G119">
        <f t="shared" ca="1" si="3"/>
        <v>1</v>
      </c>
    </row>
    <row r="120" spans="1:7" x14ac:dyDescent="0.2">
      <c r="A120" t="s">
        <v>349</v>
      </c>
      <c r="B120" t="s">
        <v>252</v>
      </c>
      <c r="C120" t="s">
        <v>289</v>
      </c>
      <c r="F120">
        <f t="shared" ca="1" si="2"/>
        <v>120</v>
      </c>
      <c r="G120">
        <f t="shared" ca="1" si="3"/>
        <v>1</v>
      </c>
    </row>
    <row r="121" spans="1:7" x14ac:dyDescent="0.2">
      <c r="A121" t="s">
        <v>350</v>
      </c>
      <c r="B121" t="s">
        <v>252</v>
      </c>
      <c r="C121" t="s">
        <v>289</v>
      </c>
      <c r="F121">
        <f t="shared" ca="1" si="2"/>
        <v>121</v>
      </c>
      <c r="G121">
        <f t="shared" ca="1" si="3"/>
        <v>1</v>
      </c>
    </row>
    <row r="122" spans="1:7" x14ac:dyDescent="0.2">
      <c r="A122" t="s">
        <v>351</v>
      </c>
      <c r="B122" t="s">
        <v>252</v>
      </c>
      <c r="C122" t="s">
        <v>289</v>
      </c>
      <c r="F122">
        <f t="shared" ca="1" si="2"/>
        <v>122</v>
      </c>
      <c r="G122">
        <f t="shared" ca="1" si="3"/>
        <v>2</v>
      </c>
    </row>
    <row r="123" spans="1:7" x14ac:dyDescent="0.2">
      <c r="A123" t="s">
        <v>351</v>
      </c>
      <c r="B123" t="s">
        <v>252</v>
      </c>
      <c r="C123" t="s">
        <v>264</v>
      </c>
      <c r="F123">
        <f t="shared" ca="1" si="2"/>
        <v>122</v>
      </c>
      <c r="G123">
        <f t="shared" ca="1" si="3"/>
        <v>2</v>
      </c>
    </row>
    <row r="124" spans="1:7" x14ac:dyDescent="0.2">
      <c r="A124" t="s">
        <v>352</v>
      </c>
      <c r="B124" t="s">
        <v>261</v>
      </c>
      <c r="C124" t="s">
        <v>261</v>
      </c>
      <c r="F124">
        <f t="shared" ca="1" si="2"/>
        <v>124</v>
      </c>
      <c r="G124">
        <f t="shared" ca="1" si="3"/>
        <v>1</v>
      </c>
    </row>
    <row r="125" spans="1:7" x14ac:dyDescent="0.2">
      <c r="A125" t="s">
        <v>1265</v>
      </c>
      <c r="B125" t="s">
        <v>261</v>
      </c>
      <c r="C125" t="s">
        <v>261</v>
      </c>
      <c r="F125">
        <f t="shared" ca="1" si="2"/>
        <v>125</v>
      </c>
      <c r="G125">
        <f t="shared" ca="1" si="3"/>
        <v>1</v>
      </c>
    </row>
    <row r="126" spans="1:7" x14ac:dyDescent="0.2">
      <c r="A126" t="s">
        <v>237</v>
      </c>
      <c r="B126" t="s">
        <v>252</v>
      </c>
      <c r="C126" t="s">
        <v>316</v>
      </c>
      <c r="F126">
        <f t="shared" ca="1" si="2"/>
        <v>126</v>
      </c>
      <c r="G126">
        <f t="shared" ca="1" si="3"/>
        <v>1</v>
      </c>
    </row>
    <row r="127" spans="1:7" x14ac:dyDescent="0.2">
      <c r="A127" t="s">
        <v>353</v>
      </c>
      <c r="B127" t="s">
        <v>261</v>
      </c>
      <c r="C127" t="s">
        <v>261</v>
      </c>
      <c r="F127">
        <f t="shared" ca="1" si="2"/>
        <v>127</v>
      </c>
      <c r="G127">
        <f t="shared" ca="1" si="3"/>
        <v>1</v>
      </c>
    </row>
    <row r="128" spans="1:7" x14ac:dyDescent="0.2">
      <c r="A128" t="s">
        <v>354</v>
      </c>
      <c r="B128" t="s">
        <v>252</v>
      </c>
      <c r="C128" t="s">
        <v>263</v>
      </c>
      <c r="F128">
        <f t="shared" ca="1" si="2"/>
        <v>128</v>
      </c>
      <c r="G128">
        <f t="shared" ca="1" si="3"/>
        <v>1</v>
      </c>
    </row>
    <row r="129" spans="1:9" x14ac:dyDescent="0.2">
      <c r="A129" t="s">
        <v>355</v>
      </c>
      <c r="B129" t="s">
        <v>252</v>
      </c>
      <c r="C129" t="s">
        <v>255</v>
      </c>
      <c r="F129">
        <f t="shared" ca="1" si="2"/>
        <v>129</v>
      </c>
      <c r="G129">
        <f t="shared" ca="1" si="3"/>
        <v>1</v>
      </c>
    </row>
    <row r="130" spans="1:9" x14ac:dyDescent="0.2">
      <c r="F130" t="str">
        <f t="shared" ref="F130:F193" ca="1" si="4">IFERROR(MATCH(OFFSET($A$1,ROW()-1,0,1,1),A:A,0),"")</f>
        <v/>
      </c>
      <c r="G130">
        <f t="shared" ref="G130:G193" ca="1" si="5">COUNTIF(A:A,OFFSET($A$1,ROW()-1,0))</f>
        <v>0</v>
      </c>
    </row>
    <row r="131" spans="1:9" x14ac:dyDescent="0.2">
      <c r="F131" t="str">
        <f t="shared" ca="1" si="4"/>
        <v/>
      </c>
      <c r="G131">
        <f t="shared" ca="1" si="5"/>
        <v>0</v>
      </c>
    </row>
    <row r="132" spans="1:9" x14ac:dyDescent="0.2">
      <c r="F132" t="str">
        <f t="shared" ca="1" si="4"/>
        <v/>
      </c>
      <c r="G132">
        <f t="shared" ca="1" si="5"/>
        <v>0</v>
      </c>
      <c r="H132" t="str">
        <f t="shared" ref="H132:H163" ca="1" si="6">IFERROR(MATCH(OFFSET($A$1,ROW()-1,0,1,1),A:A,0),"")</f>
        <v/>
      </c>
      <c r="I132" t="str">
        <f t="shared" ref="I132:I163" ca="1" si="7">IFERROR(MATCH(OFFSET($A$1,ROW()-1,0,1,1),A:A,1)-H132+1,"")</f>
        <v/>
      </c>
    </row>
    <row r="133" spans="1:9" x14ac:dyDescent="0.2">
      <c r="F133" t="str">
        <f t="shared" ca="1" si="4"/>
        <v/>
      </c>
      <c r="G133">
        <f t="shared" ca="1" si="5"/>
        <v>0</v>
      </c>
      <c r="H133" t="str">
        <f t="shared" ca="1" si="6"/>
        <v/>
      </c>
      <c r="I133" t="str">
        <f t="shared" ca="1" si="7"/>
        <v/>
      </c>
    </row>
    <row r="134" spans="1:9" x14ac:dyDescent="0.2">
      <c r="F134" t="str">
        <f t="shared" ca="1" si="4"/>
        <v/>
      </c>
      <c r="G134">
        <f t="shared" ca="1" si="5"/>
        <v>0</v>
      </c>
      <c r="H134" t="str">
        <f t="shared" ca="1" si="6"/>
        <v/>
      </c>
      <c r="I134" t="str">
        <f t="shared" ca="1" si="7"/>
        <v/>
      </c>
    </row>
    <row r="135" spans="1:9" x14ac:dyDescent="0.2">
      <c r="F135" t="str">
        <f t="shared" ca="1" si="4"/>
        <v/>
      </c>
      <c r="G135">
        <f t="shared" ca="1" si="5"/>
        <v>0</v>
      </c>
      <c r="H135" t="str">
        <f t="shared" ca="1" si="6"/>
        <v/>
      </c>
      <c r="I135" t="str">
        <f t="shared" ca="1" si="7"/>
        <v/>
      </c>
    </row>
    <row r="136" spans="1:9" x14ac:dyDescent="0.2">
      <c r="F136" t="str">
        <f t="shared" ca="1" si="4"/>
        <v/>
      </c>
      <c r="G136">
        <f t="shared" ca="1" si="5"/>
        <v>0</v>
      </c>
      <c r="H136" t="str">
        <f t="shared" ca="1" si="6"/>
        <v/>
      </c>
      <c r="I136" t="str">
        <f t="shared" ca="1" si="7"/>
        <v/>
      </c>
    </row>
    <row r="137" spans="1:9" x14ac:dyDescent="0.2">
      <c r="F137" t="str">
        <f t="shared" ca="1" si="4"/>
        <v/>
      </c>
      <c r="G137">
        <f t="shared" ca="1" si="5"/>
        <v>0</v>
      </c>
      <c r="H137" t="str">
        <f t="shared" ca="1" si="6"/>
        <v/>
      </c>
      <c r="I137" t="str">
        <f t="shared" ca="1" si="7"/>
        <v/>
      </c>
    </row>
    <row r="138" spans="1:9" x14ac:dyDescent="0.2">
      <c r="F138" t="str">
        <f t="shared" ca="1" si="4"/>
        <v/>
      </c>
      <c r="G138">
        <f t="shared" ca="1" si="5"/>
        <v>0</v>
      </c>
      <c r="H138" t="str">
        <f t="shared" ca="1" si="6"/>
        <v/>
      </c>
      <c r="I138" t="str">
        <f t="shared" ca="1" si="7"/>
        <v/>
      </c>
    </row>
    <row r="139" spans="1:9" x14ac:dyDescent="0.2">
      <c r="F139" t="str">
        <f t="shared" ca="1" si="4"/>
        <v/>
      </c>
      <c r="G139">
        <f t="shared" ca="1" si="5"/>
        <v>0</v>
      </c>
      <c r="H139" t="str">
        <f t="shared" ca="1" si="6"/>
        <v/>
      </c>
      <c r="I139" t="str">
        <f t="shared" ca="1" si="7"/>
        <v/>
      </c>
    </row>
    <row r="140" spans="1:9" x14ac:dyDescent="0.2">
      <c r="F140" t="str">
        <f t="shared" ca="1" si="4"/>
        <v/>
      </c>
      <c r="G140">
        <f t="shared" ca="1" si="5"/>
        <v>0</v>
      </c>
      <c r="H140" t="str">
        <f t="shared" ca="1" si="6"/>
        <v/>
      </c>
      <c r="I140" t="str">
        <f t="shared" ca="1" si="7"/>
        <v/>
      </c>
    </row>
    <row r="141" spans="1:9" x14ac:dyDescent="0.2">
      <c r="F141" t="str">
        <f t="shared" ca="1" si="4"/>
        <v/>
      </c>
      <c r="G141">
        <f t="shared" ca="1" si="5"/>
        <v>0</v>
      </c>
      <c r="H141" t="str">
        <f t="shared" ca="1" si="6"/>
        <v/>
      </c>
      <c r="I141" t="str">
        <f t="shared" ca="1" si="7"/>
        <v/>
      </c>
    </row>
    <row r="142" spans="1:9" x14ac:dyDescent="0.2">
      <c r="F142" t="str">
        <f t="shared" ca="1" si="4"/>
        <v/>
      </c>
      <c r="G142">
        <f t="shared" ca="1" si="5"/>
        <v>0</v>
      </c>
      <c r="H142" t="str">
        <f t="shared" ca="1" si="6"/>
        <v/>
      </c>
      <c r="I142" t="str">
        <f t="shared" ca="1" si="7"/>
        <v/>
      </c>
    </row>
    <row r="143" spans="1:9" x14ac:dyDescent="0.2">
      <c r="F143" t="str">
        <f t="shared" ca="1" si="4"/>
        <v/>
      </c>
      <c r="G143">
        <f t="shared" ca="1" si="5"/>
        <v>0</v>
      </c>
      <c r="H143" t="str">
        <f t="shared" ca="1" si="6"/>
        <v/>
      </c>
      <c r="I143" t="str">
        <f t="shared" ca="1" si="7"/>
        <v/>
      </c>
    </row>
    <row r="144" spans="1:9" x14ac:dyDescent="0.2">
      <c r="F144" t="str">
        <f t="shared" ca="1" si="4"/>
        <v/>
      </c>
      <c r="G144">
        <f t="shared" ca="1" si="5"/>
        <v>0</v>
      </c>
      <c r="H144" t="str">
        <f t="shared" ca="1" si="6"/>
        <v/>
      </c>
      <c r="I144" t="str">
        <f t="shared" ca="1" si="7"/>
        <v/>
      </c>
    </row>
    <row r="145" spans="6:9" x14ac:dyDescent="0.2">
      <c r="F145" t="str">
        <f t="shared" ca="1" si="4"/>
        <v/>
      </c>
      <c r="G145">
        <f t="shared" ca="1" si="5"/>
        <v>0</v>
      </c>
      <c r="H145" t="str">
        <f t="shared" ca="1" si="6"/>
        <v/>
      </c>
      <c r="I145" t="str">
        <f t="shared" ca="1" si="7"/>
        <v/>
      </c>
    </row>
    <row r="146" spans="6:9" x14ac:dyDescent="0.2">
      <c r="F146" t="str">
        <f t="shared" ca="1" si="4"/>
        <v/>
      </c>
      <c r="G146">
        <f t="shared" ca="1" si="5"/>
        <v>0</v>
      </c>
      <c r="H146" t="str">
        <f t="shared" ca="1" si="6"/>
        <v/>
      </c>
      <c r="I146" t="str">
        <f t="shared" ca="1" si="7"/>
        <v/>
      </c>
    </row>
    <row r="147" spans="6:9" x14ac:dyDescent="0.2">
      <c r="F147" t="str">
        <f t="shared" ca="1" si="4"/>
        <v/>
      </c>
      <c r="G147">
        <f t="shared" ca="1" si="5"/>
        <v>0</v>
      </c>
      <c r="H147" t="str">
        <f t="shared" ca="1" si="6"/>
        <v/>
      </c>
      <c r="I147" t="str">
        <f t="shared" ca="1" si="7"/>
        <v/>
      </c>
    </row>
    <row r="148" spans="6:9" x14ac:dyDescent="0.2">
      <c r="F148" t="str">
        <f t="shared" ca="1" si="4"/>
        <v/>
      </c>
      <c r="G148">
        <f t="shared" ca="1" si="5"/>
        <v>0</v>
      </c>
      <c r="H148" t="str">
        <f t="shared" ca="1" si="6"/>
        <v/>
      </c>
      <c r="I148" t="str">
        <f t="shared" ca="1" si="7"/>
        <v/>
      </c>
    </row>
    <row r="149" spans="6:9" x14ac:dyDescent="0.2">
      <c r="F149" t="str">
        <f t="shared" ca="1" si="4"/>
        <v/>
      </c>
      <c r="G149">
        <f t="shared" ca="1" si="5"/>
        <v>0</v>
      </c>
      <c r="H149" t="str">
        <f t="shared" ca="1" si="6"/>
        <v/>
      </c>
      <c r="I149" t="str">
        <f t="shared" ca="1" si="7"/>
        <v/>
      </c>
    </row>
    <row r="150" spans="6:9" x14ac:dyDescent="0.2">
      <c r="F150" t="str">
        <f t="shared" ca="1" si="4"/>
        <v/>
      </c>
      <c r="G150">
        <f t="shared" ca="1" si="5"/>
        <v>0</v>
      </c>
      <c r="H150" t="str">
        <f t="shared" ca="1" si="6"/>
        <v/>
      </c>
      <c r="I150" t="str">
        <f t="shared" ca="1" si="7"/>
        <v/>
      </c>
    </row>
    <row r="151" spans="6:9" x14ac:dyDescent="0.2">
      <c r="F151" t="str">
        <f t="shared" ca="1" si="4"/>
        <v/>
      </c>
      <c r="G151">
        <f t="shared" ca="1" si="5"/>
        <v>0</v>
      </c>
      <c r="H151" t="str">
        <f t="shared" ca="1" si="6"/>
        <v/>
      </c>
      <c r="I151" t="str">
        <f t="shared" ca="1" si="7"/>
        <v/>
      </c>
    </row>
    <row r="152" spans="6:9" x14ac:dyDescent="0.2">
      <c r="F152" t="str">
        <f t="shared" ca="1" si="4"/>
        <v/>
      </c>
      <c r="G152">
        <f t="shared" ca="1" si="5"/>
        <v>0</v>
      </c>
      <c r="H152" t="str">
        <f t="shared" ca="1" si="6"/>
        <v/>
      </c>
      <c r="I152" t="str">
        <f t="shared" ca="1" si="7"/>
        <v/>
      </c>
    </row>
    <row r="153" spans="6:9" x14ac:dyDescent="0.2">
      <c r="F153" t="str">
        <f t="shared" ca="1" si="4"/>
        <v/>
      </c>
      <c r="G153">
        <f t="shared" ca="1" si="5"/>
        <v>0</v>
      </c>
      <c r="H153" t="str">
        <f t="shared" ca="1" si="6"/>
        <v/>
      </c>
      <c r="I153" t="str">
        <f t="shared" ca="1" si="7"/>
        <v/>
      </c>
    </row>
    <row r="154" spans="6:9" x14ac:dyDescent="0.2">
      <c r="F154" t="str">
        <f t="shared" ca="1" si="4"/>
        <v/>
      </c>
      <c r="G154">
        <f t="shared" ca="1" si="5"/>
        <v>0</v>
      </c>
      <c r="H154" t="str">
        <f t="shared" ca="1" si="6"/>
        <v/>
      </c>
      <c r="I154" t="str">
        <f t="shared" ca="1" si="7"/>
        <v/>
      </c>
    </row>
    <row r="155" spans="6:9" x14ac:dyDescent="0.2">
      <c r="F155" t="str">
        <f t="shared" ca="1" si="4"/>
        <v/>
      </c>
      <c r="G155">
        <f t="shared" ca="1" si="5"/>
        <v>0</v>
      </c>
      <c r="H155" t="str">
        <f t="shared" ca="1" si="6"/>
        <v/>
      </c>
      <c r="I155" t="str">
        <f t="shared" ca="1" si="7"/>
        <v/>
      </c>
    </row>
    <row r="156" spans="6:9" x14ac:dyDescent="0.2">
      <c r="F156" t="str">
        <f t="shared" ca="1" si="4"/>
        <v/>
      </c>
      <c r="G156">
        <f t="shared" ca="1" si="5"/>
        <v>0</v>
      </c>
      <c r="H156" t="str">
        <f t="shared" ca="1" si="6"/>
        <v/>
      </c>
      <c r="I156" t="str">
        <f t="shared" ca="1" si="7"/>
        <v/>
      </c>
    </row>
    <row r="157" spans="6:9" x14ac:dyDescent="0.2">
      <c r="F157" t="str">
        <f t="shared" ca="1" si="4"/>
        <v/>
      </c>
      <c r="G157">
        <f t="shared" ca="1" si="5"/>
        <v>0</v>
      </c>
      <c r="H157" t="str">
        <f t="shared" ca="1" si="6"/>
        <v/>
      </c>
      <c r="I157" t="str">
        <f t="shared" ca="1" si="7"/>
        <v/>
      </c>
    </row>
    <row r="158" spans="6:9" x14ac:dyDescent="0.2">
      <c r="F158" t="str">
        <f t="shared" ca="1" si="4"/>
        <v/>
      </c>
      <c r="G158">
        <f t="shared" ca="1" si="5"/>
        <v>0</v>
      </c>
      <c r="H158" t="str">
        <f t="shared" ca="1" si="6"/>
        <v/>
      </c>
      <c r="I158" t="str">
        <f t="shared" ca="1" si="7"/>
        <v/>
      </c>
    </row>
    <row r="159" spans="6:9" x14ac:dyDescent="0.2">
      <c r="F159" t="str">
        <f t="shared" ca="1" si="4"/>
        <v/>
      </c>
      <c r="G159">
        <f t="shared" ca="1" si="5"/>
        <v>0</v>
      </c>
      <c r="H159" t="str">
        <f t="shared" ca="1" si="6"/>
        <v/>
      </c>
      <c r="I159" t="str">
        <f t="shared" ca="1" si="7"/>
        <v/>
      </c>
    </row>
    <row r="160" spans="6:9" x14ac:dyDescent="0.2">
      <c r="F160" t="str">
        <f t="shared" ca="1" si="4"/>
        <v/>
      </c>
      <c r="G160">
        <f t="shared" ca="1" si="5"/>
        <v>0</v>
      </c>
      <c r="H160" t="str">
        <f t="shared" ca="1" si="6"/>
        <v/>
      </c>
      <c r="I160" t="str">
        <f t="shared" ca="1" si="7"/>
        <v/>
      </c>
    </row>
    <row r="161" spans="6:9" x14ac:dyDescent="0.2">
      <c r="F161" t="str">
        <f t="shared" ca="1" si="4"/>
        <v/>
      </c>
      <c r="G161">
        <f t="shared" ca="1" si="5"/>
        <v>0</v>
      </c>
      <c r="H161" t="str">
        <f t="shared" ca="1" si="6"/>
        <v/>
      </c>
      <c r="I161" t="str">
        <f t="shared" ca="1" si="7"/>
        <v/>
      </c>
    </row>
    <row r="162" spans="6:9" x14ac:dyDescent="0.2">
      <c r="F162" t="str">
        <f t="shared" ca="1" si="4"/>
        <v/>
      </c>
      <c r="G162">
        <f t="shared" ca="1" si="5"/>
        <v>0</v>
      </c>
      <c r="H162" t="str">
        <f t="shared" ca="1" si="6"/>
        <v/>
      </c>
      <c r="I162" t="str">
        <f t="shared" ca="1" si="7"/>
        <v/>
      </c>
    </row>
    <row r="163" spans="6:9" x14ac:dyDescent="0.2">
      <c r="F163" t="str">
        <f t="shared" ca="1" si="4"/>
        <v/>
      </c>
      <c r="G163">
        <f t="shared" ca="1" si="5"/>
        <v>0</v>
      </c>
      <c r="H163" t="str">
        <f t="shared" ca="1" si="6"/>
        <v/>
      </c>
      <c r="I163" t="str">
        <f t="shared" ca="1" si="7"/>
        <v/>
      </c>
    </row>
    <row r="164" spans="6:9" x14ac:dyDescent="0.2">
      <c r="F164" t="str">
        <f t="shared" ca="1" si="4"/>
        <v/>
      </c>
      <c r="G164">
        <f t="shared" ca="1" si="5"/>
        <v>0</v>
      </c>
      <c r="H164" t="str">
        <f t="shared" ref="H164:H195" ca="1" si="8">IFERROR(MATCH(OFFSET($A$1,ROW()-1,0,1,1),A:A,0),"")</f>
        <v/>
      </c>
      <c r="I164" t="str">
        <f t="shared" ref="I164:I195" ca="1" si="9">IFERROR(MATCH(OFFSET($A$1,ROW()-1,0,1,1),A:A,1)-H164+1,"")</f>
        <v/>
      </c>
    </row>
    <row r="165" spans="6:9" x14ac:dyDescent="0.2">
      <c r="F165" t="str">
        <f t="shared" ca="1" si="4"/>
        <v/>
      </c>
      <c r="G165">
        <f t="shared" ca="1" si="5"/>
        <v>0</v>
      </c>
      <c r="H165" t="str">
        <f t="shared" ca="1" si="8"/>
        <v/>
      </c>
      <c r="I165" t="str">
        <f t="shared" ca="1" si="9"/>
        <v/>
      </c>
    </row>
    <row r="166" spans="6:9" x14ac:dyDescent="0.2">
      <c r="F166" t="str">
        <f t="shared" ca="1" si="4"/>
        <v/>
      </c>
      <c r="G166">
        <f t="shared" ca="1" si="5"/>
        <v>0</v>
      </c>
      <c r="H166" t="str">
        <f t="shared" ca="1" si="8"/>
        <v/>
      </c>
      <c r="I166" t="str">
        <f t="shared" ca="1" si="9"/>
        <v/>
      </c>
    </row>
    <row r="167" spans="6:9" x14ac:dyDescent="0.2">
      <c r="F167" t="str">
        <f t="shared" ca="1" si="4"/>
        <v/>
      </c>
      <c r="G167">
        <f t="shared" ca="1" si="5"/>
        <v>0</v>
      </c>
      <c r="H167" t="str">
        <f t="shared" ca="1" si="8"/>
        <v/>
      </c>
      <c r="I167" t="str">
        <f t="shared" ca="1" si="9"/>
        <v/>
      </c>
    </row>
    <row r="168" spans="6:9" x14ac:dyDescent="0.2">
      <c r="F168" t="str">
        <f t="shared" ca="1" si="4"/>
        <v/>
      </c>
      <c r="G168">
        <f t="shared" ca="1" si="5"/>
        <v>0</v>
      </c>
      <c r="H168" t="str">
        <f t="shared" ca="1" si="8"/>
        <v/>
      </c>
      <c r="I168" t="str">
        <f t="shared" ca="1" si="9"/>
        <v/>
      </c>
    </row>
    <row r="169" spans="6:9" x14ac:dyDescent="0.2">
      <c r="F169" t="str">
        <f t="shared" ca="1" si="4"/>
        <v/>
      </c>
      <c r="G169">
        <f t="shared" ca="1" si="5"/>
        <v>0</v>
      </c>
      <c r="H169" t="str">
        <f t="shared" ca="1" si="8"/>
        <v/>
      </c>
      <c r="I169" t="str">
        <f t="shared" ca="1" si="9"/>
        <v/>
      </c>
    </row>
    <row r="170" spans="6:9" x14ac:dyDescent="0.2">
      <c r="F170" t="str">
        <f t="shared" ca="1" si="4"/>
        <v/>
      </c>
      <c r="G170">
        <f t="shared" ca="1" si="5"/>
        <v>0</v>
      </c>
      <c r="H170" t="str">
        <f t="shared" ca="1" si="8"/>
        <v/>
      </c>
      <c r="I170" t="str">
        <f t="shared" ca="1" si="9"/>
        <v/>
      </c>
    </row>
    <row r="171" spans="6:9" x14ac:dyDescent="0.2">
      <c r="F171" t="str">
        <f t="shared" ca="1" si="4"/>
        <v/>
      </c>
      <c r="G171">
        <f t="shared" ca="1" si="5"/>
        <v>0</v>
      </c>
      <c r="H171" t="str">
        <f t="shared" ca="1" si="8"/>
        <v/>
      </c>
      <c r="I171" t="str">
        <f t="shared" ca="1" si="9"/>
        <v/>
      </c>
    </row>
    <row r="172" spans="6:9" x14ac:dyDescent="0.2">
      <c r="F172" t="str">
        <f t="shared" ca="1" si="4"/>
        <v/>
      </c>
      <c r="G172">
        <f t="shared" ca="1" si="5"/>
        <v>0</v>
      </c>
      <c r="H172" t="str">
        <f t="shared" ca="1" si="8"/>
        <v/>
      </c>
      <c r="I172" t="str">
        <f t="shared" ca="1" si="9"/>
        <v/>
      </c>
    </row>
    <row r="173" spans="6:9" x14ac:dyDescent="0.2">
      <c r="F173" t="str">
        <f t="shared" ca="1" si="4"/>
        <v/>
      </c>
      <c r="G173">
        <f t="shared" ca="1" si="5"/>
        <v>0</v>
      </c>
      <c r="H173" t="str">
        <f t="shared" ca="1" si="8"/>
        <v/>
      </c>
      <c r="I173" t="str">
        <f t="shared" ca="1" si="9"/>
        <v/>
      </c>
    </row>
    <row r="174" spans="6:9" x14ac:dyDescent="0.2">
      <c r="F174" t="str">
        <f t="shared" ca="1" si="4"/>
        <v/>
      </c>
      <c r="G174">
        <f t="shared" ca="1" si="5"/>
        <v>0</v>
      </c>
      <c r="H174" t="str">
        <f t="shared" ca="1" si="8"/>
        <v/>
      </c>
      <c r="I174" t="str">
        <f t="shared" ca="1" si="9"/>
        <v/>
      </c>
    </row>
    <row r="175" spans="6:9" x14ac:dyDescent="0.2">
      <c r="F175" t="str">
        <f t="shared" ca="1" si="4"/>
        <v/>
      </c>
      <c r="G175">
        <f t="shared" ca="1" si="5"/>
        <v>0</v>
      </c>
      <c r="H175" t="str">
        <f t="shared" ca="1" si="8"/>
        <v/>
      </c>
      <c r="I175" t="str">
        <f t="shared" ca="1" si="9"/>
        <v/>
      </c>
    </row>
    <row r="176" spans="6:9" x14ac:dyDescent="0.2">
      <c r="F176" t="str">
        <f t="shared" ca="1" si="4"/>
        <v/>
      </c>
      <c r="G176">
        <f t="shared" ca="1" si="5"/>
        <v>0</v>
      </c>
      <c r="H176" t="str">
        <f t="shared" ca="1" si="8"/>
        <v/>
      </c>
      <c r="I176" t="str">
        <f t="shared" ca="1" si="9"/>
        <v/>
      </c>
    </row>
    <row r="177" spans="6:9" x14ac:dyDescent="0.2">
      <c r="F177" t="str">
        <f t="shared" ca="1" si="4"/>
        <v/>
      </c>
      <c r="G177">
        <f t="shared" ca="1" si="5"/>
        <v>0</v>
      </c>
      <c r="H177" t="str">
        <f t="shared" ca="1" si="8"/>
        <v/>
      </c>
      <c r="I177" t="str">
        <f t="shared" ca="1" si="9"/>
        <v/>
      </c>
    </row>
    <row r="178" spans="6:9" x14ac:dyDescent="0.2">
      <c r="F178" t="str">
        <f t="shared" ca="1" si="4"/>
        <v/>
      </c>
      <c r="G178">
        <f t="shared" ca="1" si="5"/>
        <v>0</v>
      </c>
      <c r="H178" t="str">
        <f t="shared" ca="1" si="8"/>
        <v/>
      </c>
      <c r="I178" t="str">
        <f t="shared" ca="1" si="9"/>
        <v/>
      </c>
    </row>
    <row r="179" spans="6:9" x14ac:dyDescent="0.2">
      <c r="F179" t="str">
        <f t="shared" ca="1" si="4"/>
        <v/>
      </c>
      <c r="G179">
        <f t="shared" ca="1" si="5"/>
        <v>0</v>
      </c>
      <c r="H179" t="str">
        <f t="shared" ca="1" si="8"/>
        <v/>
      </c>
      <c r="I179" t="str">
        <f t="shared" ca="1" si="9"/>
        <v/>
      </c>
    </row>
    <row r="180" spans="6:9" x14ac:dyDescent="0.2">
      <c r="F180" t="str">
        <f t="shared" ca="1" si="4"/>
        <v/>
      </c>
      <c r="G180">
        <f t="shared" ca="1" si="5"/>
        <v>0</v>
      </c>
      <c r="H180" t="str">
        <f t="shared" ca="1" si="8"/>
        <v/>
      </c>
      <c r="I180" t="str">
        <f t="shared" ca="1" si="9"/>
        <v/>
      </c>
    </row>
    <row r="181" spans="6:9" x14ac:dyDescent="0.2">
      <c r="F181" t="str">
        <f t="shared" ca="1" si="4"/>
        <v/>
      </c>
      <c r="G181">
        <f t="shared" ca="1" si="5"/>
        <v>0</v>
      </c>
      <c r="H181" t="str">
        <f t="shared" ca="1" si="8"/>
        <v/>
      </c>
      <c r="I181" t="str">
        <f t="shared" ca="1" si="9"/>
        <v/>
      </c>
    </row>
    <row r="182" spans="6:9" x14ac:dyDescent="0.2">
      <c r="F182" t="str">
        <f t="shared" ca="1" si="4"/>
        <v/>
      </c>
      <c r="G182">
        <f t="shared" ca="1" si="5"/>
        <v>0</v>
      </c>
      <c r="H182" t="str">
        <f t="shared" ca="1" si="8"/>
        <v/>
      </c>
      <c r="I182" t="str">
        <f t="shared" ca="1" si="9"/>
        <v/>
      </c>
    </row>
    <row r="183" spans="6:9" x14ac:dyDescent="0.2">
      <c r="F183" t="str">
        <f t="shared" ca="1" si="4"/>
        <v/>
      </c>
      <c r="G183">
        <f t="shared" ca="1" si="5"/>
        <v>0</v>
      </c>
      <c r="H183" t="str">
        <f t="shared" ca="1" si="8"/>
        <v/>
      </c>
      <c r="I183" t="str">
        <f t="shared" ca="1" si="9"/>
        <v/>
      </c>
    </row>
    <row r="184" spans="6:9" x14ac:dyDescent="0.2">
      <c r="F184" t="str">
        <f t="shared" ca="1" si="4"/>
        <v/>
      </c>
      <c r="G184">
        <f t="shared" ca="1" si="5"/>
        <v>0</v>
      </c>
      <c r="H184" t="str">
        <f t="shared" ca="1" si="8"/>
        <v/>
      </c>
      <c r="I184" t="str">
        <f t="shared" ca="1" si="9"/>
        <v/>
      </c>
    </row>
    <row r="185" spans="6:9" x14ac:dyDescent="0.2">
      <c r="F185" t="str">
        <f t="shared" ca="1" si="4"/>
        <v/>
      </c>
      <c r="G185">
        <f t="shared" ca="1" si="5"/>
        <v>0</v>
      </c>
      <c r="H185" t="str">
        <f t="shared" ca="1" si="8"/>
        <v/>
      </c>
      <c r="I185" t="str">
        <f t="shared" ca="1" si="9"/>
        <v/>
      </c>
    </row>
    <row r="186" spans="6:9" x14ac:dyDescent="0.2">
      <c r="F186" t="str">
        <f t="shared" ca="1" si="4"/>
        <v/>
      </c>
      <c r="G186">
        <f t="shared" ca="1" si="5"/>
        <v>0</v>
      </c>
      <c r="H186" t="str">
        <f t="shared" ca="1" si="8"/>
        <v/>
      </c>
      <c r="I186" t="str">
        <f t="shared" ca="1" si="9"/>
        <v/>
      </c>
    </row>
    <row r="187" spans="6:9" x14ac:dyDescent="0.2">
      <c r="F187" t="str">
        <f t="shared" ca="1" si="4"/>
        <v/>
      </c>
      <c r="G187">
        <f t="shared" ca="1" si="5"/>
        <v>0</v>
      </c>
      <c r="H187" t="str">
        <f t="shared" ca="1" si="8"/>
        <v/>
      </c>
      <c r="I187" t="str">
        <f t="shared" ca="1" si="9"/>
        <v/>
      </c>
    </row>
    <row r="188" spans="6:9" x14ac:dyDescent="0.2">
      <c r="F188" t="str">
        <f t="shared" ca="1" si="4"/>
        <v/>
      </c>
      <c r="G188">
        <f t="shared" ca="1" si="5"/>
        <v>0</v>
      </c>
      <c r="H188" t="str">
        <f t="shared" ca="1" si="8"/>
        <v/>
      </c>
      <c r="I188" t="str">
        <f t="shared" ca="1" si="9"/>
        <v/>
      </c>
    </row>
    <row r="189" spans="6:9" x14ac:dyDescent="0.2">
      <c r="F189" t="str">
        <f t="shared" ca="1" si="4"/>
        <v/>
      </c>
      <c r="G189">
        <f t="shared" ca="1" si="5"/>
        <v>0</v>
      </c>
      <c r="H189" t="str">
        <f t="shared" ca="1" si="8"/>
        <v/>
      </c>
      <c r="I189" t="str">
        <f t="shared" ca="1" si="9"/>
        <v/>
      </c>
    </row>
    <row r="190" spans="6:9" x14ac:dyDescent="0.2">
      <c r="F190" t="str">
        <f t="shared" ca="1" si="4"/>
        <v/>
      </c>
      <c r="G190">
        <f t="shared" ca="1" si="5"/>
        <v>0</v>
      </c>
      <c r="H190" t="str">
        <f t="shared" ca="1" si="8"/>
        <v/>
      </c>
      <c r="I190" t="str">
        <f t="shared" ca="1" si="9"/>
        <v/>
      </c>
    </row>
    <row r="191" spans="6:9" x14ac:dyDescent="0.2">
      <c r="F191" t="str">
        <f t="shared" ca="1" si="4"/>
        <v/>
      </c>
      <c r="G191">
        <f t="shared" ca="1" si="5"/>
        <v>0</v>
      </c>
      <c r="H191" t="str">
        <f t="shared" ca="1" si="8"/>
        <v/>
      </c>
      <c r="I191" t="str">
        <f t="shared" ca="1" si="9"/>
        <v/>
      </c>
    </row>
    <row r="192" spans="6:9" x14ac:dyDescent="0.2">
      <c r="F192" t="str">
        <f t="shared" ca="1" si="4"/>
        <v/>
      </c>
      <c r="G192">
        <f t="shared" ca="1" si="5"/>
        <v>0</v>
      </c>
      <c r="H192" t="str">
        <f t="shared" ca="1" si="8"/>
        <v/>
      </c>
      <c r="I192" t="str">
        <f t="shared" ca="1" si="9"/>
        <v/>
      </c>
    </row>
    <row r="193" spans="6:9" x14ac:dyDescent="0.2">
      <c r="F193" t="str">
        <f t="shared" ca="1" si="4"/>
        <v/>
      </c>
      <c r="G193">
        <f t="shared" ca="1" si="5"/>
        <v>0</v>
      </c>
      <c r="H193" t="str">
        <f t="shared" ca="1" si="8"/>
        <v/>
      </c>
      <c r="I193" t="str">
        <f t="shared" ca="1" si="9"/>
        <v/>
      </c>
    </row>
    <row r="194" spans="6:9" x14ac:dyDescent="0.2">
      <c r="F194" t="str">
        <f t="shared" ref="F194:F257" ca="1" si="10">IFERROR(MATCH(OFFSET($A$1,ROW()-1,0,1,1),A:A,0),"")</f>
        <v/>
      </c>
      <c r="G194">
        <f t="shared" ref="G194:G257" ca="1" si="11">COUNTIF(A:A,OFFSET($A$1,ROW()-1,0))</f>
        <v>0</v>
      </c>
      <c r="H194" t="str">
        <f t="shared" ca="1" si="8"/>
        <v/>
      </c>
      <c r="I194" t="str">
        <f t="shared" ca="1" si="9"/>
        <v/>
      </c>
    </row>
    <row r="195" spans="6:9" x14ac:dyDescent="0.2">
      <c r="F195" t="str">
        <f t="shared" ca="1" si="10"/>
        <v/>
      </c>
      <c r="G195">
        <f t="shared" ca="1" si="11"/>
        <v>0</v>
      </c>
      <c r="H195" t="str">
        <f t="shared" ca="1" si="8"/>
        <v/>
      </c>
      <c r="I195" t="str">
        <f t="shared" ca="1" si="9"/>
        <v/>
      </c>
    </row>
    <row r="196" spans="6:9" x14ac:dyDescent="0.2">
      <c r="F196" t="str">
        <f t="shared" ca="1" si="10"/>
        <v/>
      </c>
      <c r="G196">
        <f t="shared" ca="1" si="11"/>
        <v>0</v>
      </c>
      <c r="H196" t="str">
        <f t="shared" ref="H196:H227" ca="1" si="12">IFERROR(MATCH(OFFSET($A$1,ROW()-1,0,1,1),A:A,0),"")</f>
        <v/>
      </c>
      <c r="I196" t="str">
        <f t="shared" ref="I196:I227" ca="1" si="13">IFERROR(MATCH(OFFSET($A$1,ROW()-1,0,1,1),A:A,1)-H196+1,"")</f>
        <v/>
      </c>
    </row>
    <row r="197" spans="6:9" x14ac:dyDescent="0.2">
      <c r="F197" t="str">
        <f t="shared" ca="1" si="10"/>
        <v/>
      </c>
      <c r="G197">
        <f t="shared" ca="1" si="11"/>
        <v>0</v>
      </c>
      <c r="H197" t="str">
        <f t="shared" ca="1" si="12"/>
        <v/>
      </c>
      <c r="I197" t="str">
        <f t="shared" ca="1" si="13"/>
        <v/>
      </c>
    </row>
    <row r="198" spans="6:9" x14ac:dyDescent="0.2">
      <c r="F198" t="str">
        <f t="shared" ca="1" si="10"/>
        <v/>
      </c>
      <c r="G198">
        <f t="shared" ca="1" si="11"/>
        <v>0</v>
      </c>
      <c r="H198" t="str">
        <f t="shared" ca="1" si="12"/>
        <v/>
      </c>
      <c r="I198" t="str">
        <f t="shared" ca="1" si="13"/>
        <v/>
      </c>
    </row>
    <row r="199" spans="6:9" x14ac:dyDescent="0.2">
      <c r="F199" t="str">
        <f t="shared" ca="1" si="10"/>
        <v/>
      </c>
      <c r="G199">
        <f t="shared" ca="1" si="11"/>
        <v>0</v>
      </c>
      <c r="H199" t="str">
        <f t="shared" ca="1" si="12"/>
        <v/>
      </c>
      <c r="I199" t="str">
        <f t="shared" ca="1" si="13"/>
        <v/>
      </c>
    </row>
    <row r="200" spans="6:9" x14ac:dyDescent="0.2">
      <c r="F200" t="str">
        <f t="shared" ca="1" si="10"/>
        <v/>
      </c>
      <c r="G200">
        <f t="shared" ca="1" si="11"/>
        <v>0</v>
      </c>
      <c r="H200" t="str">
        <f t="shared" ca="1" si="12"/>
        <v/>
      </c>
      <c r="I200" t="str">
        <f t="shared" ca="1" si="13"/>
        <v/>
      </c>
    </row>
    <row r="201" spans="6:9" x14ac:dyDescent="0.2">
      <c r="F201" t="str">
        <f t="shared" ca="1" si="10"/>
        <v/>
      </c>
      <c r="G201">
        <f t="shared" ca="1" si="11"/>
        <v>0</v>
      </c>
      <c r="H201" t="str">
        <f t="shared" ca="1" si="12"/>
        <v/>
      </c>
      <c r="I201" t="str">
        <f t="shared" ca="1" si="13"/>
        <v/>
      </c>
    </row>
    <row r="202" spans="6:9" x14ac:dyDescent="0.2">
      <c r="F202" t="str">
        <f t="shared" ca="1" si="10"/>
        <v/>
      </c>
      <c r="G202">
        <f t="shared" ca="1" si="11"/>
        <v>0</v>
      </c>
      <c r="H202" t="str">
        <f t="shared" ca="1" si="12"/>
        <v/>
      </c>
      <c r="I202" t="str">
        <f t="shared" ca="1" si="13"/>
        <v/>
      </c>
    </row>
    <row r="203" spans="6:9" x14ac:dyDescent="0.2">
      <c r="F203" t="str">
        <f t="shared" ca="1" si="10"/>
        <v/>
      </c>
      <c r="G203">
        <f t="shared" ca="1" si="11"/>
        <v>0</v>
      </c>
      <c r="H203" t="str">
        <f t="shared" ca="1" si="12"/>
        <v/>
      </c>
      <c r="I203" t="str">
        <f t="shared" ca="1" si="13"/>
        <v/>
      </c>
    </row>
    <row r="204" spans="6:9" x14ac:dyDescent="0.2">
      <c r="F204" t="str">
        <f t="shared" ca="1" si="10"/>
        <v/>
      </c>
      <c r="G204">
        <f t="shared" ca="1" si="11"/>
        <v>0</v>
      </c>
      <c r="H204" t="str">
        <f t="shared" ca="1" si="12"/>
        <v/>
      </c>
      <c r="I204" t="str">
        <f t="shared" ca="1" si="13"/>
        <v/>
      </c>
    </row>
    <row r="205" spans="6:9" x14ac:dyDescent="0.2">
      <c r="F205" t="str">
        <f t="shared" ca="1" si="10"/>
        <v/>
      </c>
      <c r="G205">
        <f t="shared" ca="1" si="11"/>
        <v>0</v>
      </c>
      <c r="H205" t="str">
        <f t="shared" ca="1" si="12"/>
        <v/>
      </c>
      <c r="I205" t="str">
        <f t="shared" ca="1" si="13"/>
        <v/>
      </c>
    </row>
    <row r="206" spans="6:9" x14ac:dyDescent="0.2">
      <c r="F206" t="str">
        <f t="shared" ca="1" si="10"/>
        <v/>
      </c>
      <c r="G206">
        <f t="shared" ca="1" si="11"/>
        <v>0</v>
      </c>
      <c r="H206" t="str">
        <f t="shared" ca="1" si="12"/>
        <v/>
      </c>
      <c r="I206" t="str">
        <f t="shared" ca="1" si="13"/>
        <v/>
      </c>
    </row>
    <row r="207" spans="6:9" x14ac:dyDescent="0.2">
      <c r="F207" t="str">
        <f t="shared" ca="1" si="10"/>
        <v/>
      </c>
      <c r="G207">
        <f t="shared" ca="1" si="11"/>
        <v>0</v>
      </c>
      <c r="H207" t="str">
        <f t="shared" ca="1" si="12"/>
        <v/>
      </c>
      <c r="I207" t="str">
        <f t="shared" ca="1" si="13"/>
        <v/>
      </c>
    </row>
    <row r="208" spans="6:9" x14ac:dyDescent="0.2">
      <c r="F208" t="str">
        <f t="shared" ca="1" si="10"/>
        <v/>
      </c>
      <c r="G208">
        <f t="shared" ca="1" si="11"/>
        <v>0</v>
      </c>
      <c r="H208" t="str">
        <f t="shared" ca="1" si="12"/>
        <v/>
      </c>
      <c r="I208" t="str">
        <f t="shared" ca="1" si="13"/>
        <v/>
      </c>
    </row>
    <row r="209" spans="6:9" x14ac:dyDescent="0.2">
      <c r="F209" t="str">
        <f t="shared" ca="1" si="10"/>
        <v/>
      </c>
      <c r="G209">
        <f t="shared" ca="1" si="11"/>
        <v>0</v>
      </c>
      <c r="H209" t="str">
        <f t="shared" ca="1" si="12"/>
        <v/>
      </c>
      <c r="I209" t="str">
        <f t="shared" ca="1" si="13"/>
        <v/>
      </c>
    </row>
    <row r="210" spans="6:9" x14ac:dyDescent="0.2">
      <c r="F210" t="str">
        <f t="shared" ca="1" si="10"/>
        <v/>
      </c>
      <c r="G210">
        <f t="shared" ca="1" si="11"/>
        <v>0</v>
      </c>
      <c r="H210" t="str">
        <f t="shared" ca="1" si="12"/>
        <v/>
      </c>
      <c r="I210" t="str">
        <f t="shared" ca="1" si="13"/>
        <v/>
      </c>
    </row>
    <row r="211" spans="6:9" x14ac:dyDescent="0.2">
      <c r="F211" t="str">
        <f t="shared" ca="1" si="10"/>
        <v/>
      </c>
      <c r="G211">
        <f t="shared" ca="1" si="11"/>
        <v>0</v>
      </c>
      <c r="H211" t="str">
        <f t="shared" ca="1" si="12"/>
        <v/>
      </c>
      <c r="I211" t="str">
        <f t="shared" ca="1" si="13"/>
        <v/>
      </c>
    </row>
    <row r="212" spans="6:9" x14ac:dyDescent="0.2">
      <c r="F212" t="str">
        <f t="shared" ca="1" si="10"/>
        <v/>
      </c>
      <c r="G212">
        <f t="shared" ca="1" si="11"/>
        <v>0</v>
      </c>
      <c r="H212" t="str">
        <f t="shared" ca="1" si="12"/>
        <v/>
      </c>
      <c r="I212" t="str">
        <f t="shared" ca="1" si="13"/>
        <v/>
      </c>
    </row>
    <row r="213" spans="6:9" x14ac:dyDescent="0.2">
      <c r="F213" t="str">
        <f t="shared" ca="1" si="10"/>
        <v/>
      </c>
      <c r="G213">
        <f t="shared" ca="1" si="11"/>
        <v>0</v>
      </c>
      <c r="H213" t="str">
        <f t="shared" ca="1" si="12"/>
        <v/>
      </c>
      <c r="I213" t="str">
        <f t="shared" ca="1" si="13"/>
        <v/>
      </c>
    </row>
    <row r="214" spans="6:9" x14ac:dyDescent="0.2">
      <c r="F214" t="str">
        <f t="shared" ca="1" si="10"/>
        <v/>
      </c>
      <c r="G214">
        <f t="shared" ca="1" si="11"/>
        <v>0</v>
      </c>
      <c r="H214" t="str">
        <f t="shared" ca="1" si="12"/>
        <v/>
      </c>
      <c r="I214" t="str">
        <f t="shared" ca="1" si="13"/>
        <v/>
      </c>
    </row>
    <row r="215" spans="6:9" x14ac:dyDescent="0.2">
      <c r="F215" t="str">
        <f t="shared" ca="1" si="10"/>
        <v/>
      </c>
      <c r="G215">
        <f t="shared" ca="1" si="11"/>
        <v>0</v>
      </c>
      <c r="H215" t="str">
        <f t="shared" ca="1" si="12"/>
        <v/>
      </c>
      <c r="I215" t="str">
        <f t="shared" ca="1" si="13"/>
        <v/>
      </c>
    </row>
    <row r="216" spans="6:9" x14ac:dyDescent="0.2">
      <c r="F216" t="str">
        <f t="shared" ca="1" si="10"/>
        <v/>
      </c>
      <c r="G216">
        <f t="shared" ca="1" si="11"/>
        <v>0</v>
      </c>
      <c r="H216" t="str">
        <f t="shared" ca="1" si="12"/>
        <v/>
      </c>
      <c r="I216" t="str">
        <f t="shared" ca="1" si="13"/>
        <v/>
      </c>
    </row>
    <row r="217" spans="6:9" x14ac:dyDescent="0.2">
      <c r="F217" t="str">
        <f t="shared" ca="1" si="10"/>
        <v/>
      </c>
      <c r="G217">
        <f t="shared" ca="1" si="11"/>
        <v>0</v>
      </c>
      <c r="H217" t="str">
        <f t="shared" ca="1" si="12"/>
        <v/>
      </c>
      <c r="I217" t="str">
        <f t="shared" ca="1" si="13"/>
        <v/>
      </c>
    </row>
    <row r="218" spans="6:9" x14ac:dyDescent="0.2">
      <c r="F218" t="str">
        <f t="shared" ca="1" si="10"/>
        <v/>
      </c>
      <c r="G218">
        <f t="shared" ca="1" si="11"/>
        <v>0</v>
      </c>
      <c r="H218" t="str">
        <f t="shared" ca="1" si="12"/>
        <v/>
      </c>
      <c r="I218" t="str">
        <f t="shared" ca="1" si="13"/>
        <v/>
      </c>
    </row>
    <row r="219" spans="6:9" x14ac:dyDescent="0.2">
      <c r="F219" t="str">
        <f t="shared" ca="1" si="10"/>
        <v/>
      </c>
      <c r="G219">
        <f t="shared" ca="1" si="11"/>
        <v>0</v>
      </c>
      <c r="H219" t="str">
        <f t="shared" ca="1" si="12"/>
        <v/>
      </c>
      <c r="I219" t="str">
        <f t="shared" ca="1" si="13"/>
        <v/>
      </c>
    </row>
    <row r="220" spans="6:9" x14ac:dyDescent="0.2">
      <c r="F220" t="str">
        <f t="shared" ca="1" si="10"/>
        <v/>
      </c>
      <c r="G220">
        <f t="shared" ca="1" si="11"/>
        <v>0</v>
      </c>
      <c r="H220" t="str">
        <f t="shared" ca="1" si="12"/>
        <v/>
      </c>
      <c r="I220" t="str">
        <f t="shared" ca="1" si="13"/>
        <v/>
      </c>
    </row>
    <row r="221" spans="6:9" x14ac:dyDescent="0.2">
      <c r="F221" t="str">
        <f t="shared" ca="1" si="10"/>
        <v/>
      </c>
      <c r="G221">
        <f t="shared" ca="1" si="11"/>
        <v>0</v>
      </c>
      <c r="H221" t="str">
        <f t="shared" ca="1" si="12"/>
        <v/>
      </c>
      <c r="I221" t="str">
        <f t="shared" ca="1" si="13"/>
        <v/>
      </c>
    </row>
    <row r="222" spans="6:9" x14ac:dyDescent="0.2">
      <c r="F222" t="str">
        <f t="shared" ca="1" si="10"/>
        <v/>
      </c>
      <c r="G222">
        <f t="shared" ca="1" si="11"/>
        <v>0</v>
      </c>
      <c r="H222" t="str">
        <f t="shared" ca="1" si="12"/>
        <v/>
      </c>
      <c r="I222" t="str">
        <f t="shared" ca="1" si="13"/>
        <v/>
      </c>
    </row>
    <row r="223" spans="6:9" x14ac:dyDescent="0.2">
      <c r="F223" t="str">
        <f t="shared" ca="1" si="10"/>
        <v/>
      </c>
      <c r="G223">
        <f t="shared" ca="1" si="11"/>
        <v>0</v>
      </c>
      <c r="H223" t="str">
        <f t="shared" ca="1" si="12"/>
        <v/>
      </c>
      <c r="I223" t="str">
        <f t="shared" ca="1" si="13"/>
        <v/>
      </c>
    </row>
    <row r="224" spans="6:9" x14ac:dyDescent="0.2">
      <c r="F224" t="str">
        <f t="shared" ca="1" si="10"/>
        <v/>
      </c>
      <c r="G224">
        <f t="shared" ca="1" si="11"/>
        <v>0</v>
      </c>
      <c r="H224" t="str">
        <f t="shared" ca="1" si="12"/>
        <v/>
      </c>
      <c r="I224" t="str">
        <f t="shared" ca="1" si="13"/>
        <v/>
      </c>
    </row>
    <row r="225" spans="6:9" x14ac:dyDescent="0.2">
      <c r="F225" t="str">
        <f t="shared" ca="1" si="10"/>
        <v/>
      </c>
      <c r="G225">
        <f t="shared" ca="1" si="11"/>
        <v>0</v>
      </c>
      <c r="H225" t="str">
        <f t="shared" ca="1" si="12"/>
        <v/>
      </c>
      <c r="I225" t="str">
        <f t="shared" ca="1" si="13"/>
        <v/>
      </c>
    </row>
    <row r="226" spans="6:9" x14ac:dyDescent="0.2">
      <c r="F226" t="str">
        <f t="shared" ca="1" si="10"/>
        <v/>
      </c>
      <c r="G226">
        <f t="shared" ca="1" si="11"/>
        <v>0</v>
      </c>
      <c r="H226" t="str">
        <f t="shared" ca="1" si="12"/>
        <v/>
      </c>
      <c r="I226" t="str">
        <f t="shared" ca="1" si="13"/>
        <v/>
      </c>
    </row>
    <row r="227" spans="6:9" x14ac:dyDescent="0.2">
      <c r="F227" t="str">
        <f t="shared" ca="1" si="10"/>
        <v/>
      </c>
      <c r="G227">
        <f t="shared" ca="1" si="11"/>
        <v>0</v>
      </c>
      <c r="H227" t="str">
        <f t="shared" ca="1" si="12"/>
        <v/>
      </c>
      <c r="I227" t="str">
        <f t="shared" ca="1" si="13"/>
        <v/>
      </c>
    </row>
    <row r="228" spans="6:9" x14ac:dyDescent="0.2">
      <c r="F228" t="str">
        <f t="shared" ca="1" si="10"/>
        <v/>
      </c>
      <c r="G228">
        <f t="shared" ca="1" si="11"/>
        <v>0</v>
      </c>
      <c r="H228" t="str">
        <f t="shared" ref="H228:H259" ca="1" si="14">IFERROR(MATCH(OFFSET($A$1,ROW()-1,0,1,1),A:A,0),"")</f>
        <v/>
      </c>
      <c r="I228" t="str">
        <f t="shared" ref="I228:I259" ca="1" si="15">IFERROR(MATCH(OFFSET($A$1,ROW()-1,0,1,1),A:A,1)-H228+1,"")</f>
        <v/>
      </c>
    </row>
    <row r="229" spans="6:9" x14ac:dyDescent="0.2">
      <c r="F229" t="str">
        <f t="shared" ca="1" si="10"/>
        <v/>
      </c>
      <c r="G229">
        <f t="shared" ca="1" si="11"/>
        <v>0</v>
      </c>
      <c r="H229" t="str">
        <f t="shared" ca="1" si="14"/>
        <v/>
      </c>
      <c r="I229" t="str">
        <f t="shared" ca="1" si="15"/>
        <v/>
      </c>
    </row>
    <row r="230" spans="6:9" x14ac:dyDescent="0.2">
      <c r="F230" t="str">
        <f t="shared" ca="1" si="10"/>
        <v/>
      </c>
      <c r="G230">
        <f t="shared" ca="1" si="11"/>
        <v>0</v>
      </c>
      <c r="H230" t="str">
        <f t="shared" ca="1" si="14"/>
        <v/>
      </c>
      <c r="I230" t="str">
        <f t="shared" ca="1" si="15"/>
        <v/>
      </c>
    </row>
    <row r="231" spans="6:9" x14ac:dyDescent="0.2">
      <c r="F231" t="str">
        <f t="shared" ca="1" si="10"/>
        <v/>
      </c>
      <c r="G231">
        <f t="shared" ca="1" si="11"/>
        <v>0</v>
      </c>
      <c r="H231" t="str">
        <f t="shared" ca="1" si="14"/>
        <v/>
      </c>
      <c r="I231" t="str">
        <f t="shared" ca="1" si="15"/>
        <v/>
      </c>
    </row>
    <row r="232" spans="6:9" x14ac:dyDescent="0.2">
      <c r="F232" t="str">
        <f t="shared" ca="1" si="10"/>
        <v/>
      </c>
      <c r="G232">
        <f t="shared" ca="1" si="11"/>
        <v>0</v>
      </c>
      <c r="H232" t="str">
        <f t="shared" ca="1" si="14"/>
        <v/>
      </c>
      <c r="I232" t="str">
        <f t="shared" ca="1" si="15"/>
        <v/>
      </c>
    </row>
    <row r="233" spans="6:9" x14ac:dyDescent="0.2">
      <c r="F233" t="str">
        <f t="shared" ca="1" si="10"/>
        <v/>
      </c>
      <c r="G233">
        <f t="shared" ca="1" si="11"/>
        <v>0</v>
      </c>
      <c r="H233" t="str">
        <f t="shared" ca="1" si="14"/>
        <v/>
      </c>
      <c r="I233" t="str">
        <f t="shared" ca="1" si="15"/>
        <v/>
      </c>
    </row>
    <row r="234" spans="6:9" x14ac:dyDescent="0.2">
      <c r="F234" t="str">
        <f t="shared" ca="1" si="10"/>
        <v/>
      </c>
      <c r="G234">
        <f t="shared" ca="1" si="11"/>
        <v>0</v>
      </c>
      <c r="H234" t="str">
        <f t="shared" ca="1" si="14"/>
        <v/>
      </c>
      <c r="I234" t="str">
        <f t="shared" ca="1" si="15"/>
        <v/>
      </c>
    </row>
    <row r="235" spans="6:9" x14ac:dyDescent="0.2">
      <c r="F235" t="str">
        <f t="shared" ca="1" si="10"/>
        <v/>
      </c>
      <c r="G235">
        <f t="shared" ca="1" si="11"/>
        <v>0</v>
      </c>
      <c r="H235" t="str">
        <f t="shared" ca="1" si="14"/>
        <v/>
      </c>
      <c r="I235" t="str">
        <f t="shared" ca="1" si="15"/>
        <v/>
      </c>
    </row>
    <row r="236" spans="6:9" x14ac:dyDescent="0.2">
      <c r="F236" t="str">
        <f t="shared" ca="1" si="10"/>
        <v/>
      </c>
      <c r="G236">
        <f t="shared" ca="1" si="11"/>
        <v>0</v>
      </c>
      <c r="H236" t="str">
        <f t="shared" ca="1" si="14"/>
        <v/>
      </c>
      <c r="I236" t="str">
        <f t="shared" ca="1" si="15"/>
        <v/>
      </c>
    </row>
    <row r="237" spans="6:9" x14ac:dyDescent="0.2">
      <c r="F237" t="str">
        <f t="shared" ca="1" si="10"/>
        <v/>
      </c>
      <c r="G237">
        <f t="shared" ca="1" si="11"/>
        <v>0</v>
      </c>
      <c r="H237" t="str">
        <f t="shared" ca="1" si="14"/>
        <v/>
      </c>
      <c r="I237" t="str">
        <f t="shared" ca="1" si="15"/>
        <v/>
      </c>
    </row>
    <row r="238" spans="6:9" x14ac:dyDescent="0.2">
      <c r="F238" t="str">
        <f t="shared" ca="1" si="10"/>
        <v/>
      </c>
      <c r="G238">
        <f t="shared" ca="1" si="11"/>
        <v>0</v>
      </c>
      <c r="H238" t="str">
        <f t="shared" ca="1" si="14"/>
        <v/>
      </c>
      <c r="I238" t="str">
        <f t="shared" ca="1" si="15"/>
        <v/>
      </c>
    </row>
    <row r="239" spans="6:9" x14ac:dyDescent="0.2">
      <c r="F239" t="str">
        <f t="shared" ca="1" si="10"/>
        <v/>
      </c>
      <c r="G239">
        <f t="shared" ca="1" si="11"/>
        <v>0</v>
      </c>
      <c r="H239" t="str">
        <f t="shared" ca="1" si="14"/>
        <v/>
      </c>
      <c r="I239" t="str">
        <f t="shared" ca="1" si="15"/>
        <v/>
      </c>
    </row>
    <row r="240" spans="6:9" x14ac:dyDescent="0.2">
      <c r="F240" t="str">
        <f t="shared" ca="1" si="10"/>
        <v/>
      </c>
      <c r="G240">
        <f t="shared" ca="1" si="11"/>
        <v>0</v>
      </c>
      <c r="H240" t="str">
        <f t="shared" ca="1" si="14"/>
        <v/>
      </c>
      <c r="I240" t="str">
        <f t="shared" ca="1" si="15"/>
        <v/>
      </c>
    </row>
    <row r="241" spans="6:9" x14ac:dyDescent="0.2">
      <c r="F241" t="str">
        <f t="shared" ca="1" si="10"/>
        <v/>
      </c>
      <c r="G241">
        <f t="shared" ca="1" si="11"/>
        <v>0</v>
      </c>
      <c r="H241" t="str">
        <f t="shared" ca="1" si="14"/>
        <v/>
      </c>
      <c r="I241" t="str">
        <f t="shared" ca="1" si="15"/>
        <v/>
      </c>
    </row>
    <row r="242" spans="6:9" x14ac:dyDescent="0.2">
      <c r="F242" t="str">
        <f t="shared" ca="1" si="10"/>
        <v/>
      </c>
      <c r="G242">
        <f t="shared" ca="1" si="11"/>
        <v>0</v>
      </c>
      <c r="H242" t="str">
        <f t="shared" ca="1" si="14"/>
        <v/>
      </c>
      <c r="I242" t="str">
        <f t="shared" ca="1" si="15"/>
        <v/>
      </c>
    </row>
    <row r="243" spans="6:9" x14ac:dyDescent="0.2">
      <c r="F243" t="str">
        <f t="shared" ca="1" si="10"/>
        <v/>
      </c>
      <c r="G243">
        <f t="shared" ca="1" si="11"/>
        <v>0</v>
      </c>
      <c r="H243" t="str">
        <f t="shared" ca="1" si="14"/>
        <v/>
      </c>
      <c r="I243" t="str">
        <f t="shared" ca="1" si="15"/>
        <v/>
      </c>
    </row>
    <row r="244" spans="6:9" x14ac:dyDescent="0.2">
      <c r="F244" t="str">
        <f t="shared" ca="1" si="10"/>
        <v/>
      </c>
      <c r="G244">
        <f t="shared" ca="1" si="11"/>
        <v>0</v>
      </c>
      <c r="H244" t="str">
        <f t="shared" ca="1" si="14"/>
        <v/>
      </c>
      <c r="I244" t="str">
        <f t="shared" ca="1" si="15"/>
        <v/>
      </c>
    </row>
    <row r="245" spans="6:9" x14ac:dyDescent="0.2">
      <c r="F245" t="str">
        <f t="shared" ca="1" si="10"/>
        <v/>
      </c>
      <c r="G245">
        <f t="shared" ca="1" si="11"/>
        <v>0</v>
      </c>
      <c r="H245" t="str">
        <f t="shared" ca="1" si="14"/>
        <v/>
      </c>
      <c r="I245" t="str">
        <f t="shared" ca="1" si="15"/>
        <v/>
      </c>
    </row>
    <row r="246" spans="6:9" x14ac:dyDescent="0.2">
      <c r="F246" t="str">
        <f t="shared" ca="1" si="10"/>
        <v/>
      </c>
      <c r="G246">
        <f t="shared" ca="1" si="11"/>
        <v>0</v>
      </c>
      <c r="H246" t="str">
        <f t="shared" ca="1" si="14"/>
        <v/>
      </c>
      <c r="I246" t="str">
        <f t="shared" ca="1" si="15"/>
        <v/>
      </c>
    </row>
    <row r="247" spans="6:9" x14ac:dyDescent="0.2">
      <c r="F247" t="str">
        <f t="shared" ca="1" si="10"/>
        <v/>
      </c>
      <c r="G247">
        <f t="shared" ca="1" si="11"/>
        <v>0</v>
      </c>
      <c r="H247" t="str">
        <f t="shared" ca="1" si="14"/>
        <v/>
      </c>
      <c r="I247" t="str">
        <f t="shared" ca="1" si="15"/>
        <v/>
      </c>
    </row>
    <row r="248" spans="6:9" x14ac:dyDescent="0.2">
      <c r="F248" t="str">
        <f t="shared" ca="1" si="10"/>
        <v/>
      </c>
      <c r="G248">
        <f t="shared" ca="1" si="11"/>
        <v>0</v>
      </c>
      <c r="H248" t="str">
        <f t="shared" ca="1" si="14"/>
        <v/>
      </c>
      <c r="I248" t="str">
        <f t="shared" ca="1" si="15"/>
        <v/>
      </c>
    </row>
    <row r="249" spans="6:9" x14ac:dyDescent="0.2">
      <c r="F249" t="str">
        <f t="shared" ca="1" si="10"/>
        <v/>
      </c>
      <c r="G249">
        <f t="shared" ca="1" si="11"/>
        <v>0</v>
      </c>
      <c r="H249" t="str">
        <f t="shared" ca="1" si="14"/>
        <v/>
      </c>
      <c r="I249" t="str">
        <f t="shared" ca="1" si="15"/>
        <v/>
      </c>
    </row>
    <row r="250" spans="6:9" x14ac:dyDescent="0.2">
      <c r="F250" t="str">
        <f t="shared" ca="1" si="10"/>
        <v/>
      </c>
      <c r="G250">
        <f t="shared" ca="1" si="11"/>
        <v>0</v>
      </c>
      <c r="H250" t="str">
        <f t="shared" ca="1" si="14"/>
        <v/>
      </c>
      <c r="I250" t="str">
        <f t="shared" ca="1" si="15"/>
        <v/>
      </c>
    </row>
    <row r="251" spans="6:9" x14ac:dyDescent="0.2">
      <c r="F251" t="str">
        <f t="shared" ca="1" si="10"/>
        <v/>
      </c>
      <c r="G251">
        <f t="shared" ca="1" si="11"/>
        <v>0</v>
      </c>
      <c r="H251" t="str">
        <f t="shared" ca="1" si="14"/>
        <v/>
      </c>
      <c r="I251" t="str">
        <f t="shared" ca="1" si="15"/>
        <v/>
      </c>
    </row>
    <row r="252" spans="6:9" x14ac:dyDescent="0.2">
      <c r="F252" t="str">
        <f t="shared" ca="1" si="10"/>
        <v/>
      </c>
      <c r="G252">
        <f t="shared" ca="1" si="11"/>
        <v>0</v>
      </c>
      <c r="H252" t="str">
        <f t="shared" ca="1" si="14"/>
        <v/>
      </c>
      <c r="I252" t="str">
        <f t="shared" ca="1" si="15"/>
        <v/>
      </c>
    </row>
    <row r="253" spans="6:9" x14ac:dyDescent="0.2">
      <c r="F253" t="str">
        <f t="shared" ca="1" si="10"/>
        <v/>
      </c>
      <c r="G253">
        <f t="shared" ca="1" si="11"/>
        <v>0</v>
      </c>
      <c r="H253" t="str">
        <f t="shared" ca="1" si="14"/>
        <v/>
      </c>
      <c r="I253" t="str">
        <f t="shared" ca="1" si="15"/>
        <v/>
      </c>
    </row>
    <row r="254" spans="6:9" x14ac:dyDescent="0.2">
      <c r="F254" t="str">
        <f t="shared" ca="1" si="10"/>
        <v/>
      </c>
      <c r="G254">
        <f t="shared" ca="1" si="11"/>
        <v>0</v>
      </c>
      <c r="H254" t="str">
        <f t="shared" ca="1" si="14"/>
        <v/>
      </c>
      <c r="I254" t="str">
        <f t="shared" ca="1" si="15"/>
        <v/>
      </c>
    </row>
    <row r="255" spans="6:9" x14ac:dyDescent="0.2">
      <c r="F255" t="str">
        <f t="shared" ca="1" si="10"/>
        <v/>
      </c>
      <c r="G255">
        <f t="shared" ca="1" si="11"/>
        <v>0</v>
      </c>
      <c r="H255" t="str">
        <f t="shared" ca="1" si="14"/>
        <v/>
      </c>
      <c r="I255" t="str">
        <f t="shared" ca="1" si="15"/>
        <v/>
      </c>
    </row>
    <row r="256" spans="6:9" x14ac:dyDescent="0.2">
      <c r="F256" t="str">
        <f t="shared" ca="1" si="10"/>
        <v/>
      </c>
      <c r="G256">
        <f t="shared" ca="1" si="11"/>
        <v>0</v>
      </c>
      <c r="H256" t="str">
        <f t="shared" ca="1" si="14"/>
        <v/>
      </c>
      <c r="I256" t="str">
        <f t="shared" ca="1" si="15"/>
        <v/>
      </c>
    </row>
    <row r="257" spans="6:9" x14ac:dyDescent="0.2">
      <c r="F257" t="str">
        <f t="shared" ca="1" si="10"/>
        <v/>
      </c>
      <c r="G257">
        <f t="shared" ca="1" si="11"/>
        <v>0</v>
      </c>
      <c r="H257" t="str">
        <f t="shared" ca="1" si="14"/>
        <v/>
      </c>
      <c r="I257" t="str">
        <f t="shared" ca="1" si="15"/>
        <v/>
      </c>
    </row>
    <row r="258" spans="6:9" x14ac:dyDescent="0.2">
      <c r="F258" t="str">
        <f t="shared" ref="F258:F321" ca="1" si="16">IFERROR(MATCH(OFFSET($A$1,ROW()-1,0,1,1),A:A,0),"")</f>
        <v/>
      </c>
      <c r="G258">
        <f t="shared" ref="G258:G321" ca="1" si="17">COUNTIF(A:A,OFFSET($A$1,ROW()-1,0))</f>
        <v>0</v>
      </c>
      <c r="H258" t="str">
        <f t="shared" ca="1" si="14"/>
        <v/>
      </c>
      <c r="I258" t="str">
        <f t="shared" ca="1" si="15"/>
        <v/>
      </c>
    </row>
    <row r="259" spans="6:9" x14ac:dyDescent="0.2">
      <c r="F259" t="str">
        <f t="shared" ca="1" si="16"/>
        <v/>
      </c>
      <c r="G259">
        <f t="shared" ca="1" si="17"/>
        <v>0</v>
      </c>
      <c r="H259" t="str">
        <f t="shared" ca="1" si="14"/>
        <v/>
      </c>
      <c r="I259" t="str">
        <f t="shared" ca="1" si="15"/>
        <v/>
      </c>
    </row>
    <row r="260" spans="6:9" x14ac:dyDescent="0.2">
      <c r="F260" t="str">
        <f t="shared" ca="1" si="16"/>
        <v/>
      </c>
      <c r="G260">
        <f t="shared" ca="1" si="17"/>
        <v>0</v>
      </c>
      <c r="H260" t="str">
        <f t="shared" ref="H260:H296" ca="1" si="18">IFERROR(MATCH(OFFSET($A$1,ROW()-1,0,1,1),A:A,0),"")</f>
        <v/>
      </c>
      <c r="I260" t="str">
        <f t="shared" ref="I260:I291" ca="1" si="19">IFERROR(MATCH(OFFSET($A$1,ROW()-1,0,1,1),A:A,1)-H260+1,"")</f>
        <v/>
      </c>
    </row>
    <row r="261" spans="6:9" x14ac:dyDescent="0.2">
      <c r="F261" t="str">
        <f t="shared" ca="1" si="16"/>
        <v/>
      </c>
      <c r="G261">
        <f t="shared" ca="1" si="17"/>
        <v>0</v>
      </c>
      <c r="H261" t="str">
        <f t="shared" ca="1" si="18"/>
        <v/>
      </c>
      <c r="I261" t="str">
        <f t="shared" ca="1" si="19"/>
        <v/>
      </c>
    </row>
    <row r="262" spans="6:9" x14ac:dyDescent="0.2">
      <c r="F262" t="str">
        <f t="shared" ca="1" si="16"/>
        <v/>
      </c>
      <c r="G262">
        <f t="shared" ca="1" si="17"/>
        <v>0</v>
      </c>
      <c r="H262" t="str">
        <f t="shared" ca="1" si="18"/>
        <v/>
      </c>
      <c r="I262" t="str">
        <f t="shared" ca="1" si="19"/>
        <v/>
      </c>
    </row>
    <row r="263" spans="6:9" x14ac:dyDescent="0.2">
      <c r="F263" t="str">
        <f t="shared" ca="1" si="16"/>
        <v/>
      </c>
      <c r="G263">
        <f t="shared" ca="1" si="17"/>
        <v>0</v>
      </c>
      <c r="H263" t="str">
        <f t="shared" ca="1" si="18"/>
        <v/>
      </c>
      <c r="I263" t="str">
        <f t="shared" ca="1" si="19"/>
        <v/>
      </c>
    </row>
    <row r="264" spans="6:9" x14ac:dyDescent="0.2">
      <c r="F264" t="str">
        <f t="shared" ca="1" si="16"/>
        <v/>
      </c>
      <c r="G264">
        <f t="shared" ca="1" si="17"/>
        <v>0</v>
      </c>
      <c r="H264" t="str">
        <f t="shared" ca="1" si="18"/>
        <v/>
      </c>
      <c r="I264" t="str">
        <f t="shared" ca="1" si="19"/>
        <v/>
      </c>
    </row>
    <row r="265" spans="6:9" x14ac:dyDescent="0.2">
      <c r="F265" t="str">
        <f t="shared" ca="1" si="16"/>
        <v/>
      </c>
      <c r="G265">
        <f t="shared" ca="1" si="17"/>
        <v>0</v>
      </c>
      <c r="H265" t="str">
        <f t="shared" ca="1" si="18"/>
        <v/>
      </c>
      <c r="I265" t="str">
        <f t="shared" ca="1" si="19"/>
        <v/>
      </c>
    </row>
    <row r="266" spans="6:9" x14ac:dyDescent="0.2">
      <c r="F266" t="str">
        <f t="shared" ca="1" si="16"/>
        <v/>
      </c>
      <c r="G266">
        <f t="shared" ca="1" si="17"/>
        <v>0</v>
      </c>
      <c r="H266" t="str">
        <f t="shared" ca="1" si="18"/>
        <v/>
      </c>
      <c r="I266" t="str">
        <f t="shared" ca="1" si="19"/>
        <v/>
      </c>
    </row>
    <row r="267" spans="6:9" x14ac:dyDescent="0.2">
      <c r="F267" t="str">
        <f t="shared" ca="1" si="16"/>
        <v/>
      </c>
      <c r="G267">
        <f t="shared" ca="1" si="17"/>
        <v>0</v>
      </c>
      <c r="H267" t="str">
        <f t="shared" ca="1" si="18"/>
        <v/>
      </c>
      <c r="I267" t="str">
        <f t="shared" ca="1" si="19"/>
        <v/>
      </c>
    </row>
    <row r="268" spans="6:9" x14ac:dyDescent="0.2">
      <c r="F268" t="str">
        <f t="shared" ca="1" si="16"/>
        <v/>
      </c>
      <c r="G268">
        <f t="shared" ca="1" si="17"/>
        <v>0</v>
      </c>
      <c r="H268" t="str">
        <f t="shared" ca="1" si="18"/>
        <v/>
      </c>
      <c r="I268" t="str">
        <f t="shared" ca="1" si="19"/>
        <v/>
      </c>
    </row>
    <row r="269" spans="6:9" x14ac:dyDescent="0.2">
      <c r="F269" t="str">
        <f t="shared" ca="1" si="16"/>
        <v/>
      </c>
      <c r="G269">
        <f t="shared" ca="1" si="17"/>
        <v>0</v>
      </c>
      <c r="H269" t="str">
        <f t="shared" ca="1" si="18"/>
        <v/>
      </c>
      <c r="I269" t="str">
        <f t="shared" ca="1" si="19"/>
        <v/>
      </c>
    </row>
    <row r="270" spans="6:9" x14ac:dyDescent="0.2">
      <c r="F270" t="str">
        <f t="shared" ca="1" si="16"/>
        <v/>
      </c>
      <c r="G270">
        <f t="shared" ca="1" si="17"/>
        <v>0</v>
      </c>
      <c r="H270" t="str">
        <f t="shared" ca="1" si="18"/>
        <v/>
      </c>
      <c r="I270" t="str">
        <f t="shared" ca="1" si="19"/>
        <v/>
      </c>
    </row>
    <row r="271" spans="6:9" x14ac:dyDescent="0.2">
      <c r="F271" t="str">
        <f t="shared" ca="1" si="16"/>
        <v/>
      </c>
      <c r="G271">
        <f t="shared" ca="1" si="17"/>
        <v>0</v>
      </c>
      <c r="H271" t="str">
        <f t="shared" ca="1" si="18"/>
        <v/>
      </c>
      <c r="I271" t="str">
        <f t="shared" ca="1" si="19"/>
        <v/>
      </c>
    </row>
    <row r="272" spans="6:9" x14ac:dyDescent="0.2">
      <c r="F272" t="str">
        <f t="shared" ca="1" si="16"/>
        <v/>
      </c>
      <c r="G272">
        <f t="shared" ca="1" si="17"/>
        <v>0</v>
      </c>
      <c r="H272" t="str">
        <f t="shared" ca="1" si="18"/>
        <v/>
      </c>
      <c r="I272" t="str">
        <f t="shared" ca="1" si="19"/>
        <v/>
      </c>
    </row>
    <row r="273" spans="6:9" x14ac:dyDescent="0.2">
      <c r="F273" t="str">
        <f t="shared" ca="1" si="16"/>
        <v/>
      </c>
      <c r="G273">
        <f t="shared" ca="1" si="17"/>
        <v>0</v>
      </c>
      <c r="H273" t="str">
        <f t="shared" ca="1" si="18"/>
        <v/>
      </c>
      <c r="I273" t="str">
        <f t="shared" ca="1" si="19"/>
        <v/>
      </c>
    </row>
    <row r="274" spans="6:9" x14ac:dyDescent="0.2">
      <c r="F274" t="str">
        <f t="shared" ca="1" si="16"/>
        <v/>
      </c>
      <c r="G274">
        <f t="shared" ca="1" si="17"/>
        <v>0</v>
      </c>
      <c r="H274" t="str">
        <f t="shared" ca="1" si="18"/>
        <v/>
      </c>
      <c r="I274" t="str">
        <f t="shared" ca="1" si="19"/>
        <v/>
      </c>
    </row>
    <row r="275" spans="6:9" x14ac:dyDescent="0.2">
      <c r="F275" t="str">
        <f t="shared" ca="1" si="16"/>
        <v/>
      </c>
      <c r="G275">
        <f t="shared" ca="1" si="17"/>
        <v>0</v>
      </c>
      <c r="H275" t="str">
        <f t="shared" ca="1" si="18"/>
        <v/>
      </c>
      <c r="I275" t="str">
        <f t="shared" ca="1" si="19"/>
        <v/>
      </c>
    </row>
    <row r="276" spans="6:9" x14ac:dyDescent="0.2">
      <c r="F276" t="str">
        <f t="shared" ca="1" si="16"/>
        <v/>
      </c>
      <c r="G276">
        <f t="shared" ca="1" si="17"/>
        <v>0</v>
      </c>
      <c r="H276" t="str">
        <f t="shared" ca="1" si="18"/>
        <v/>
      </c>
      <c r="I276" t="str">
        <f t="shared" ca="1" si="19"/>
        <v/>
      </c>
    </row>
    <row r="277" spans="6:9" x14ac:dyDescent="0.2">
      <c r="F277" t="str">
        <f t="shared" ca="1" si="16"/>
        <v/>
      </c>
      <c r="G277">
        <f t="shared" ca="1" si="17"/>
        <v>0</v>
      </c>
      <c r="H277" t="str">
        <f t="shared" ca="1" si="18"/>
        <v/>
      </c>
      <c r="I277" t="str">
        <f t="shared" ca="1" si="19"/>
        <v/>
      </c>
    </row>
    <row r="278" spans="6:9" x14ac:dyDescent="0.2">
      <c r="F278" t="str">
        <f t="shared" ca="1" si="16"/>
        <v/>
      </c>
      <c r="G278">
        <f t="shared" ca="1" si="17"/>
        <v>0</v>
      </c>
      <c r="H278" t="str">
        <f t="shared" ca="1" si="18"/>
        <v/>
      </c>
      <c r="I278" t="str">
        <f t="shared" ca="1" si="19"/>
        <v/>
      </c>
    </row>
    <row r="279" spans="6:9" x14ac:dyDescent="0.2">
      <c r="F279" t="str">
        <f t="shared" ca="1" si="16"/>
        <v/>
      </c>
      <c r="G279">
        <f t="shared" ca="1" si="17"/>
        <v>0</v>
      </c>
      <c r="H279" t="str">
        <f t="shared" ca="1" si="18"/>
        <v/>
      </c>
      <c r="I279" t="str">
        <f t="shared" ca="1" si="19"/>
        <v/>
      </c>
    </row>
    <row r="280" spans="6:9" x14ac:dyDescent="0.2">
      <c r="F280" t="str">
        <f t="shared" ca="1" si="16"/>
        <v/>
      </c>
      <c r="G280">
        <f t="shared" ca="1" si="17"/>
        <v>0</v>
      </c>
      <c r="H280" t="str">
        <f t="shared" ca="1" si="18"/>
        <v/>
      </c>
      <c r="I280" t="str">
        <f t="shared" ca="1" si="19"/>
        <v/>
      </c>
    </row>
    <row r="281" spans="6:9" x14ac:dyDescent="0.2">
      <c r="F281" t="str">
        <f t="shared" ca="1" si="16"/>
        <v/>
      </c>
      <c r="G281">
        <f t="shared" ca="1" si="17"/>
        <v>0</v>
      </c>
      <c r="H281" t="str">
        <f t="shared" ca="1" si="18"/>
        <v/>
      </c>
      <c r="I281" t="str">
        <f t="shared" ca="1" si="19"/>
        <v/>
      </c>
    </row>
    <row r="282" spans="6:9" x14ac:dyDescent="0.2">
      <c r="F282" t="str">
        <f t="shared" ca="1" si="16"/>
        <v/>
      </c>
      <c r="G282">
        <f t="shared" ca="1" si="17"/>
        <v>0</v>
      </c>
      <c r="H282" t="str">
        <f t="shared" ca="1" si="18"/>
        <v/>
      </c>
      <c r="I282" t="str">
        <f t="shared" ca="1" si="19"/>
        <v/>
      </c>
    </row>
    <row r="283" spans="6:9" x14ac:dyDescent="0.2">
      <c r="F283" t="str">
        <f t="shared" ca="1" si="16"/>
        <v/>
      </c>
      <c r="G283">
        <f t="shared" ca="1" si="17"/>
        <v>0</v>
      </c>
      <c r="H283" t="str">
        <f t="shared" ca="1" si="18"/>
        <v/>
      </c>
      <c r="I283" t="str">
        <f t="shared" ca="1" si="19"/>
        <v/>
      </c>
    </row>
    <row r="284" spans="6:9" x14ac:dyDescent="0.2">
      <c r="F284" t="str">
        <f t="shared" ca="1" si="16"/>
        <v/>
      </c>
      <c r="G284">
        <f t="shared" ca="1" si="17"/>
        <v>0</v>
      </c>
      <c r="H284" t="str">
        <f t="shared" ca="1" si="18"/>
        <v/>
      </c>
      <c r="I284" t="str">
        <f t="shared" ca="1" si="19"/>
        <v/>
      </c>
    </row>
    <row r="285" spans="6:9" x14ac:dyDescent="0.2">
      <c r="F285" t="str">
        <f t="shared" ca="1" si="16"/>
        <v/>
      </c>
      <c r="G285">
        <f t="shared" ca="1" si="17"/>
        <v>0</v>
      </c>
      <c r="H285" t="str">
        <f t="shared" ca="1" si="18"/>
        <v/>
      </c>
      <c r="I285" t="str">
        <f t="shared" ca="1" si="19"/>
        <v/>
      </c>
    </row>
    <row r="286" spans="6:9" x14ac:dyDescent="0.2">
      <c r="F286" t="str">
        <f t="shared" ca="1" si="16"/>
        <v/>
      </c>
      <c r="G286">
        <f t="shared" ca="1" si="17"/>
        <v>0</v>
      </c>
      <c r="H286" t="str">
        <f t="shared" ca="1" si="18"/>
        <v/>
      </c>
      <c r="I286" t="str">
        <f t="shared" ca="1" si="19"/>
        <v/>
      </c>
    </row>
    <row r="287" spans="6:9" x14ac:dyDescent="0.2">
      <c r="F287" t="str">
        <f t="shared" ca="1" si="16"/>
        <v/>
      </c>
      <c r="G287">
        <f t="shared" ca="1" si="17"/>
        <v>0</v>
      </c>
      <c r="H287" t="str">
        <f t="shared" ca="1" si="18"/>
        <v/>
      </c>
      <c r="I287" t="str">
        <f t="shared" ca="1" si="19"/>
        <v/>
      </c>
    </row>
    <row r="288" spans="6:9" x14ac:dyDescent="0.2">
      <c r="F288" t="str">
        <f t="shared" ca="1" si="16"/>
        <v/>
      </c>
      <c r="G288">
        <f t="shared" ca="1" si="17"/>
        <v>0</v>
      </c>
      <c r="H288" t="str">
        <f t="shared" ca="1" si="18"/>
        <v/>
      </c>
      <c r="I288" t="str">
        <f t="shared" ca="1" si="19"/>
        <v/>
      </c>
    </row>
    <row r="289" spans="6:10" x14ac:dyDescent="0.2">
      <c r="F289" t="str">
        <f t="shared" ca="1" si="16"/>
        <v/>
      </c>
      <c r="G289">
        <f t="shared" ca="1" si="17"/>
        <v>0</v>
      </c>
      <c r="H289" t="str">
        <f t="shared" ca="1" si="18"/>
        <v/>
      </c>
      <c r="I289" t="str">
        <f t="shared" ca="1" si="19"/>
        <v/>
      </c>
    </row>
    <row r="290" spans="6:10" x14ac:dyDescent="0.2">
      <c r="F290" t="str">
        <f t="shared" ca="1" si="16"/>
        <v/>
      </c>
      <c r="G290">
        <f t="shared" ca="1" si="17"/>
        <v>0</v>
      </c>
      <c r="H290" t="str">
        <f t="shared" ca="1" si="18"/>
        <v/>
      </c>
      <c r="I290" t="str">
        <f t="shared" ca="1" si="19"/>
        <v/>
      </c>
    </row>
    <row r="291" spans="6:10" x14ac:dyDescent="0.2">
      <c r="F291" t="str">
        <f t="shared" ca="1" si="16"/>
        <v/>
      </c>
      <c r="G291">
        <f t="shared" ca="1" si="17"/>
        <v>0</v>
      </c>
      <c r="H291" t="str">
        <f t="shared" ca="1" si="18"/>
        <v/>
      </c>
      <c r="I291" t="str">
        <f t="shared" ca="1" si="19"/>
        <v/>
      </c>
    </row>
    <row r="292" spans="6:10" x14ac:dyDescent="0.2">
      <c r="F292" t="str">
        <f t="shared" ca="1" si="16"/>
        <v/>
      </c>
      <c r="G292">
        <f t="shared" ca="1" si="17"/>
        <v>0</v>
      </c>
      <c r="H292" t="str">
        <f t="shared" ca="1" si="18"/>
        <v/>
      </c>
      <c r="I292" t="str">
        <f t="shared" ref="I292:I296" ca="1" si="20">IFERROR(MATCH(OFFSET($A$1,ROW()-1,0,1,1),A:A,1)-H292+1,"")</f>
        <v/>
      </c>
    </row>
    <row r="293" spans="6:10" x14ac:dyDescent="0.2">
      <c r="F293" t="str">
        <f t="shared" ca="1" si="16"/>
        <v/>
      </c>
      <c r="G293">
        <f t="shared" ca="1" si="17"/>
        <v>0</v>
      </c>
      <c r="H293" t="str">
        <f t="shared" ca="1" si="18"/>
        <v/>
      </c>
      <c r="I293" t="str">
        <f t="shared" ca="1" si="20"/>
        <v/>
      </c>
    </row>
    <row r="294" spans="6:10" x14ac:dyDescent="0.2">
      <c r="F294" t="str">
        <f t="shared" ca="1" si="16"/>
        <v/>
      </c>
      <c r="G294">
        <f t="shared" ca="1" si="17"/>
        <v>0</v>
      </c>
      <c r="H294" t="str">
        <f t="shared" ca="1" si="18"/>
        <v/>
      </c>
      <c r="I294" t="str">
        <f t="shared" ca="1" si="20"/>
        <v/>
      </c>
    </row>
    <row r="295" spans="6:10" x14ac:dyDescent="0.2">
      <c r="F295" t="str">
        <f t="shared" ca="1" si="16"/>
        <v/>
      </c>
      <c r="G295">
        <f t="shared" ca="1" si="17"/>
        <v>0</v>
      </c>
      <c r="H295" t="str">
        <f t="shared" ca="1" si="18"/>
        <v/>
      </c>
      <c r="I295" t="str">
        <f t="shared" ca="1" si="20"/>
        <v/>
      </c>
    </row>
    <row r="296" spans="6:10" x14ac:dyDescent="0.2">
      <c r="F296" t="str">
        <f t="shared" ca="1" si="16"/>
        <v/>
      </c>
      <c r="G296">
        <f t="shared" ca="1" si="17"/>
        <v>0</v>
      </c>
      <c r="H296" t="str">
        <f t="shared" ca="1" si="18"/>
        <v/>
      </c>
      <c r="I296" t="str">
        <f t="shared" ca="1" si="20"/>
        <v/>
      </c>
    </row>
    <row r="297" spans="6:10" x14ac:dyDescent="0.2">
      <c r="F297" t="str">
        <f t="shared" ca="1" si="16"/>
        <v/>
      </c>
      <c r="G297">
        <f t="shared" ca="1" si="17"/>
        <v>0</v>
      </c>
      <c r="I297" t="str">
        <f t="shared" ref="I297:I360" ca="1" si="21">IFERROR(MATCH(OFFSET($A$1,ROW()-1,0,1,1),A:A,0),"")</f>
        <v/>
      </c>
      <c r="J297" t="str">
        <f t="shared" ref="J297:J360" ca="1" si="22">IFERROR(MATCH(OFFSET($A$1,ROW()-1,0,1,1),A:A,1)-I297+1,"")</f>
        <v/>
      </c>
    </row>
    <row r="298" spans="6:10" x14ac:dyDescent="0.2">
      <c r="F298" t="str">
        <f t="shared" ca="1" si="16"/>
        <v/>
      </c>
      <c r="G298">
        <f t="shared" ca="1" si="17"/>
        <v>0</v>
      </c>
      <c r="I298" t="str">
        <f t="shared" ca="1" si="21"/>
        <v/>
      </c>
      <c r="J298" t="str">
        <f t="shared" ca="1" si="22"/>
        <v/>
      </c>
    </row>
    <row r="299" spans="6:10" x14ac:dyDescent="0.2">
      <c r="F299" t="str">
        <f t="shared" ca="1" si="16"/>
        <v/>
      </c>
      <c r="G299">
        <f t="shared" ca="1" si="17"/>
        <v>0</v>
      </c>
      <c r="I299" t="str">
        <f t="shared" ca="1" si="21"/>
        <v/>
      </c>
      <c r="J299" t="str">
        <f t="shared" ca="1" si="22"/>
        <v/>
      </c>
    </row>
    <row r="300" spans="6:10" x14ac:dyDescent="0.2">
      <c r="F300" t="str">
        <f t="shared" ca="1" si="16"/>
        <v/>
      </c>
      <c r="G300">
        <f t="shared" ca="1" si="17"/>
        <v>0</v>
      </c>
      <c r="I300" t="str">
        <f t="shared" ca="1" si="21"/>
        <v/>
      </c>
      <c r="J300" t="str">
        <f t="shared" ca="1" si="22"/>
        <v/>
      </c>
    </row>
    <row r="301" spans="6:10" x14ac:dyDescent="0.2">
      <c r="F301" t="str">
        <f t="shared" ca="1" si="16"/>
        <v/>
      </c>
      <c r="G301">
        <f t="shared" ca="1" si="17"/>
        <v>0</v>
      </c>
      <c r="I301" t="str">
        <f t="shared" ca="1" si="21"/>
        <v/>
      </c>
      <c r="J301" t="str">
        <f t="shared" ca="1" si="22"/>
        <v/>
      </c>
    </row>
    <row r="302" spans="6:10" x14ac:dyDescent="0.2">
      <c r="F302" t="str">
        <f t="shared" ca="1" si="16"/>
        <v/>
      </c>
      <c r="G302">
        <f t="shared" ca="1" si="17"/>
        <v>0</v>
      </c>
      <c r="I302" t="str">
        <f t="shared" ca="1" si="21"/>
        <v/>
      </c>
      <c r="J302" t="str">
        <f t="shared" ca="1" si="22"/>
        <v/>
      </c>
    </row>
    <row r="303" spans="6:10" x14ac:dyDescent="0.2">
      <c r="F303" t="str">
        <f t="shared" ca="1" si="16"/>
        <v/>
      </c>
      <c r="G303">
        <f t="shared" ca="1" si="17"/>
        <v>0</v>
      </c>
      <c r="I303" t="str">
        <f t="shared" ca="1" si="21"/>
        <v/>
      </c>
      <c r="J303" t="str">
        <f t="shared" ca="1" si="22"/>
        <v/>
      </c>
    </row>
    <row r="304" spans="6:10" x14ac:dyDescent="0.2">
      <c r="F304" t="str">
        <f t="shared" ca="1" si="16"/>
        <v/>
      </c>
      <c r="G304">
        <f t="shared" ca="1" si="17"/>
        <v>0</v>
      </c>
      <c r="I304" t="str">
        <f t="shared" ca="1" si="21"/>
        <v/>
      </c>
      <c r="J304" t="str">
        <f t="shared" ca="1" si="22"/>
        <v/>
      </c>
    </row>
    <row r="305" spans="6:10" x14ac:dyDescent="0.2">
      <c r="F305" t="str">
        <f t="shared" ca="1" si="16"/>
        <v/>
      </c>
      <c r="G305">
        <f t="shared" ca="1" si="17"/>
        <v>0</v>
      </c>
      <c r="I305" t="str">
        <f t="shared" ca="1" si="21"/>
        <v/>
      </c>
      <c r="J305" t="str">
        <f t="shared" ca="1" si="22"/>
        <v/>
      </c>
    </row>
    <row r="306" spans="6:10" x14ac:dyDescent="0.2">
      <c r="F306" t="str">
        <f t="shared" ca="1" si="16"/>
        <v/>
      </c>
      <c r="G306">
        <f t="shared" ca="1" si="17"/>
        <v>0</v>
      </c>
      <c r="I306" t="str">
        <f t="shared" ca="1" si="21"/>
        <v/>
      </c>
      <c r="J306" t="str">
        <f t="shared" ca="1" si="22"/>
        <v/>
      </c>
    </row>
    <row r="307" spans="6:10" x14ac:dyDescent="0.2">
      <c r="F307" t="str">
        <f t="shared" ca="1" si="16"/>
        <v/>
      </c>
      <c r="G307">
        <f t="shared" ca="1" si="17"/>
        <v>0</v>
      </c>
      <c r="I307" t="str">
        <f t="shared" ca="1" si="21"/>
        <v/>
      </c>
      <c r="J307" t="str">
        <f t="shared" ca="1" si="22"/>
        <v/>
      </c>
    </row>
    <row r="308" spans="6:10" x14ac:dyDescent="0.2">
      <c r="F308" t="str">
        <f t="shared" ca="1" si="16"/>
        <v/>
      </c>
      <c r="G308">
        <f t="shared" ca="1" si="17"/>
        <v>0</v>
      </c>
      <c r="I308" t="str">
        <f t="shared" ca="1" si="21"/>
        <v/>
      </c>
      <c r="J308" t="str">
        <f t="shared" ca="1" si="22"/>
        <v/>
      </c>
    </row>
    <row r="309" spans="6:10" x14ac:dyDescent="0.2">
      <c r="F309" t="str">
        <f t="shared" ca="1" si="16"/>
        <v/>
      </c>
      <c r="G309">
        <f t="shared" ca="1" si="17"/>
        <v>0</v>
      </c>
      <c r="I309" t="str">
        <f t="shared" ca="1" si="21"/>
        <v/>
      </c>
      <c r="J309" t="str">
        <f t="shared" ca="1" si="22"/>
        <v/>
      </c>
    </row>
    <row r="310" spans="6:10" x14ac:dyDescent="0.2">
      <c r="F310" t="str">
        <f t="shared" ca="1" si="16"/>
        <v/>
      </c>
      <c r="G310">
        <f t="shared" ca="1" si="17"/>
        <v>0</v>
      </c>
      <c r="I310" t="str">
        <f t="shared" ca="1" si="21"/>
        <v/>
      </c>
      <c r="J310" t="str">
        <f t="shared" ca="1" si="22"/>
        <v/>
      </c>
    </row>
    <row r="311" spans="6:10" x14ac:dyDescent="0.2">
      <c r="F311" t="str">
        <f t="shared" ca="1" si="16"/>
        <v/>
      </c>
      <c r="G311">
        <f t="shared" ca="1" si="17"/>
        <v>0</v>
      </c>
      <c r="I311" t="str">
        <f t="shared" ca="1" si="21"/>
        <v/>
      </c>
      <c r="J311" t="str">
        <f t="shared" ca="1" si="22"/>
        <v/>
      </c>
    </row>
    <row r="312" spans="6:10" x14ac:dyDescent="0.2">
      <c r="F312" t="str">
        <f t="shared" ca="1" si="16"/>
        <v/>
      </c>
      <c r="G312">
        <f t="shared" ca="1" si="17"/>
        <v>0</v>
      </c>
      <c r="I312" t="str">
        <f t="shared" ca="1" si="21"/>
        <v/>
      </c>
      <c r="J312" t="str">
        <f t="shared" ca="1" si="22"/>
        <v/>
      </c>
    </row>
    <row r="313" spans="6:10" x14ac:dyDescent="0.2">
      <c r="F313" t="str">
        <f t="shared" ca="1" si="16"/>
        <v/>
      </c>
      <c r="G313">
        <f t="shared" ca="1" si="17"/>
        <v>0</v>
      </c>
      <c r="I313" t="str">
        <f t="shared" ca="1" si="21"/>
        <v/>
      </c>
      <c r="J313" t="str">
        <f t="shared" ca="1" si="22"/>
        <v/>
      </c>
    </row>
    <row r="314" spans="6:10" x14ac:dyDescent="0.2">
      <c r="F314" t="str">
        <f t="shared" ca="1" si="16"/>
        <v/>
      </c>
      <c r="G314">
        <f t="shared" ca="1" si="17"/>
        <v>0</v>
      </c>
      <c r="I314" t="str">
        <f t="shared" ca="1" si="21"/>
        <v/>
      </c>
      <c r="J314" t="str">
        <f t="shared" ca="1" si="22"/>
        <v/>
      </c>
    </row>
    <row r="315" spans="6:10" x14ac:dyDescent="0.2">
      <c r="F315" t="str">
        <f t="shared" ca="1" si="16"/>
        <v/>
      </c>
      <c r="G315">
        <f t="shared" ca="1" si="17"/>
        <v>0</v>
      </c>
      <c r="I315" t="str">
        <f t="shared" ca="1" si="21"/>
        <v/>
      </c>
      <c r="J315" t="str">
        <f t="shared" ca="1" si="22"/>
        <v/>
      </c>
    </row>
    <row r="316" spans="6:10" x14ac:dyDescent="0.2">
      <c r="F316" t="str">
        <f t="shared" ca="1" si="16"/>
        <v/>
      </c>
      <c r="G316">
        <f t="shared" ca="1" si="17"/>
        <v>0</v>
      </c>
      <c r="I316" t="str">
        <f t="shared" ca="1" si="21"/>
        <v/>
      </c>
      <c r="J316" t="str">
        <f t="shared" ca="1" si="22"/>
        <v/>
      </c>
    </row>
    <row r="317" spans="6:10" x14ac:dyDescent="0.2">
      <c r="F317" t="str">
        <f t="shared" ca="1" si="16"/>
        <v/>
      </c>
      <c r="G317">
        <f t="shared" ca="1" si="17"/>
        <v>0</v>
      </c>
      <c r="I317" t="str">
        <f t="shared" ca="1" si="21"/>
        <v/>
      </c>
      <c r="J317" t="str">
        <f t="shared" ca="1" si="22"/>
        <v/>
      </c>
    </row>
    <row r="318" spans="6:10" x14ac:dyDescent="0.2">
      <c r="F318" t="str">
        <f t="shared" ca="1" si="16"/>
        <v/>
      </c>
      <c r="G318">
        <f t="shared" ca="1" si="17"/>
        <v>0</v>
      </c>
      <c r="I318" t="str">
        <f t="shared" ca="1" si="21"/>
        <v/>
      </c>
      <c r="J318" t="str">
        <f t="shared" ca="1" si="22"/>
        <v/>
      </c>
    </row>
    <row r="319" spans="6:10" x14ac:dyDescent="0.2">
      <c r="F319" t="str">
        <f t="shared" ca="1" si="16"/>
        <v/>
      </c>
      <c r="G319">
        <f t="shared" ca="1" si="17"/>
        <v>0</v>
      </c>
      <c r="I319" t="str">
        <f t="shared" ca="1" si="21"/>
        <v/>
      </c>
      <c r="J319" t="str">
        <f t="shared" ca="1" si="22"/>
        <v/>
      </c>
    </row>
    <row r="320" spans="6:10" x14ac:dyDescent="0.2">
      <c r="F320" t="str">
        <f t="shared" ca="1" si="16"/>
        <v/>
      </c>
      <c r="G320">
        <f t="shared" ca="1" si="17"/>
        <v>0</v>
      </c>
      <c r="I320" t="str">
        <f t="shared" ca="1" si="21"/>
        <v/>
      </c>
      <c r="J320" t="str">
        <f t="shared" ca="1" si="22"/>
        <v/>
      </c>
    </row>
    <row r="321" spans="6:10" x14ac:dyDescent="0.2">
      <c r="F321" t="str">
        <f t="shared" ca="1" si="16"/>
        <v/>
      </c>
      <c r="G321">
        <f t="shared" ca="1" si="17"/>
        <v>0</v>
      </c>
      <c r="I321" t="str">
        <f t="shared" ca="1" si="21"/>
        <v/>
      </c>
      <c r="J321" t="str">
        <f t="shared" ca="1" si="22"/>
        <v/>
      </c>
    </row>
    <row r="322" spans="6:10" x14ac:dyDescent="0.2">
      <c r="F322" t="str">
        <f t="shared" ref="F322:F385" ca="1" si="23">IFERROR(MATCH(OFFSET($A$1,ROW()-1,0,1,1),A:A,0),"")</f>
        <v/>
      </c>
      <c r="G322">
        <f t="shared" ref="G322:G385" ca="1" si="24">COUNTIF(A:A,OFFSET($A$1,ROW()-1,0))</f>
        <v>0</v>
      </c>
      <c r="I322" t="str">
        <f t="shared" ca="1" si="21"/>
        <v/>
      </c>
      <c r="J322" t="str">
        <f t="shared" ca="1" si="22"/>
        <v/>
      </c>
    </row>
    <row r="323" spans="6:10" x14ac:dyDescent="0.2">
      <c r="F323" t="str">
        <f t="shared" ca="1" si="23"/>
        <v/>
      </c>
      <c r="G323">
        <f t="shared" ca="1" si="24"/>
        <v>0</v>
      </c>
      <c r="I323" t="str">
        <f t="shared" ca="1" si="21"/>
        <v/>
      </c>
      <c r="J323" t="str">
        <f t="shared" ca="1" si="22"/>
        <v/>
      </c>
    </row>
    <row r="324" spans="6:10" x14ac:dyDescent="0.2">
      <c r="F324" t="str">
        <f t="shared" ca="1" si="23"/>
        <v/>
      </c>
      <c r="G324">
        <f t="shared" ca="1" si="24"/>
        <v>0</v>
      </c>
      <c r="I324" t="str">
        <f t="shared" ca="1" si="21"/>
        <v/>
      </c>
      <c r="J324" t="str">
        <f t="shared" ca="1" si="22"/>
        <v/>
      </c>
    </row>
    <row r="325" spans="6:10" x14ac:dyDescent="0.2">
      <c r="F325" t="str">
        <f t="shared" ca="1" si="23"/>
        <v/>
      </c>
      <c r="G325">
        <f t="shared" ca="1" si="24"/>
        <v>0</v>
      </c>
      <c r="I325" t="str">
        <f t="shared" ca="1" si="21"/>
        <v/>
      </c>
      <c r="J325" t="str">
        <f t="shared" ca="1" si="22"/>
        <v/>
      </c>
    </row>
    <row r="326" spans="6:10" x14ac:dyDescent="0.2">
      <c r="F326" t="str">
        <f t="shared" ca="1" si="23"/>
        <v/>
      </c>
      <c r="G326">
        <f t="shared" ca="1" si="24"/>
        <v>0</v>
      </c>
      <c r="I326" t="str">
        <f t="shared" ca="1" si="21"/>
        <v/>
      </c>
      <c r="J326" t="str">
        <f t="shared" ca="1" si="22"/>
        <v/>
      </c>
    </row>
    <row r="327" spans="6:10" x14ac:dyDescent="0.2">
      <c r="F327" t="str">
        <f t="shared" ca="1" si="23"/>
        <v/>
      </c>
      <c r="G327">
        <f t="shared" ca="1" si="24"/>
        <v>0</v>
      </c>
      <c r="I327" t="str">
        <f t="shared" ca="1" si="21"/>
        <v/>
      </c>
      <c r="J327" t="str">
        <f t="shared" ca="1" si="22"/>
        <v/>
      </c>
    </row>
    <row r="328" spans="6:10" x14ac:dyDescent="0.2">
      <c r="F328" t="str">
        <f t="shared" ca="1" si="23"/>
        <v/>
      </c>
      <c r="G328">
        <f t="shared" ca="1" si="24"/>
        <v>0</v>
      </c>
      <c r="I328" t="str">
        <f t="shared" ca="1" si="21"/>
        <v/>
      </c>
      <c r="J328" t="str">
        <f t="shared" ca="1" si="22"/>
        <v/>
      </c>
    </row>
    <row r="329" spans="6:10" x14ac:dyDescent="0.2">
      <c r="F329" t="str">
        <f t="shared" ca="1" si="23"/>
        <v/>
      </c>
      <c r="G329">
        <f t="shared" ca="1" si="24"/>
        <v>0</v>
      </c>
      <c r="I329" t="str">
        <f t="shared" ca="1" si="21"/>
        <v/>
      </c>
      <c r="J329" t="str">
        <f t="shared" ca="1" si="22"/>
        <v/>
      </c>
    </row>
    <row r="330" spans="6:10" x14ac:dyDescent="0.2">
      <c r="F330" t="str">
        <f t="shared" ca="1" si="23"/>
        <v/>
      </c>
      <c r="G330">
        <f t="shared" ca="1" si="24"/>
        <v>0</v>
      </c>
      <c r="I330" t="str">
        <f t="shared" ca="1" si="21"/>
        <v/>
      </c>
      <c r="J330" t="str">
        <f t="shared" ca="1" si="22"/>
        <v/>
      </c>
    </row>
    <row r="331" spans="6:10" x14ac:dyDescent="0.2">
      <c r="F331" t="str">
        <f t="shared" ca="1" si="23"/>
        <v/>
      </c>
      <c r="G331">
        <f t="shared" ca="1" si="24"/>
        <v>0</v>
      </c>
      <c r="I331" t="str">
        <f t="shared" ca="1" si="21"/>
        <v/>
      </c>
      <c r="J331" t="str">
        <f t="shared" ca="1" si="22"/>
        <v/>
      </c>
    </row>
    <row r="332" spans="6:10" x14ac:dyDescent="0.2">
      <c r="F332" t="str">
        <f t="shared" ca="1" si="23"/>
        <v/>
      </c>
      <c r="G332">
        <f t="shared" ca="1" si="24"/>
        <v>0</v>
      </c>
      <c r="I332" t="str">
        <f t="shared" ca="1" si="21"/>
        <v/>
      </c>
      <c r="J332" t="str">
        <f t="shared" ca="1" si="22"/>
        <v/>
      </c>
    </row>
    <row r="333" spans="6:10" x14ac:dyDescent="0.2">
      <c r="F333" t="str">
        <f t="shared" ca="1" si="23"/>
        <v/>
      </c>
      <c r="G333">
        <f t="shared" ca="1" si="24"/>
        <v>0</v>
      </c>
      <c r="I333" t="str">
        <f t="shared" ca="1" si="21"/>
        <v/>
      </c>
      <c r="J333" t="str">
        <f t="shared" ca="1" si="22"/>
        <v/>
      </c>
    </row>
    <row r="334" spans="6:10" x14ac:dyDescent="0.2">
      <c r="F334" t="str">
        <f t="shared" ca="1" si="23"/>
        <v/>
      </c>
      <c r="G334">
        <f t="shared" ca="1" si="24"/>
        <v>0</v>
      </c>
      <c r="I334" t="str">
        <f t="shared" ca="1" si="21"/>
        <v/>
      </c>
      <c r="J334" t="str">
        <f t="shared" ca="1" si="22"/>
        <v/>
      </c>
    </row>
    <row r="335" spans="6:10" x14ac:dyDescent="0.2">
      <c r="F335" t="str">
        <f t="shared" ca="1" si="23"/>
        <v/>
      </c>
      <c r="G335">
        <f t="shared" ca="1" si="24"/>
        <v>0</v>
      </c>
      <c r="I335" t="str">
        <f t="shared" ca="1" si="21"/>
        <v/>
      </c>
      <c r="J335" t="str">
        <f t="shared" ca="1" si="22"/>
        <v/>
      </c>
    </row>
    <row r="336" spans="6:10" x14ac:dyDescent="0.2">
      <c r="F336" t="str">
        <f t="shared" ca="1" si="23"/>
        <v/>
      </c>
      <c r="G336">
        <f t="shared" ca="1" si="24"/>
        <v>0</v>
      </c>
      <c r="I336" t="str">
        <f t="shared" ca="1" si="21"/>
        <v/>
      </c>
      <c r="J336" t="str">
        <f t="shared" ca="1" si="22"/>
        <v/>
      </c>
    </row>
    <row r="337" spans="6:10" x14ac:dyDescent="0.2">
      <c r="F337" t="str">
        <f t="shared" ca="1" si="23"/>
        <v/>
      </c>
      <c r="G337">
        <f t="shared" ca="1" si="24"/>
        <v>0</v>
      </c>
      <c r="I337" t="str">
        <f t="shared" ca="1" si="21"/>
        <v/>
      </c>
      <c r="J337" t="str">
        <f t="shared" ca="1" si="22"/>
        <v/>
      </c>
    </row>
    <row r="338" spans="6:10" x14ac:dyDescent="0.2">
      <c r="F338" t="str">
        <f t="shared" ca="1" si="23"/>
        <v/>
      </c>
      <c r="G338">
        <f t="shared" ca="1" si="24"/>
        <v>0</v>
      </c>
      <c r="I338" t="str">
        <f t="shared" ca="1" si="21"/>
        <v/>
      </c>
      <c r="J338" t="str">
        <f t="shared" ca="1" si="22"/>
        <v/>
      </c>
    </row>
    <row r="339" spans="6:10" x14ac:dyDescent="0.2">
      <c r="F339" t="str">
        <f t="shared" ca="1" si="23"/>
        <v/>
      </c>
      <c r="G339">
        <f t="shared" ca="1" si="24"/>
        <v>0</v>
      </c>
      <c r="I339" t="str">
        <f t="shared" ca="1" si="21"/>
        <v/>
      </c>
      <c r="J339" t="str">
        <f t="shared" ca="1" si="22"/>
        <v/>
      </c>
    </row>
    <row r="340" spans="6:10" x14ac:dyDescent="0.2">
      <c r="F340" t="str">
        <f t="shared" ca="1" si="23"/>
        <v/>
      </c>
      <c r="G340">
        <f t="shared" ca="1" si="24"/>
        <v>0</v>
      </c>
      <c r="I340" t="str">
        <f t="shared" ca="1" si="21"/>
        <v/>
      </c>
      <c r="J340" t="str">
        <f t="shared" ca="1" si="22"/>
        <v/>
      </c>
    </row>
    <row r="341" spans="6:10" x14ac:dyDescent="0.2">
      <c r="F341" t="str">
        <f t="shared" ca="1" si="23"/>
        <v/>
      </c>
      <c r="G341">
        <f t="shared" ca="1" si="24"/>
        <v>0</v>
      </c>
      <c r="I341" t="str">
        <f t="shared" ca="1" si="21"/>
        <v/>
      </c>
      <c r="J341" t="str">
        <f t="shared" ca="1" si="22"/>
        <v/>
      </c>
    </row>
    <row r="342" spans="6:10" x14ac:dyDescent="0.2">
      <c r="F342" t="str">
        <f t="shared" ca="1" si="23"/>
        <v/>
      </c>
      <c r="G342">
        <f t="shared" ca="1" si="24"/>
        <v>0</v>
      </c>
      <c r="I342" t="str">
        <f t="shared" ca="1" si="21"/>
        <v/>
      </c>
      <c r="J342" t="str">
        <f t="shared" ca="1" si="22"/>
        <v/>
      </c>
    </row>
    <row r="343" spans="6:10" x14ac:dyDescent="0.2">
      <c r="F343" t="str">
        <f t="shared" ca="1" si="23"/>
        <v/>
      </c>
      <c r="G343">
        <f t="shared" ca="1" si="24"/>
        <v>0</v>
      </c>
      <c r="I343" t="str">
        <f t="shared" ca="1" si="21"/>
        <v/>
      </c>
      <c r="J343" t="str">
        <f t="shared" ca="1" si="22"/>
        <v/>
      </c>
    </row>
    <row r="344" spans="6:10" x14ac:dyDescent="0.2">
      <c r="F344" t="str">
        <f t="shared" ca="1" si="23"/>
        <v/>
      </c>
      <c r="G344">
        <f t="shared" ca="1" si="24"/>
        <v>0</v>
      </c>
      <c r="I344" t="str">
        <f t="shared" ca="1" si="21"/>
        <v/>
      </c>
      <c r="J344" t="str">
        <f t="shared" ca="1" si="22"/>
        <v/>
      </c>
    </row>
    <row r="345" spans="6:10" x14ac:dyDescent="0.2">
      <c r="F345" t="str">
        <f t="shared" ca="1" si="23"/>
        <v/>
      </c>
      <c r="G345">
        <f t="shared" ca="1" si="24"/>
        <v>0</v>
      </c>
      <c r="I345" t="str">
        <f t="shared" ca="1" si="21"/>
        <v/>
      </c>
      <c r="J345" t="str">
        <f t="shared" ca="1" si="22"/>
        <v/>
      </c>
    </row>
    <row r="346" spans="6:10" x14ac:dyDescent="0.2">
      <c r="F346" t="str">
        <f t="shared" ca="1" si="23"/>
        <v/>
      </c>
      <c r="G346">
        <f t="shared" ca="1" si="24"/>
        <v>0</v>
      </c>
      <c r="I346" t="str">
        <f t="shared" ca="1" si="21"/>
        <v/>
      </c>
      <c r="J346" t="str">
        <f t="shared" ca="1" si="22"/>
        <v/>
      </c>
    </row>
    <row r="347" spans="6:10" x14ac:dyDescent="0.2">
      <c r="F347" t="str">
        <f t="shared" ca="1" si="23"/>
        <v/>
      </c>
      <c r="G347">
        <f t="shared" ca="1" si="24"/>
        <v>0</v>
      </c>
      <c r="I347" t="str">
        <f t="shared" ca="1" si="21"/>
        <v/>
      </c>
      <c r="J347" t="str">
        <f t="shared" ca="1" si="22"/>
        <v/>
      </c>
    </row>
    <row r="348" spans="6:10" x14ac:dyDescent="0.2">
      <c r="F348" t="str">
        <f t="shared" ca="1" si="23"/>
        <v/>
      </c>
      <c r="G348">
        <f t="shared" ca="1" si="24"/>
        <v>0</v>
      </c>
      <c r="I348" t="str">
        <f t="shared" ca="1" si="21"/>
        <v/>
      </c>
      <c r="J348" t="str">
        <f t="shared" ca="1" si="22"/>
        <v/>
      </c>
    </row>
    <row r="349" spans="6:10" x14ac:dyDescent="0.2">
      <c r="F349" t="str">
        <f t="shared" ca="1" si="23"/>
        <v/>
      </c>
      <c r="G349">
        <f t="shared" ca="1" si="24"/>
        <v>0</v>
      </c>
      <c r="I349" t="str">
        <f t="shared" ca="1" si="21"/>
        <v/>
      </c>
      <c r="J349" t="str">
        <f t="shared" ca="1" si="22"/>
        <v/>
      </c>
    </row>
    <row r="350" spans="6:10" x14ac:dyDescent="0.2">
      <c r="F350" t="str">
        <f t="shared" ca="1" si="23"/>
        <v/>
      </c>
      <c r="G350">
        <f t="shared" ca="1" si="24"/>
        <v>0</v>
      </c>
      <c r="I350" t="str">
        <f t="shared" ca="1" si="21"/>
        <v/>
      </c>
      <c r="J350" t="str">
        <f t="shared" ca="1" si="22"/>
        <v/>
      </c>
    </row>
    <row r="351" spans="6:10" x14ac:dyDescent="0.2">
      <c r="F351" t="str">
        <f t="shared" ca="1" si="23"/>
        <v/>
      </c>
      <c r="G351">
        <f t="shared" ca="1" si="24"/>
        <v>0</v>
      </c>
      <c r="I351" t="str">
        <f t="shared" ca="1" si="21"/>
        <v/>
      </c>
      <c r="J351" t="str">
        <f t="shared" ca="1" si="22"/>
        <v/>
      </c>
    </row>
    <row r="352" spans="6:10" x14ac:dyDescent="0.2">
      <c r="F352" t="str">
        <f t="shared" ca="1" si="23"/>
        <v/>
      </c>
      <c r="G352">
        <f t="shared" ca="1" si="24"/>
        <v>0</v>
      </c>
      <c r="I352" t="str">
        <f t="shared" ca="1" si="21"/>
        <v/>
      </c>
      <c r="J352" t="str">
        <f t="shared" ca="1" si="22"/>
        <v/>
      </c>
    </row>
    <row r="353" spans="6:10" x14ac:dyDescent="0.2">
      <c r="F353" t="str">
        <f t="shared" ca="1" si="23"/>
        <v/>
      </c>
      <c r="G353">
        <f t="shared" ca="1" si="24"/>
        <v>0</v>
      </c>
      <c r="I353" t="str">
        <f t="shared" ca="1" si="21"/>
        <v/>
      </c>
      <c r="J353" t="str">
        <f t="shared" ca="1" si="22"/>
        <v/>
      </c>
    </row>
    <row r="354" spans="6:10" x14ac:dyDescent="0.2">
      <c r="F354" t="str">
        <f t="shared" ca="1" si="23"/>
        <v/>
      </c>
      <c r="G354">
        <f t="shared" ca="1" si="24"/>
        <v>0</v>
      </c>
      <c r="I354" t="str">
        <f t="shared" ca="1" si="21"/>
        <v/>
      </c>
      <c r="J354" t="str">
        <f t="shared" ca="1" si="22"/>
        <v/>
      </c>
    </row>
    <row r="355" spans="6:10" x14ac:dyDescent="0.2">
      <c r="F355" t="str">
        <f t="shared" ca="1" si="23"/>
        <v/>
      </c>
      <c r="G355">
        <f t="shared" ca="1" si="24"/>
        <v>0</v>
      </c>
      <c r="I355" t="str">
        <f t="shared" ca="1" si="21"/>
        <v/>
      </c>
      <c r="J355" t="str">
        <f t="shared" ca="1" si="22"/>
        <v/>
      </c>
    </row>
    <row r="356" spans="6:10" x14ac:dyDescent="0.2">
      <c r="F356" t="str">
        <f t="shared" ca="1" si="23"/>
        <v/>
      </c>
      <c r="G356">
        <f t="shared" ca="1" si="24"/>
        <v>0</v>
      </c>
      <c r="I356" t="str">
        <f t="shared" ca="1" si="21"/>
        <v/>
      </c>
      <c r="J356" t="str">
        <f t="shared" ca="1" si="22"/>
        <v/>
      </c>
    </row>
    <row r="357" spans="6:10" x14ac:dyDescent="0.2">
      <c r="F357" t="str">
        <f t="shared" ca="1" si="23"/>
        <v/>
      </c>
      <c r="G357">
        <f t="shared" ca="1" si="24"/>
        <v>0</v>
      </c>
      <c r="I357" t="str">
        <f t="shared" ca="1" si="21"/>
        <v/>
      </c>
      <c r="J357" t="str">
        <f t="shared" ca="1" si="22"/>
        <v/>
      </c>
    </row>
    <row r="358" spans="6:10" x14ac:dyDescent="0.2">
      <c r="F358" t="str">
        <f t="shared" ca="1" si="23"/>
        <v/>
      </c>
      <c r="G358">
        <f t="shared" ca="1" si="24"/>
        <v>0</v>
      </c>
      <c r="I358" t="str">
        <f t="shared" ca="1" si="21"/>
        <v/>
      </c>
      <c r="J358" t="str">
        <f t="shared" ca="1" si="22"/>
        <v/>
      </c>
    </row>
    <row r="359" spans="6:10" x14ac:dyDescent="0.2">
      <c r="F359" t="str">
        <f t="shared" ca="1" si="23"/>
        <v/>
      </c>
      <c r="G359">
        <f t="shared" ca="1" si="24"/>
        <v>0</v>
      </c>
      <c r="I359" t="str">
        <f t="shared" ca="1" si="21"/>
        <v/>
      </c>
      <c r="J359" t="str">
        <f t="shared" ca="1" si="22"/>
        <v/>
      </c>
    </row>
    <row r="360" spans="6:10" x14ac:dyDescent="0.2">
      <c r="F360" t="str">
        <f t="shared" ca="1" si="23"/>
        <v/>
      </c>
      <c r="G360">
        <f t="shared" ca="1" si="24"/>
        <v>0</v>
      </c>
      <c r="I360" t="str">
        <f t="shared" ca="1" si="21"/>
        <v/>
      </c>
      <c r="J360" t="str">
        <f t="shared" ca="1" si="22"/>
        <v/>
      </c>
    </row>
    <row r="361" spans="6:10" x14ac:dyDescent="0.2">
      <c r="F361" t="str">
        <f t="shared" ca="1" si="23"/>
        <v/>
      </c>
      <c r="G361">
        <f t="shared" ca="1" si="24"/>
        <v>0</v>
      </c>
      <c r="I361" t="str">
        <f t="shared" ref="I361:I424" ca="1" si="25">IFERROR(MATCH(OFFSET($A$1,ROW()-1,0,1,1),A:A,0),"")</f>
        <v/>
      </c>
      <c r="J361" t="str">
        <f t="shared" ref="J361:J424" ca="1" si="26">IFERROR(MATCH(OFFSET($A$1,ROW()-1,0,1,1),A:A,1)-I361+1,"")</f>
        <v/>
      </c>
    </row>
    <row r="362" spans="6:10" x14ac:dyDescent="0.2">
      <c r="F362" t="str">
        <f t="shared" ca="1" si="23"/>
        <v/>
      </c>
      <c r="G362">
        <f t="shared" ca="1" si="24"/>
        <v>0</v>
      </c>
      <c r="I362" t="str">
        <f t="shared" ca="1" si="25"/>
        <v/>
      </c>
      <c r="J362" t="str">
        <f t="shared" ca="1" si="26"/>
        <v/>
      </c>
    </row>
    <row r="363" spans="6:10" x14ac:dyDescent="0.2">
      <c r="F363" t="str">
        <f t="shared" ca="1" si="23"/>
        <v/>
      </c>
      <c r="G363">
        <f t="shared" ca="1" si="24"/>
        <v>0</v>
      </c>
      <c r="I363" t="str">
        <f t="shared" ca="1" si="25"/>
        <v/>
      </c>
      <c r="J363" t="str">
        <f t="shared" ca="1" si="26"/>
        <v/>
      </c>
    </row>
    <row r="364" spans="6:10" x14ac:dyDescent="0.2">
      <c r="F364" t="str">
        <f t="shared" ca="1" si="23"/>
        <v/>
      </c>
      <c r="G364">
        <f t="shared" ca="1" si="24"/>
        <v>0</v>
      </c>
      <c r="I364" t="str">
        <f t="shared" ca="1" si="25"/>
        <v/>
      </c>
      <c r="J364" t="str">
        <f t="shared" ca="1" si="26"/>
        <v/>
      </c>
    </row>
    <row r="365" spans="6:10" x14ac:dyDescent="0.2">
      <c r="F365" t="str">
        <f t="shared" ca="1" si="23"/>
        <v/>
      </c>
      <c r="G365">
        <f t="shared" ca="1" si="24"/>
        <v>0</v>
      </c>
      <c r="I365" t="str">
        <f t="shared" ca="1" si="25"/>
        <v/>
      </c>
      <c r="J365" t="str">
        <f t="shared" ca="1" si="26"/>
        <v/>
      </c>
    </row>
    <row r="366" spans="6:10" x14ac:dyDescent="0.2">
      <c r="F366" t="str">
        <f t="shared" ca="1" si="23"/>
        <v/>
      </c>
      <c r="G366">
        <f t="shared" ca="1" si="24"/>
        <v>0</v>
      </c>
      <c r="I366" t="str">
        <f t="shared" ca="1" si="25"/>
        <v/>
      </c>
      <c r="J366" t="str">
        <f t="shared" ca="1" si="26"/>
        <v/>
      </c>
    </row>
    <row r="367" spans="6:10" x14ac:dyDescent="0.2">
      <c r="F367" t="str">
        <f t="shared" ca="1" si="23"/>
        <v/>
      </c>
      <c r="G367">
        <f t="shared" ca="1" si="24"/>
        <v>0</v>
      </c>
      <c r="I367" t="str">
        <f t="shared" ca="1" si="25"/>
        <v/>
      </c>
      <c r="J367" t="str">
        <f t="shared" ca="1" si="26"/>
        <v/>
      </c>
    </row>
    <row r="368" spans="6:10" x14ac:dyDescent="0.2">
      <c r="F368" t="str">
        <f t="shared" ca="1" si="23"/>
        <v/>
      </c>
      <c r="G368">
        <f t="shared" ca="1" si="24"/>
        <v>0</v>
      </c>
      <c r="I368" t="str">
        <f t="shared" ca="1" si="25"/>
        <v/>
      </c>
      <c r="J368" t="str">
        <f t="shared" ca="1" si="26"/>
        <v/>
      </c>
    </row>
    <row r="369" spans="6:10" x14ac:dyDescent="0.2">
      <c r="F369" t="str">
        <f t="shared" ca="1" si="23"/>
        <v/>
      </c>
      <c r="G369">
        <f t="shared" ca="1" si="24"/>
        <v>0</v>
      </c>
      <c r="I369" t="str">
        <f t="shared" ca="1" si="25"/>
        <v/>
      </c>
      <c r="J369" t="str">
        <f t="shared" ca="1" si="26"/>
        <v/>
      </c>
    </row>
    <row r="370" spans="6:10" x14ac:dyDescent="0.2">
      <c r="F370" t="str">
        <f t="shared" ca="1" si="23"/>
        <v/>
      </c>
      <c r="G370">
        <f t="shared" ca="1" si="24"/>
        <v>0</v>
      </c>
      <c r="I370" t="str">
        <f t="shared" ca="1" si="25"/>
        <v/>
      </c>
      <c r="J370" t="str">
        <f t="shared" ca="1" si="26"/>
        <v/>
      </c>
    </row>
    <row r="371" spans="6:10" x14ac:dyDescent="0.2">
      <c r="F371" t="str">
        <f t="shared" ca="1" si="23"/>
        <v/>
      </c>
      <c r="G371">
        <f t="shared" ca="1" si="24"/>
        <v>0</v>
      </c>
      <c r="I371" t="str">
        <f t="shared" ca="1" si="25"/>
        <v/>
      </c>
      <c r="J371" t="str">
        <f t="shared" ca="1" si="26"/>
        <v/>
      </c>
    </row>
    <row r="372" spans="6:10" x14ac:dyDescent="0.2">
      <c r="F372" t="str">
        <f t="shared" ca="1" si="23"/>
        <v/>
      </c>
      <c r="G372">
        <f t="shared" ca="1" si="24"/>
        <v>0</v>
      </c>
      <c r="I372" t="str">
        <f t="shared" ca="1" si="25"/>
        <v/>
      </c>
      <c r="J372" t="str">
        <f t="shared" ca="1" si="26"/>
        <v/>
      </c>
    </row>
    <row r="373" spans="6:10" x14ac:dyDescent="0.2">
      <c r="F373" t="str">
        <f t="shared" ca="1" si="23"/>
        <v/>
      </c>
      <c r="G373">
        <f t="shared" ca="1" si="24"/>
        <v>0</v>
      </c>
      <c r="I373" t="str">
        <f t="shared" ca="1" si="25"/>
        <v/>
      </c>
      <c r="J373" t="str">
        <f t="shared" ca="1" si="26"/>
        <v/>
      </c>
    </row>
    <row r="374" spans="6:10" x14ac:dyDescent="0.2">
      <c r="F374" t="str">
        <f t="shared" ca="1" si="23"/>
        <v/>
      </c>
      <c r="G374">
        <f t="shared" ca="1" si="24"/>
        <v>0</v>
      </c>
      <c r="I374" t="str">
        <f t="shared" ca="1" si="25"/>
        <v/>
      </c>
      <c r="J374" t="str">
        <f t="shared" ca="1" si="26"/>
        <v/>
      </c>
    </row>
    <row r="375" spans="6:10" x14ac:dyDescent="0.2">
      <c r="F375" t="str">
        <f t="shared" ca="1" si="23"/>
        <v/>
      </c>
      <c r="G375">
        <f t="shared" ca="1" si="24"/>
        <v>0</v>
      </c>
      <c r="I375" t="str">
        <f t="shared" ca="1" si="25"/>
        <v/>
      </c>
      <c r="J375" t="str">
        <f t="shared" ca="1" si="26"/>
        <v/>
      </c>
    </row>
    <row r="376" spans="6:10" x14ac:dyDescent="0.2">
      <c r="F376" t="str">
        <f t="shared" ca="1" si="23"/>
        <v/>
      </c>
      <c r="G376">
        <f t="shared" ca="1" si="24"/>
        <v>0</v>
      </c>
      <c r="I376" t="str">
        <f t="shared" ca="1" si="25"/>
        <v/>
      </c>
      <c r="J376" t="str">
        <f t="shared" ca="1" si="26"/>
        <v/>
      </c>
    </row>
    <row r="377" spans="6:10" x14ac:dyDescent="0.2">
      <c r="F377" t="str">
        <f t="shared" ca="1" si="23"/>
        <v/>
      </c>
      <c r="G377">
        <f t="shared" ca="1" si="24"/>
        <v>0</v>
      </c>
      <c r="I377" t="str">
        <f t="shared" ca="1" si="25"/>
        <v/>
      </c>
      <c r="J377" t="str">
        <f t="shared" ca="1" si="26"/>
        <v/>
      </c>
    </row>
    <row r="378" spans="6:10" x14ac:dyDescent="0.2">
      <c r="F378" t="str">
        <f t="shared" ca="1" si="23"/>
        <v/>
      </c>
      <c r="G378">
        <f t="shared" ca="1" si="24"/>
        <v>0</v>
      </c>
      <c r="I378" t="str">
        <f t="shared" ca="1" si="25"/>
        <v/>
      </c>
      <c r="J378" t="str">
        <f t="shared" ca="1" si="26"/>
        <v/>
      </c>
    </row>
    <row r="379" spans="6:10" x14ac:dyDescent="0.2">
      <c r="F379" t="str">
        <f t="shared" ca="1" si="23"/>
        <v/>
      </c>
      <c r="G379">
        <f t="shared" ca="1" si="24"/>
        <v>0</v>
      </c>
      <c r="I379" t="str">
        <f t="shared" ca="1" si="25"/>
        <v/>
      </c>
      <c r="J379" t="str">
        <f t="shared" ca="1" si="26"/>
        <v/>
      </c>
    </row>
    <row r="380" spans="6:10" x14ac:dyDescent="0.2">
      <c r="F380" t="str">
        <f t="shared" ca="1" si="23"/>
        <v/>
      </c>
      <c r="G380">
        <f t="shared" ca="1" si="24"/>
        <v>0</v>
      </c>
      <c r="I380" t="str">
        <f t="shared" ca="1" si="25"/>
        <v/>
      </c>
      <c r="J380" t="str">
        <f t="shared" ca="1" si="26"/>
        <v/>
      </c>
    </row>
    <row r="381" spans="6:10" x14ac:dyDescent="0.2">
      <c r="F381" t="str">
        <f t="shared" ca="1" si="23"/>
        <v/>
      </c>
      <c r="G381">
        <f t="shared" ca="1" si="24"/>
        <v>0</v>
      </c>
      <c r="I381" t="str">
        <f t="shared" ca="1" si="25"/>
        <v/>
      </c>
      <c r="J381" t="str">
        <f t="shared" ca="1" si="26"/>
        <v/>
      </c>
    </row>
    <row r="382" spans="6:10" x14ac:dyDescent="0.2">
      <c r="F382" t="str">
        <f t="shared" ca="1" si="23"/>
        <v/>
      </c>
      <c r="G382">
        <f t="shared" ca="1" si="24"/>
        <v>0</v>
      </c>
      <c r="I382" t="str">
        <f t="shared" ca="1" si="25"/>
        <v/>
      </c>
      <c r="J382" t="str">
        <f t="shared" ca="1" si="26"/>
        <v/>
      </c>
    </row>
    <row r="383" spans="6:10" x14ac:dyDescent="0.2">
      <c r="F383" t="str">
        <f t="shared" ca="1" si="23"/>
        <v/>
      </c>
      <c r="G383">
        <f t="shared" ca="1" si="24"/>
        <v>0</v>
      </c>
      <c r="I383" t="str">
        <f t="shared" ca="1" si="25"/>
        <v/>
      </c>
      <c r="J383" t="str">
        <f t="shared" ca="1" si="26"/>
        <v/>
      </c>
    </row>
    <row r="384" spans="6:10" x14ac:dyDescent="0.2">
      <c r="F384" t="str">
        <f t="shared" ca="1" si="23"/>
        <v/>
      </c>
      <c r="G384">
        <f t="shared" ca="1" si="24"/>
        <v>0</v>
      </c>
      <c r="I384" t="str">
        <f t="shared" ca="1" si="25"/>
        <v/>
      </c>
      <c r="J384" t="str">
        <f t="shared" ca="1" si="26"/>
        <v/>
      </c>
    </row>
    <row r="385" spans="6:10" x14ac:dyDescent="0.2">
      <c r="F385" t="str">
        <f t="shared" ca="1" si="23"/>
        <v/>
      </c>
      <c r="G385">
        <f t="shared" ca="1" si="24"/>
        <v>0</v>
      </c>
      <c r="I385" t="str">
        <f t="shared" ca="1" si="25"/>
        <v/>
      </c>
      <c r="J385" t="str">
        <f t="shared" ca="1" si="26"/>
        <v/>
      </c>
    </row>
    <row r="386" spans="6:10" x14ac:dyDescent="0.2">
      <c r="F386" t="str">
        <f t="shared" ref="F386:F449" ca="1" si="27">IFERROR(MATCH(OFFSET($A$1,ROW()-1,0,1,1),A:A,0),"")</f>
        <v/>
      </c>
      <c r="G386">
        <f t="shared" ref="G386:G449" ca="1" si="28">COUNTIF(A:A,OFFSET($A$1,ROW()-1,0))</f>
        <v>0</v>
      </c>
      <c r="I386" t="str">
        <f t="shared" ca="1" si="25"/>
        <v/>
      </c>
      <c r="J386" t="str">
        <f t="shared" ca="1" si="26"/>
        <v/>
      </c>
    </row>
    <row r="387" spans="6:10" x14ac:dyDescent="0.2">
      <c r="F387" t="str">
        <f t="shared" ca="1" si="27"/>
        <v/>
      </c>
      <c r="G387">
        <f t="shared" ca="1" si="28"/>
        <v>0</v>
      </c>
      <c r="I387" t="str">
        <f t="shared" ca="1" si="25"/>
        <v/>
      </c>
      <c r="J387" t="str">
        <f t="shared" ca="1" si="26"/>
        <v/>
      </c>
    </row>
    <row r="388" spans="6:10" x14ac:dyDescent="0.2">
      <c r="F388" t="str">
        <f t="shared" ca="1" si="27"/>
        <v/>
      </c>
      <c r="G388">
        <f t="shared" ca="1" si="28"/>
        <v>0</v>
      </c>
      <c r="I388" t="str">
        <f t="shared" ca="1" si="25"/>
        <v/>
      </c>
      <c r="J388" t="str">
        <f t="shared" ca="1" si="26"/>
        <v/>
      </c>
    </row>
    <row r="389" spans="6:10" x14ac:dyDescent="0.2">
      <c r="F389" t="str">
        <f t="shared" ca="1" si="27"/>
        <v/>
      </c>
      <c r="G389">
        <f t="shared" ca="1" si="28"/>
        <v>0</v>
      </c>
      <c r="I389" t="str">
        <f t="shared" ca="1" si="25"/>
        <v/>
      </c>
      <c r="J389" t="str">
        <f t="shared" ca="1" si="26"/>
        <v/>
      </c>
    </row>
    <row r="390" spans="6:10" x14ac:dyDescent="0.2">
      <c r="F390" t="str">
        <f t="shared" ca="1" si="27"/>
        <v/>
      </c>
      <c r="G390">
        <f t="shared" ca="1" si="28"/>
        <v>0</v>
      </c>
      <c r="I390" t="str">
        <f t="shared" ca="1" si="25"/>
        <v/>
      </c>
      <c r="J390" t="str">
        <f t="shared" ca="1" si="26"/>
        <v/>
      </c>
    </row>
    <row r="391" spans="6:10" x14ac:dyDescent="0.2">
      <c r="F391" t="str">
        <f t="shared" ca="1" si="27"/>
        <v/>
      </c>
      <c r="G391">
        <f t="shared" ca="1" si="28"/>
        <v>0</v>
      </c>
      <c r="I391" t="str">
        <f t="shared" ca="1" si="25"/>
        <v/>
      </c>
      <c r="J391" t="str">
        <f t="shared" ca="1" si="26"/>
        <v/>
      </c>
    </row>
    <row r="392" spans="6:10" x14ac:dyDescent="0.2">
      <c r="F392" t="str">
        <f t="shared" ca="1" si="27"/>
        <v/>
      </c>
      <c r="G392">
        <f t="shared" ca="1" si="28"/>
        <v>0</v>
      </c>
      <c r="I392" t="str">
        <f t="shared" ca="1" si="25"/>
        <v/>
      </c>
      <c r="J392" t="str">
        <f t="shared" ca="1" si="26"/>
        <v/>
      </c>
    </row>
    <row r="393" spans="6:10" x14ac:dyDescent="0.2">
      <c r="F393" t="str">
        <f t="shared" ca="1" si="27"/>
        <v/>
      </c>
      <c r="G393">
        <f t="shared" ca="1" si="28"/>
        <v>0</v>
      </c>
      <c r="I393" t="str">
        <f t="shared" ca="1" si="25"/>
        <v/>
      </c>
      <c r="J393" t="str">
        <f t="shared" ca="1" si="26"/>
        <v/>
      </c>
    </row>
    <row r="394" spans="6:10" x14ac:dyDescent="0.2">
      <c r="F394" t="str">
        <f t="shared" ca="1" si="27"/>
        <v/>
      </c>
      <c r="G394">
        <f t="shared" ca="1" si="28"/>
        <v>0</v>
      </c>
      <c r="I394" t="str">
        <f t="shared" ca="1" si="25"/>
        <v/>
      </c>
      <c r="J394" t="str">
        <f t="shared" ca="1" si="26"/>
        <v/>
      </c>
    </row>
    <row r="395" spans="6:10" x14ac:dyDescent="0.2">
      <c r="F395" t="str">
        <f t="shared" ca="1" si="27"/>
        <v/>
      </c>
      <c r="G395">
        <f t="shared" ca="1" si="28"/>
        <v>0</v>
      </c>
      <c r="I395" t="str">
        <f t="shared" ca="1" si="25"/>
        <v/>
      </c>
      <c r="J395" t="str">
        <f t="shared" ca="1" si="26"/>
        <v/>
      </c>
    </row>
    <row r="396" spans="6:10" x14ac:dyDescent="0.2">
      <c r="F396" t="str">
        <f t="shared" ca="1" si="27"/>
        <v/>
      </c>
      <c r="G396">
        <f t="shared" ca="1" si="28"/>
        <v>0</v>
      </c>
      <c r="I396" t="str">
        <f t="shared" ca="1" si="25"/>
        <v/>
      </c>
      <c r="J396" t="str">
        <f t="shared" ca="1" si="26"/>
        <v/>
      </c>
    </row>
    <row r="397" spans="6:10" x14ac:dyDescent="0.2">
      <c r="F397" t="str">
        <f t="shared" ca="1" si="27"/>
        <v/>
      </c>
      <c r="G397">
        <f t="shared" ca="1" si="28"/>
        <v>0</v>
      </c>
      <c r="I397" t="str">
        <f t="shared" ca="1" si="25"/>
        <v/>
      </c>
      <c r="J397" t="str">
        <f t="shared" ca="1" si="26"/>
        <v/>
      </c>
    </row>
    <row r="398" spans="6:10" x14ac:dyDescent="0.2">
      <c r="F398" t="str">
        <f t="shared" ca="1" si="27"/>
        <v/>
      </c>
      <c r="G398">
        <f t="shared" ca="1" si="28"/>
        <v>0</v>
      </c>
      <c r="I398" t="str">
        <f t="shared" ca="1" si="25"/>
        <v/>
      </c>
      <c r="J398" t="str">
        <f t="shared" ca="1" si="26"/>
        <v/>
      </c>
    </row>
    <row r="399" spans="6:10" x14ac:dyDescent="0.2">
      <c r="F399" t="str">
        <f t="shared" ca="1" si="27"/>
        <v/>
      </c>
      <c r="G399">
        <f t="shared" ca="1" si="28"/>
        <v>0</v>
      </c>
      <c r="I399" t="str">
        <f t="shared" ca="1" si="25"/>
        <v/>
      </c>
      <c r="J399" t="str">
        <f t="shared" ca="1" si="26"/>
        <v/>
      </c>
    </row>
    <row r="400" spans="6:10" x14ac:dyDescent="0.2">
      <c r="F400" t="str">
        <f t="shared" ca="1" si="27"/>
        <v/>
      </c>
      <c r="G400">
        <f t="shared" ca="1" si="28"/>
        <v>0</v>
      </c>
      <c r="I400" t="str">
        <f t="shared" ca="1" si="25"/>
        <v/>
      </c>
      <c r="J400" t="str">
        <f t="shared" ca="1" si="26"/>
        <v/>
      </c>
    </row>
    <row r="401" spans="6:10" x14ac:dyDescent="0.2">
      <c r="F401" t="str">
        <f t="shared" ca="1" si="27"/>
        <v/>
      </c>
      <c r="G401">
        <f t="shared" ca="1" si="28"/>
        <v>0</v>
      </c>
      <c r="I401" t="str">
        <f t="shared" ca="1" si="25"/>
        <v/>
      </c>
      <c r="J401" t="str">
        <f t="shared" ca="1" si="26"/>
        <v/>
      </c>
    </row>
    <row r="402" spans="6:10" x14ac:dyDescent="0.2">
      <c r="F402" t="str">
        <f t="shared" ca="1" si="27"/>
        <v/>
      </c>
      <c r="G402">
        <f t="shared" ca="1" si="28"/>
        <v>0</v>
      </c>
      <c r="I402" t="str">
        <f t="shared" ca="1" si="25"/>
        <v/>
      </c>
      <c r="J402" t="str">
        <f t="shared" ca="1" si="26"/>
        <v/>
      </c>
    </row>
    <row r="403" spans="6:10" x14ac:dyDescent="0.2">
      <c r="F403" t="str">
        <f t="shared" ca="1" si="27"/>
        <v/>
      </c>
      <c r="G403">
        <f t="shared" ca="1" si="28"/>
        <v>0</v>
      </c>
      <c r="I403" t="str">
        <f t="shared" ca="1" si="25"/>
        <v/>
      </c>
      <c r="J403" t="str">
        <f t="shared" ca="1" si="26"/>
        <v/>
      </c>
    </row>
    <row r="404" spans="6:10" x14ac:dyDescent="0.2">
      <c r="F404" t="str">
        <f t="shared" ca="1" si="27"/>
        <v/>
      </c>
      <c r="G404">
        <f t="shared" ca="1" si="28"/>
        <v>0</v>
      </c>
      <c r="I404" t="str">
        <f t="shared" ca="1" si="25"/>
        <v/>
      </c>
      <c r="J404" t="str">
        <f t="shared" ca="1" si="26"/>
        <v/>
      </c>
    </row>
    <row r="405" spans="6:10" x14ac:dyDescent="0.2">
      <c r="F405" t="str">
        <f t="shared" ca="1" si="27"/>
        <v/>
      </c>
      <c r="G405">
        <f t="shared" ca="1" si="28"/>
        <v>0</v>
      </c>
      <c r="I405" t="str">
        <f t="shared" ca="1" si="25"/>
        <v/>
      </c>
      <c r="J405" t="str">
        <f t="shared" ca="1" si="26"/>
        <v/>
      </c>
    </row>
    <row r="406" spans="6:10" x14ac:dyDescent="0.2">
      <c r="F406" t="str">
        <f t="shared" ca="1" si="27"/>
        <v/>
      </c>
      <c r="G406">
        <f t="shared" ca="1" si="28"/>
        <v>0</v>
      </c>
      <c r="I406" t="str">
        <f t="shared" ca="1" si="25"/>
        <v/>
      </c>
      <c r="J406" t="str">
        <f t="shared" ca="1" si="26"/>
        <v/>
      </c>
    </row>
    <row r="407" spans="6:10" x14ac:dyDescent="0.2">
      <c r="F407" t="str">
        <f t="shared" ca="1" si="27"/>
        <v/>
      </c>
      <c r="G407">
        <f t="shared" ca="1" si="28"/>
        <v>0</v>
      </c>
      <c r="I407" t="str">
        <f t="shared" ca="1" si="25"/>
        <v/>
      </c>
      <c r="J407" t="str">
        <f t="shared" ca="1" si="26"/>
        <v/>
      </c>
    </row>
    <row r="408" spans="6:10" x14ac:dyDescent="0.2">
      <c r="F408" t="str">
        <f t="shared" ca="1" si="27"/>
        <v/>
      </c>
      <c r="G408">
        <f t="shared" ca="1" si="28"/>
        <v>0</v>
      </c>
      <c r="I408" t="str">
        <f t="shared" ca="1" si="25"/>
        <v/>
      </c>
      <c r="J408" t="str">
        <f t="shared" ca="1" si="26"/>
        <v/>
      </c>
    </row>
    <row r="409" spans="6:10" x14ac:dyDescent="0.2">
      <c r="F409" t="str">
        <f t="shared" ca="1" si="27"/>
        <v/>
      </c>
      <c r="G409">
        <f t="shared" ca="1" si="28"/>
        <v>0</v>
      </c>
      <c r="I409" t="str">
        <f t="shared" ca="1" si="25"/>
        <v/>
      </c>
      <c r="J409" t="str">
        <f t="shared" ca="1" si="26"/>
        <v/>
      </c>
    </row>
    <row r="410" spans="6:10" x14ac:dyDescent="0.2">
      <c r="F410" t="str">
        <f t="shared" ca="1" si="27"/>
        <v/>
      </c>
      <c r="G410">
        <f t="shared" ca="1" si="28"/>
        <v>0</v>
      </c>
      <c r="I410" t="str">
        <f t="shared" ca="1" si="25"/>
        <v/>
      </c>
      <c r="J410" t="str">
        <f t="shared" ca="1" si="26"/>
        <v/>
      </c>
    </row>
    <row r="411" spans="6:10" x14ac:dyDescent="0.2">
      <c r="F411" t="str">
        <f t="shared" ca="1" si="27"/>
        <v/>
      </c>
      <c r="G411">
        <f t="shared" ca="1" si="28"/>
        <v>0</v>
      </c>
      <c r="I411" t="str">
        <f t="shared" ca="1" si="25"/>
        <v/>
      </c>
      <c r="J411" t="str">
        <f t="shared" ca="1" si="26"/>
        <v/>
      </c>
    </row>
    <row r="412" spans="6:10" x14ac:dyDescent="0.2">
      <c r="F412" t="str">
        <f t="shared" ca="1" si="27"/>
        <v/>
      </c>
      <c r="G412">
        <f t="shared" ca="1" si="28"/>
        <v>0</v>
      </c>
      <c r="I412" t="str">
        <f t="shared" ca="1" si="25"/>
        <v/>
      </c>
      <c r="J412" t="str">
        <f t="shared" ca="1" si="26"/>
        <v/>
      </c>
    </row>
    <row r="413" spans="6:10" x14ac:dyDescent="0.2">
      <c r="F413" t="str">
        <f t="shared" ca="1" si="27"/>
        <v/>
      </c>
      <c r="G413">
        <f t="shared" ca="1" si="28"/>
        <v>0</v>
      </c>
      <c r="I413" t="str">
        <f t="shared" ca="1" si="25"/>
        <v/>
      </c>
      <c r="J413" t="str">
        <f t="shared" ca="1" si="26"/>
        <v/>
      </c>
    </row>
    <row r="414" spans="6:10" x14ac:dyDescent="0.2">
      <c r="F414" t="str">
        <f t="shared" ca="1" si="27"/>
        <v/>
      </c>
      <c r="G414">
        <f t="shared" ca="1" si="28"/>
        <v>0</v>
      </c>
      <c r="I414" t="str">
        <f t="shared" ca="1" si="25"/>
        <v/>
      </c>
      <c r="J414" t="str">
        <f t="shared" ca="1" si="26"/>
        <v/>
      </c>
    </row>
    <row r="415" spans="6:10" x14ac:dyDescent="0.2">
      <c r="F415" t="str">
        <f t="shared" ca="1" si="27"/>
        <v/>
      </c>
      <c r="G415">
        <f t="shared" ca="1" si="28"/>
        <v>0</v>
      </c>
      <c r="I415" t="str">
        <f t="shared" ca="1" si="25"/>
        <v/>
      </c>
      <c r="J415" t="str">
        <f t="shared" ca="1" si="26"/>
        <v/>
      </c>
    </row>
    <row r="416" spans="6:10" x14ac:dyDescent="0.2">
      <c r="F416" t="str">
        <f t="shared" ca="1" si="27"/>
        <v/>
      </c>
      <c r="G416">
        <f t="shared" ca="1" si="28"/>
        <v>0</v>
      </c>
      <c r="I416" t="str">
        <f t="shared" ca="1" si="25"/>
        <v/>
      </c>
      <c r="J416" t="str">
        <f t="shared" ca="1" si="26"/>
        <v/>
      </c>
    </row>
    <row r="417" spans="6:10" x14ac:dyDescent="0.2">
      <c r="F417" t="str">
        <f t="shared" ca="1" si="27"/>
        <v/>
      </c>
      <c r="G417">
        <f t="shared" ca="1" si="28"/>
        <v>0</v>
      </c>
      <c r="I417" t="str">
        <f t="shared" ca="1" si="25"/>
        <v/>
      </c>
      <c r="J417" t="str">
        <f t="shared" ca="1" si="26"/>
        <v/>
      </c>
    </row>
    <row r="418" spans="6:10" x14ac:dyDescent="0.2">
      <c r="F418" t="str">
        <f t="shared" ca="1" si="27"/>
        <v/>
      </c>
      <c r="G418">
        <f t="shared" ca="1" si="28"/>
        <v>0</v>
      </c>
      <c r="I418" t="str">
        <f t="shared" ca="1" si="25"/>
        <v/>
      </c>
      <c r="J418" t="str">
        <f t="shared" ca="1" si="26"/>
        <v/>
      </c>
    </row>
    <row r="419" spans="6:10" x14ac:dyDescent="0.2">
      <c r="F419" t="str">
        <f t="shared" ca="1" si="27"/>
        <v/>
      </c>
      <c r="G419">
        <f t="shared" ca="1" si="28"/>
        <v>0</v>
      </c>
      <c r="I419" t="str">
        <f t="shared" ca="1" si="25"/>
        <v/>
      </c>
      <c r="J419" t="str">
        <f t="shared" ca="1" si="26"/>
        <v/>
      </c>
    </row>
    <row r="420" spans="6:10" x14ac:dyDescent="0.2">
      <c r="F420" t="str">
        <f t="shared" ca="1" si="27"/>
        <v/>
      </c>
      <c r="G420">
        <f t="shared" ca="1" si="28"/>
        <v>0</v>
      </c>
      <c r="I420" t="str">
        <f t="shared" ca="1" si="25"/>
        <v/>
      </c>
      <c r="J420" t="str">
        <f t="shared" ca="1" si="26"/>
        <v/>
      </c>
    </row>
    <row r="421" spans="6:10" x14ac:dyDescent="0.2">
      <c r="F421" t="str">
        <f t="shared" ca="1" si="27"/>
        <v/>
      </c>
      <c r="G421">
        <f t="shared" ca="1" si="28"/>
        <v>0</v>
      </c>
      <c r="I421" t="str">
        <f t="shared" ca="1" si="25"/>
        <v/>
      </c>
      <c r="J421" t="str">
        <f t="shared" ca="1" si="26"/>
        <v/>
      </c>
    </row>
    <row r="422" spans="6:10" x14ac:dyDescent="0.2">
      <c r="F422" t="str">
        <f t="shared" ca="1" si="27"/>
        <v/>
      </c>
      <c r="G422">
        <f t="shared" ca="1" si="28"/>
        <v>0</v>
      </c>
      <c r="I422" t="str">
        <f t="shared" ca="1" si="25"/>
        <v/>
      </c>
      <c r="J422" t="str">
        <f t="shared" ca="1" si="26"/>
        <v/>
      </c>
    </row>
    <row r="423" spans="6:10" x14ac:dyDescent="0.2">
      <c r="F423" t="str">
        <f t="shared" ca="1" si="27"/>
        <v/>
      </c>
      <c r="G423">
        <f t="shared" ca="1" si="28"/>
        <v>0</v>
      </c>
      <c r="I423" t="str">
        <f t="shared" ca="1" si="25"/>
        <v/>
      </c>
      <c r="J423" t="str">
        <f t="shared" ca="1" si="26"/>
        <v/>
      </c>
    </row>
    <row r="424" spans="6:10" x14ac:dyDescent="0.2">
      <c r="F424" t="str">
        <f t="shared" ca="1" si="27"/>
        <v/>
      </c>
      <c r="G424">
        <f t="shared" ca="1" si="28"/>
        <v>0</v>
      </c>
      <c r="I424" t="str">
        <f t="shared" ca="1" si="25"/>
        <v/>
      </c>
      <c r="J424" t="str">
        <f t="shared" ca="1" si="26"/>
        <v/>
      </c>
    </row>
    <row r="425" spans="6:10" x14ac:dyDescent="0.2">
      <c r="F425" t="str">
        <f t="shared" ca="1" si="27"/>
        <v/>
      </c>
      <c r="G425">
        <f t="shared" ca="1" si="28"/>
        <v>0</v>
      </c>
      <c r="I425" t="str">
        <f t="shared" ref="I425:I488" ca="1" si="29">IFERROR(MATCH(OFFSET($A$1,ROW()-1,0,1,1),A:A,0),"")</f>
        <v/>
      </c>
      <c r="J425" t="str">
        <f t="shared" ref="J425:J488" ca="1" si="30">IFERROR(MATCH(OFFSET($A$1,ROW()-1,0,1,1),A:A,1)-I425+1,"")</f>
        <v/>
      </c>
    </row>
    <row r="426" spans="6:10" x14ac:dyDescent="0.2">
      <c r="F426" t="str">
        <f t="shared" ca="1" si="27"/>
        <v/>
      </c>
      <c r="G426">
        <f t="shared" ca="1" si="28"/>
        <v>0</v>
      </c>
      <c r="I426" t="str">
        <f t="shared" ca="1" si="29"/>
        <v/>
      </c>
      <c r="J426" t="str">
        <f t="shared" ca="1" si="30"/>
        <v/>
      </c>
    </row>
    <row r="427" spans="6:10" x14ac:dyDescent="0.2">
      <c r="F427" t="str">
        <f t="shared" ca="1" si="27"/>
        <v/>
      </c>
      <c r="G427">
        <f t="shared" ca="1" si="28"/>
        <v>0</v>
      </c>
      <c r="I427" t="str">
        <f t="shared" ca="1" si="29"/>
        <v/>
      </c>
      <c r="J427" t="str">
        <f t="shared" ca="1" si="30"/>
        <v/>
      </c>
    </row>
    <row r="428" spans="6:10" x14ac:dyDescent="0.2">
      <c r="F428" t="str">
        <f t="shared" ca="1" si="27"/>
        <v/>
      </c>
      <c r="G428">
        <f t="shared" ca="1" si="28"/>
        <v>0</v>
      </c>
      <c r="I428" t="str">
        <f t="shared" ca="1" si="29"/>
        <v/>
      </c>
      <c r="J428" t="str">
        <f t="shared" ca="1" si="30"/>
        <v/>
      </c>
    </row>
    <row r="429" spans="6:10" x14ac:dyDescent="0.2">
      <c r="F429" t="str">
        <f t="shared" ca="1" si="27"/>
        <v/>
      </c>
      <c r="G429">
        <f t="shared" ca="1" si="28"/>
        <v>0</v>
      </c>
      <c r="I429" t="str">
        <f t="shared" ca="1" si="29"/>
        <v/>
      </c>
      <c r="J429" t="str">
        <f t="shared" ca="1" si="30"/>
        <v/>
      </c>
    </row>
    <row r="430" spans="6:10" x14ac:dyDescent="0.2">
      <c r="F430" t="str">
        <f t="shared" ca="1" si="27"/>
        <v/>
      </c>
      <c r="G430">
        <f t="shared" ca="1" si="28"/>
        <v>0</v>
      </c>
      <c r="I430" t="str">
        <f t="shared" ca="1" si="29"/>
        <v/>
      </c>
      <c r="J430" t="str">
        <f t="shared" ca="1" si="30"/>
        <v/>
      </c>
    </row>
    <row r="431" spans="6:10" x14ac:dyDescent="0.2">
      <c r="F431" t="str">
        <f t="shared" ca="1" si="27"/>
        <v/>
      </c>
      <c r="G431">
        <f t="shared" ca="1" si="28"/>
        <v>0</v>
      </c>
      <c r="I431" t="str">
        <f t="shared" ca="1" si="29"/>
        <v/>
      </c>
      <c r="J431" t="str">
        <f t="shared" ca="1" si="30"/>
        <v/>
      </c>
    </row>
    <row r="432" spans="6:10" x14ac:dyDescent="0.2">
      <c r="F432" t="str">
        <f t="shared" ca="1" si="27"/>
        <v/>
      </c>
      <c r="G432">
        <f t="shared" ca="1" si="28"/>
        <v>0</v>
      </c>
      <c r="I432" t="str">
        <f t="shared" ca="1" si="29"/>
        <v/>
      </c>
      <c r="J432" t="str">
        <f t="shared" ca="1" si="30"/>
        <v/>
      </c>
    </row>
    <row r="433" spans="6:10" x14ac:dyDescent="0.2">
      <c r="F433" t="str">
        <f t="shared" ca="1" si="27"/>
        <v/>
      </c>
      <c r="G433">
        <f t="shared" ca="1" si="28"/>
        <v>0</v>
      </c>
      <c r="I433" t="str">
        <f t="shared" ca="1" si="29"/>
        <v/>
      </c>
      <c r="J433" t="str">
        <f t="shared" ca="1" si="30"/>
        <v/>
      </c>
    </row>
    <row r="434" spans="6:10" x14ac:dyDescent="0.2">
      <c r="F434" t="str">
        <f t="shared" ca="1" si="27"/>
        <v/>
      </c>
      <c r="G434">
        <f t="shared" ca="1" si="28"/>
        <v>0</v>
      </c>
      <c r="I434" t="str">
        <f t="shared" ca="1" si="29"/>
        <v/>
      </c>
      <c r="J434" t="str">
        <f t="shared" ca="1" si="30"/>
        <v/>
      </c>
    </row>
    <row r="435" spans="6:10" x14ac:dyDescent="0.2">
      <c r="F435" t="str">
        <f t="shared" ca="1" si="27"/>
        <v/>
      </c>
      <c r="G435">
        <f t="shared" ca="1" si="28"/>
        <v>0</v>
      </c>
      <c r="I435" t="str">
        <f t="shared" ca="1" si="29"/>
        <v/>
      </c>
      <c r="J435" t="str">
        <f t="shared" ca="1" si="30"/>
        <v/>
      </c>
    </row>
    <row r="436" spans="6:10" x14ac:dyDescent="0.2">
      <c r="F436" t="str">
        <f t="shared" ca="1" si="27"/>
        <v/>
      </c>
      <c r="G436">
        <f t="shared" ca="1" si="28"/>
        <v>0</v>
      </c>
      <c r="I436" t="str">
        <f t="shared" ca="1" si="29"/>
        <v/>
      </c>
      <c r="J436" t="str">
        <f t="shared" ca="1" si="30"/>
        <v/>
      </c>
    </row>
    <row r="437" spans="6:10" x14ac:dyDescent="0.2">
      <c r="F437" t="str">
        <f t="shared" ca="1" si="27"/>
        <v/>
      </c>
      <c r="G437">
        <f t="shared" ca="1" si="28"/>
        <v>0</v>
      </c>
      <c r="I437" t="str">
        <f t="shared" ca="1" si="29"/>
        <v/>
      </c>
      <c r="J437" t="str">
        <f t="shared" ca="1" si="30"/>
        <v/>
      </c>
    </row>
    <row r="438" spans="6:10" x14ac:dyDescent="0.2">
      <c r="F438" t="str">
        <f t="shared" ca="1" si="27"/>
        <v/>
      </c>
      <c r="G438">
        <f t="shared" ca="1" si="28"/>
        <v>0</v>
      </c>
      <c r="I438" t="str">
        <f t="shared" ca="1" si="29"/>
        <v/>
      </c>
      <c r="J438" t="str">
        <f t="shared" ca="1" si="30"/>
        <v/>
      </c>
    </row>
    <row r="439" spans="6:10" x14ac:dyDescent="0.2">
      <c r="F439" t="str">
        <f t="shared" ca="1" si="27"/>
        <v/>
      </c>
      <c r="G439">
        <f t="shared" ca="1" si="28"/>
        <v>0</v>
      </c>
      <c r="I439" t="str">
        <f t="shared" ca="1" si="29"/>
        <v/>
      </c>
      <c r="J439" t="str">
        <f t="shared" ca="1" si="30"/>
        <v/>
      </c>
    </row>
    <row r="440" spans="6:10" x14ac:dyDescent="0.2">
      <c r="F440" t="str">
        <f t="shared" ca="1" si="27"/>
        <v/>
      </c>
      <c r="G440">
        <f t="shared" ca="1" si="28"/>
        <v>0</v>
      </c>
      <c r="I440" t="str">
        <f t="shared" ca="1" si="29"/>
        <v/>
      </c>
      <c r="J440" t="str">
        <f t="shared" ca="1" si="30"/>
        <v/>
      </c>
    </row>
    <row r="441" spans="6:10" x14ac:dyDescent="0.2">
      <c r="F441" t="str">
        <f t="shared" ca="1" si="27"/>
        <v/>
      </c>
      <c r="G441">
        <f t="shared" ca="1" si="28"/>
        <v>0</v>
      </c>
      <c r="I441" t="str">
        <f t="shared" ca="1" si="29"/>
        <v/>
      </c>
      <c r="J441" t="str">
        <f t="shared" ca="1" si="30"/>
        <v/>
      </c>
    </row>
    <row r="442" spans="6:10" x14ac:dyDescent="0.2">
      <c r="F442" t="str">
        <f t="shared" ca="1" si="27"/>
        <v/>
      </c>
      <c r="G442">
        <f t="shared" ca="1" si="28"/>
        <v>0</v>
      </c>
      <c r="I442" t="str">
        <f t="shared" ca="1" si="29"/>
        <v/>
      </c>
      <c r="J442" t="str">
        <f t="shared" ca="1" si="30"/>
        <v/>
      </c>
    </row>
    <row r="443" spans="6:10" x14ac:dyDescent="0.2">
      <c r="F443" t="str">
        <f t="shared" ca="1" si="27"/>
        <v/>
      </c>
      <c r="G443">
        <f t="shared" ca="1" si="28"/>
        <v>0</v>
      </c>
      <c r="I443" t="str">
        <f t="shared" ca="1" si="29"/>
        <v/>
      </c>
      <c r="J443" t="str">
        <f t="shared" ca="1" si="30"/>
        <v/>
      </c>
    </row>
    <row r="444" spans="6:10" x14ac:dyDescent="0.2">
      <c r="F444" t="str">
        <f t="shared" ca="1" si="27"/>
        <v/>
      </c>
      <c r="G444">
        <f t="shared" ca="1" si="28"/>
        <v>0</v>
      </c>
      <c r="I444" t="str">
        <f t="shared" ca="1" si="29"/>
        <v/>
      </c>
      <c r="J444" t="str">
        <f t="shared" ca="1" si="30"/>
        <v/>
      </c>
    </row>
    <row r="445" spans="6:10" x14ac:dyDescent="0.2">
      <c r="F445" t="str">
        <f t="shared" ca="1" si="27"/>
        <v/>
      </c>
      <c r="G445">
        <f t="shared" ca="1" si="28"/>
        <v>0</v>
      </c>
      <c r="I445" t="str">
        <f t="shared" ca="1" si="29"/>
        <v/>
      </c>
      <c r="J445" t="str">
        <f t="shared" ca="1" si="30"/>
        <v/>
      </c>
    </row>
    <row r="446" spans="6:10" x14ac:dyDescent="0.2">
      <c r="F446" t="str">
        <f t="shared" ca="1" si="27"/>
        <v/>
      </c>
      <c r="G446">
        <f t="shared" ca="1" si="28"/>
        <v>0</v>
      </c>
      <c r="I446" t="str">
        <f t="shared" ca="1" si="29"/>
        <v/>
      </c>
      <c r="J446" t="str">
        <f t="shared" ca="1" si="30"/>
        <v/>
      </c>
    </row>
    <row r="447" spans="6:10" x14ac:dyDescent="0.2">
      <c r="F447" t="str">
        <f t="shared" ca="1" si="27"/>
        <v/>
      </c>
      <c r="G447">
        <f t="shared" ca="1" si="28"/>
        <v>0</v>
      </c>
      <c r="I447" t="str">
        <f t="shared" ca="1" si="29"/>
        <v/>
      </c>
      <c r="J447" t="str">
        <f t="shared" ca="1" si="30"/>
        <v/>
      </c>
    </row>
    <row r="448" spans="6:10" x14ac:dyDescent="0.2">
      <c r="F448" t="str">
        <f t="shared" ca="1" si="27"/>
        <v/>
      </c>
      <c r="G448">
        <f t="shared" ca="1" si="28"/>
        <v>0</v>
      </c>
      <c r="I448" t="str">
        <f t="shared" ca="1" si="29"/>
        <v/>
      </c>
      <c r="J448" t="str">
        <f t="shared" ca="1" si="30"/>
        <v/>
      </c>
    </row>
    <row r="449" spans="6:10" x14ac:dyDescent="0.2">
      <c r="F449" t="str">
        <f t="shared" ca="1" si="27"/>
        <v/>
      </c>
      <c r="G449">
        <f t="shared" ca="1" si="28"/>
        <v>0</v>
      </c>
      <c r="I449" t="str">
        <f t="shared" ca="1" si="29"/>
        <v/>
      </c>
      <c r="J449" t="str">
        <f t="shared" ca="1" si="30"/>
        <v/>
      </c>
    </row>
    <row r="450" spans="6:10" x14ac:dyDescent="0.2">
      <c r="F450" t="str">
        <f t="shared" ref="F450:F513" ca="1" si="31">IFERROR(MATCH(OFFSET($A$1,ROW()-1,0,1,1),A:A,0),"")</f>
        <v/>
      </c>
      <c r="G450">
        <f t="shared" ref="G450:G513" ca="1" si="32">COUNTIF(A:A,OFFSET($A$1,ROW()-1,0))</f>
        <v>0</v>
      </c>
      <c r="I450" t="str">
        <f t="shared" ca="1" si="29"/>
        <v/>
      </c>
      <c r="J450" t="str">
        <f t="shared" ca="1" si="30"/>
        <v/>
      </c>
    </row>
    <row r="451" spans="6:10" x14ac:dyDescent="0.2">
      <c r="F451" t="str">
        <f t="shared" ca="1" si="31"/>
        <v/>
      </c>
      <c r="G451">
        <f t="shared" ca="1" si="32"/>
        <v>0</v>
      </c>
      <c r="I451" t="str">
        <f t="shared" ca="1" si="29"/>
        <v/>
      </c>
      <c r="J451" t="str">
        <f t="shared" ca="1" si="30"/>
        <v/>
      </c>
    </row>
    <row r="452" spans="6:10" x14ac:dyDescent="0.2">
      <c r="F452" t="str">
        <f t="shared" ca="1" si="31"/>
        <v/>
      </c>
      <c r="G452">
        <f t="shared" ca="1" si="32"/>
        <v>0</v>
      </c>
      <c r="I452" t="str">
        <f t="shared" ca="1" si="29"/>
        <v/>
      </c>
      <c r="J452" t="str">
        <f t="shared" ca="1" si="30"/>
        <v/>
      </c>
    </row>
    <row r="453" spans="6:10" x14ac:dyDescent="0.2">
      <c r="F453" t="str">
        <f t="shared" ca="1" si="31"/>
        <v/>
      </c>
      <c r="G453">
        <f t="shared" ca="1" si="32"/>
        <v>0</v>
      </c>
      <c r="I453" t="str">
        <f t="shared" ca="1" si="29"/>
        <v/>
      </c>
      <c r="J453" t="str">
        <f t="shared" ca="1" si="30"/>
        <v/>
      </c>
    </row>
    <row r="454" spans="6:10" x14ac:dyDescent="0.2">
      <c r="F454" t="str">
        <f t="shared" ca="1" si="31"/>
        <v/>
      </c>
      <c r="G454">
        <f t="shared" ca="1" si="32"/>
        <v>0</v>
      </c>
      <c r="I454" t="str">
        <f t="shared" ca="1" si="29"/>
        <v/>
      </c>
      <c r="J454" t="str">
        <f t="shared" ca="1" si="30"/>
        <v/>
      </c>
    </row>
    <row r="455" spans="6:10" x14ac:dyDescent="0.2">
      <c r="F455" t="str">
        <f t="shared" ca="1" si="31"/>
        <v/>
      </c>
      <c r="G455">
        <f t="shared" ca="1" si="32"/>
        <v>0</v>
      </c>
      <c r="I455" t="str">
        <f t="shared" ca="1" si="29"/>
        <v/>
      </c>
      <c r="J455" t="str">
        <f t="shared" ca="1" si="30"/>
        <v/>
      </c>
    </row>
    <row r="456" spans="6:10" x14ac:dyDescent="0.2">
      <c r="F456" t="str">
        <f t="shared" ca="1" si="31"/>
        <v/>
      </c>
      <c r="G456">
        <f t="shared" ca="1" si="32"/>
        <v>0</v>
      </c>
      <c r="I456" t="str">
        <f t="shared" ca="1" si="29"/>
        <v/>
      </c>
      <c r="J456" t="str">
        <f t="shared" ca="1" si="30"/>
        <v/>
      </c>
    </row>
    <row r="457" spans="6:10" x14ac:dyDescent="0.2">
      <c r="F457" t="str">
        <f t="shared" ca="1" si="31"/>
        <v/>
      </c>
      <c r="G457">
        <f t="shared" ca="1" si="32"/>
        <v>0</v>
      </c>
      <c r="I457" t="str">
        <f t="shared" ca="1" si="29"/>
        <v/>
      </c>
      <c r="J457" t="str">
        <f t="shared" ca="1" si="30"/>
        <v/>
      </c>
    </row>
    <row r="458" spans="6:10" x14ac:dyDescent="0.2">
      <c r="F458" t="str">
        <f t="shared" ca="1" si="31"/>
        <v/>
      </c>
      <c r="G458">
        <f t="shared" ca="1" si="32"/>
        <v>0</v>
      </c>
      <c r="I458" t="str">
        <f t="shared" ca="1" si="29"/>
        <v/>
      </c>
      <c r="J458" t="str">
        <f t="shared" ca="1" si="30"/>
        <v/>
      </c>
    </row>
    <row r="459" spans="6:10" x14ac:dyDescent="0.2">
      <c r="F459" t="str">
        <f t="shared" ca="1" si="31"/>
        <v/>
      </c>
      <c r="G459">
        <f t="shared" ca="1" si="32"/>
        <v>0</v>
      </c>
      <c r="I459" t="str">
        <f t="shared" ca="1" si="29"/>
        <v/>
      </c>
      <c r="J459" t="str">
        <f t="shared" ca="1" si="30"/>
        <v/>
      </c>
    </row>
    <row r="460" spans="6:10" x14ac:dyDescent="0.2">
      <c r="F460" t="str">
        <f t="shared" ca="1" si="31"/>
        <v/>
      </c>
      <c r="G460">
        <f t="shared" ca="1" si="32"/>
        <v>0</v>
      </c>
      <c r="I460" t="str">
        <f t="shared" ca="1" si="29"/>
        <v/>
      </c>
      <c r="J460" t="str">
        <f t="shared" ca="1" si="30"/>
        <v/>
      </c>
    </row>
    <row r="461" spans="6:10" x14ac:dyDescent="0.2">
      <c r="F461" t="str">
        <f t="shared" ca="1" si="31"/>
        <v/>
      </c>
      <c r="G461">
        <f t="shared" ca="1" si="32"/>
        <v>0</v>
      </c>
      <c r="I461" t="str">
        <f t="shared" ca="1" si="29"/>
        <v/>
      </c>
      <c r="J461" t="str">
        <f t="shared" ca="1" si="30"/>
        <v/>
      </c>
    </row>
    <row r="462" spans="6:10" x14ac:dyDescent="0.2">
      <c r="F462" t="str">
        <f t="shared" ca="1" si="31"/>
        <v/>
      </c>
      <c r="G462">
        <f t="shared" ca="1" si="32"/>
        <v>0</v>
      </c>
      <c r="I462" t="str">
        <f t="shared" ca="1" si="29"/>
        <v/>
      </c>
      <c r="J462" t="str">
        <f t="shared" ca="1" si="30"/>
        <v/>
      </c>
    </row>
    <row r="463" spans="6:10" x14ac:dyDescent="0.2">
      <c r="F463" t="str">
        <f t="shared" ca="1" si="31"/>
        <v/>
      </c>
      <c r="G463">
        <f t="shared" ca="1" si="32"/>
        <v>0</v>
      </c>
      <c r="I463" t="str">
        <f t="shared" ca="1" si="29"/>
        <v/>
      </c>
      <c r="J463" t="str">
        <f t="shared" ca="1" si="30"/>
        <v/>
      </c>
    </row>
    <row r="464" spans="6:10" x14ac:dyDescent="0.2">
      <c r="F464" t="str">
        <f t="shared" ca="1" si="31"/>
        <v/>
      </c>
      <c r="G464">
        <f t="shared" ca="1" si="32"/>
        <v>0</v>
      </c>
      <c r="I464" t="str">
        <f t="shared" ca="1" si="29"/>
        <v/>
      </c>
      <c r="J464" t="str">
        <f t="shared" ca="1" si="30"/>
        <v/>
      </c>
    </row>
    <row r="465" spans="6:10" x14ac:dyDescent="0.2">
      <c r="F465" t="str">
        <f t="shared" ca="1" si="31"/>
        <v/>
      </c>
      <c r="G465">
        <f t="shared" ca="1" si="32"/>
        <v>0</v>
      </c>
      <c r="I465" t="str">
        <f t="shared" ca="1" si="29"/>
        <v/>
      </c>
      <c r="J465" t="str">
        <f t="shared" ca="1" si="30"/>
        <v/>
      </c>
    </row>
    <row r="466" spans="6:10" x14ac:dyDescent="0.2">
      <c r="F466" t="str">
        <f t="shared" ca="1" si="31"/>
        <v/>
      </c>
      <c r="G466">
        <f t="shared" ca="1" si="32"/>
        <v>0</v>
      </c>
      <c r="I466" t="str">
        <f t="shared" ca="1" si="29"/>
        <v/>
      </c>
      <c r="J466" t="str">
        <f t="shared" ca="1" si="30"/>
        <v/>
      </c>
    </row>
    <row r="467" spans="6:10" x14ac:dyDescent="0.2">
      <c r="F467" t="str">
        <f t="shared" ca="1" si="31"/>
        <v/>
      </c>
      <c r="G467">
        <f t="shared" ca="1" si="32"/>
        <v>0</v>
      </c>
      <c r="I467" t="str">
        <f t="shared" ca="1" si="29"/>
        <v/>
      </c>
      <c r="J467" t="str">
        <f t="shared" ca="1" si="30"/>
        <v/>
      </c>
    </row>
    <row r="468" spans="6:10" x14ac:dyDescent="0.2">
      <c r="F468" t="str">
        <f t="shared" ca="1" si="31"/>
        <v/>
      </c>
      <c r="G468">
        <f t="shared" ca="1" si="32"/>
        <v>0</v>
      </c>
      <c r="I468" t="str">
        <f t="shared" ca="1" si="29"/>
        <v/>
      </c>
      <c r="J468" t="str">
        <f t="shared" ca="1" si="30"/>
        <v/>
      </c>
    </row>
    <row r="469" spans="6:10" x14ac:dyDescent="0.2">
      <c r="F469" t="str">
        <f t="shared" ca="1" si="31"/>
        <v/>
      </c>
      <c r="G469">
        <f t="shared" ca="1" si="32"/>
        <v>0</v>
      </c>
      <c r="I469" t="str">
        <f t="shared" ca="1" si="29"/>
        <v/>
      </c>
      <c r="J469" t="str">
        <f t="shared" ca="1" si="30"/>
        <v/>
      </c>
    </row>
    <row r="470" spans="6:10" x14ac:dyDescent="0.2">
      <c r="F470" t="str">
        <f t="shared" ca="1" si="31"/>
        <v/>
      </c>
      <c r="G470">
        <f t="shared" ca="1" si="32"/>
        <v>0</v>
      </c>
      <c r="I470" t="str">
        <f t="shared" ca="1" si="29"/>
        <v/>
      </c>
      <c r="J470" t="str">
        <f t="shared" ca="1" si="30"/>
        <v/>
      </c>
    </row>
    <row r="471" spans="6:10" x14ac:dyDescent="0.2">
      <c r="F471" t="str">
        <f t="shared" ca="1" si="31"/>
        <v/>
      </c>
      <c r="G471">
        <f t="shared" ca="1" si="32"/>
        <v>0</v>
      </c>
      <c r="I471" t="str">
        <f t="shared" ca="1" si="29"/>
        <v/>
      </c>
      <c r="J471" t="str">
        <f t="shared" ca="1" si="30"/>
        <v/>
      </c>
    </row>
    <row r="472" spans="6:10" x14ac:dyDescent="0.2">
      <c r="F472" t="str">
        <f t="shared" ca="1" si="31"/>
        <v/>
      </c>
      <c r="G472">
        <f t="shared" ca="1" si="32"/>
        <v>0</v>
      </c>
      <c r="I472" t="str">
        <f t="shared" ca="1" si="29"/>
        <v/>
      </c>
      <c r="J472" t="str">
        <f t="shared" ca="1" si="30"/>
        <v/>
      </c>
    </row>
    <row r="473" spans="6:10" x14ac:dyDescent="0.2">
      <c r="F473" t="str">
        <f t="shared" ca="1" si="31"/>
        <v/>
      </c>
      <c r="G473">
        <f t="shared" ca="1" si="32"/>
        <v>0</v>
      </c>
      <c r="I473" t="str">
        <f t="shared" ca="1" si="29"/>
        <v/>
      </c>
      <c r="J473" t="str">
        <f t="shared" ca="1" si="30"/>
        <v/>
      </c>
    </row>
    <row r="474" spans="6:10" x14ac:dyDescent="0.2">
      <c r="F474" t="str">
        <f t="shared" ca="1" si="31"/>
        <v/>
      </c>
      <c r="G474">
        <f t="shared" ca="1" si="32"/>
        <v>0</v>
      </c>
      <c r="I474" t="str">
        <f t="shared" ca="1" si="29"/>
        <v/>
      </c>
      <c r="J474" t="str">
        <f t="shared" ca="1" si="30"/>
        <v/>
      </c>
    </row>
    <row r="475" spans="6:10" x14ac:dyDescent="0.2">
      <c r="F475" t="str">
        <f t="shared" ca="1" si="31"/>
        <v/>
      </c>
      <c r="G475">
        <f t="shared" ca="1" si="32"/>
        <v>0</v>
      </c>
      <c r="I475" t="str">
        <f t="shared" ca="1" si="29"/>
        <v/>
      </c>
      <c r="J475" t="str">
        <f t="shared" ca="1" si="30"/>
        <v/>
      </c>
    </row>
    <row r="476" spans="6:10" x14ac:dyDescent="0.2">
      <c r="F476" t="str">
        <f t="shared" ca="1" si="31"/>
        <v/>
      </c>
      <c r="G476">
        <f t="shared" ca="1" si="32"/>
        <v>0</v>
      </c>
      <c r="I476" t="str">
        <f t="shared" ca="1" si="29"/>
        <v/>
      </c>
      <c r="J476" t="str">
        <f t="shared" ca="1" si="30"/>
        <v/>
      </c>
    </row>
    <row r="477" spans="6:10" x14ac:dyDescent="0.2">
      <c r="F477" t="str">
        <f t="shared" ca="1" si="31"/>
        <v/>
      </c>
      <c r="G477">
        <f t="shared" ca="1" si="32"/>
        <v>0</v>
      </c>
      <c r="I477" t="str">
        <f t="shared" ca="1" si="29"/>
        <v/>
      </c>
      <c r="J477" t="str">
        <f t="shared" ca="1" si="30"/>
        <v/>
      </c>
    </row>
    <row r="478" spans="6:10" x14ac:dyDescent="0.2">
      <c r="F478" t="str">
        <f t="shared" ca="1" si="31"/>
        <v/>
      </c>
      <c r="G478">
        <f t="shared" ca="1" si="32"/>
        <v>0</v>
      </c>
      <c r="I478" t="str">
        <f t="shared" ca="1" si="29"/>
        <v/>
      </c>
      <c r="J478" t="str">
        <f t="shared" ca="1" si="30"/>
        <v/>
      </c>
    </row>
    <row r="479" spans="6:10" x14ac:dyDescent="0.2">
      <c r="F479" t="str">
        <f t="shared" ca="1" si="31"/>
        <v/>
      </c>
      <c r="G479">
        <f t="shared" ca="1" si="32"/>
        <v>0</v>
      </c>
      <c r="I479" t="str">
        <f t="shared" ca="1" si="29"/>
        <v/>
      </c>
      <c r="J479" t="str">
        <f t="shared" ca="1" si="30"/>
        <v/>
      </c>
    </row>
    <row r="480" spans="6:10" x14ac:dyDescent="0.2">
      <c r="F480" t="str">
        <f t="shared" ca="1" si="31"/>
        <v/>
      </c>
      <c r="G480">
        <f t="shared" ca="1" si="32"/>
        <v>0</v>
      </c>
      <c r="I480" t="str">
        <f t="shared" ca="1" si="29"/>
        <v/>
      </c>
      <c r="J480" t="str">
        <f t="shared" ca="1" si="30"/>
        <v/>
      </c>
    </row>
    <row r="481" spans="6:10" x14ac:dyDescent="0.2">
      <c r="F481" t="str">
        <f t="shared" ca="1" si="31"/>
        <v/>
      </c>
      <c r="G481">
        <f t="shared" ca="1" si="32"/>
        <v>0</v>
      </c>
      <c r="I481" t="str">
        <f t="shared" ca="1" si="29"/>
        <v/>
      </c>
      <c r="J481" t="str">
        <f t="shared" ca="1" si="30"/>
        <v/>
      </c>
    </row>
    <row r="482" spans="6:10" x14ac:dyDescent="0.2">
      <c r="F482" t="str">
        <f t="shared" ca="1" si="31"/>
        <v/>
      </c>
      <c r="G482">
        <f t="shared" ca="1" si="32"/>
        <v>0</v>
      </c>
      <c r="I482" t="str">
        <f t="shared" ca="1" si="29"/>
        <v/>
      </c>
      <c r="J482" t="str">
        <f t="shared" ca="1" si="30"/>
        <v/>
      </c>
    </row>
    <row r="483" spans="6:10" x14ac:dyDescent="0.2">
      <c r="F483" t="str">
        <f t="shared" ca="1" si="31"/>
        <v/>
      </c>
      <c r="G483">
        <f t="shared" ca="1" si="32"/>
        <v>0</v>
      </c>
      <c r="I483" t="str">
        <f t="shared" ca="1" si="29"/>
        <v/>
      </c>
      <c r="J483" t="str">
        <f t="shared" ca="1" si="30"/>
        <v/>
      </c>
    </row>
    <row r="484" spans="6:10" x14ac:dyDescent="0.2">
      <c r="F484" t="str">
        <f t="shared" ca="1" si="31"/>
        <v/>
      </c>
      <c r="G484">
        <f t="shared" ca="1" si="32"/>
        <v>0</v>
      </c>
      <c r="I484" t="str">
        <f t="shared" ca="1" si="29"/>
        <v/>
      </c>
      <c r="J484" t="str">
        <f t="shared" ca="1" si="30"/>
        <v/>
      </c>
    </row>
    <row r="485" spans="6:10" x14ac:dyDescent="0.2">
      <c r="F485" t="str">
        <f t="shared" ca="1" si="31"/>
        <v/>
      </c>
      <c r="G485">
        <f t="shared" ca="1" si="32"/>
        <v>0</v>
      </c>
      <c r="I485" t="str">
        <f t="shared" ca="1" si="29"/>
        <v/>
      </c>
      <c r="J485" t="str">
        <f t="shared" ca="1" si="30"/>
        <v/>
      </c>
    </row>
    <row r="486" spans="6:10" x14ac:dyDescent="0.2">
      <c r="F486" t="str">
        <f t="shared" ca="1" si="31"/>
        <v/>
      </c>
      <c r="G486">
        <f t="shared" ca="1" si="32"/>
        <v>0</v>
      </c>
      <c r="I486" t="str">
        <f t="shared" ca="1" si="29"/>
        <v/>
      </c>
      <c r="J486" t="str">
        <f t="shared" ca="1" si="30"/>
        <v/>
      </c>
    </row>
    <row r="487" spans="6:10" x14ac:dyDescent="0.2">
      <c r="F487" t="str">
        <f t="shared" ca="1" si="31"/>
        <v/>
      </c>
      <c r="G487">
        <f t="shared" ca="1" si="32"/>
        <v>0</v>
      </c>
      <c r="I487" t="str">
        <f t="shared" ca="1" si="29"/>
        <v/>
      </c>
      <c r="J487" t="str">
        <f t="shared" ca="1" si="30"/>
        <v/>
      </c>
    </row>
    <row r="488" spans="6:10" x14ac:dyDescent="0.2">
      <c r="F488" t="str">
        <f t="shared" ca="1" si="31"/>
        <v/>
      </c>
      <c r="G488">
        <f t="shared" ca="1" si="32"/>
        <v>0</v>
      </c>
      <c r="I488" t="str">
        <f t="shared" ca="1" si="29"/>
        <v/>
      </c>
      <c r="J488" t="str">
        <f t="shared" ca="1" si="30"/>
        <v/>
      </c>
    </row>
    <row r="489" spans="6:10" x14ac:dyDescent="0.2">
      <c r="F489" t="str">
        <f t="shared" ca="1" si="31"/>
        <v/>
      </c>
      <c r="G489">
        <f t="shared" ca="1" si="32"/>
        <v>0</v>
      </c>
      <c r="I489" t="str">
        <f t="shared" ref="I489:I552" ca="1" si="33">IFERROR(MATCH(OFFSET($A$1,ROW()-1,0,1,1),A:A,0),"")</f>
        <v/>
      </c>
      <c r="J489" t="str">
        <f t="shared" ref="J489:J552" ca="1" si="34">IFERROR(MATCH(OFFSET($A$1,ROW()-1,0,1,1),A:A,1)-I489+1,"")</f>
        <v/>
      </c>
    </row>
    <row r="490" spans="6:10" x14ac:dyDescent="0.2">
      <c r="F490" t="str">
        <f t="shared" ca="1" si="31"/>
        <v/>
      </c>
      <c r="G490">
        <f t="shared" ca="1" si="32"/>
        <v>0</v>
      </c>
      <c r="I490" t="str">
        <f t="shared" ca="1" si="33"/>
        <v/>
      </c>
      <c r="J490" t="str">
        <f t="shared" ca="1" si="34"/>
        <v/>
      </c>
    </row>
    <row r="491" spans="6:10" x14ac:dyDescent="0.2">
      <c r="F491" t="str">
        <f t="shared" ca="1" si="31"/>
        <v/>
      </c>
      <c r="G491">
        <f t="shared" ca="1" si="32"/>
        <v>0</v>
      </c>
      <c r="I491" t="str">
        <f t="shared" ca="1" si="33"/>
        <v/>
      </c>
      <c r="J491" t="str">
        <f t="shared" ca="1" si="34"/>
        <v/>
      </c>
    </row>
    <row r="492" spans="6:10" x14ac:dyDescent="0.2">
      <c r="F492" t="str">
        <f t="shared" ca="1" si="31"/>
        <v/>
      </c>
      <c r="G492">
        <f t="shared" ca="1" si="32"/>
        <v>0</v>
      </c>
      <c r="I492" t="str">
        <f t="shared" ca="1" si="33"/>
        <v/>
      </c>
      <c r="J492" t="str">
        <f t="shared" ca="1" si="34"/>
        <v/>
      </c>
    </row>
    <row r="493" spans="6:10" x14ac:dyDescent="0.2">
      <c r="F493" t="str">
        <f t="shared" ca="1" si="31"/>
        <v/>
      </c>
      <c r="G493">
        <f t="shared" ca="1" si="32"/>
        <v>0</v>
      </c>
      <c r="I493" t="str">
        <f t="shared" ca="1" si="33"/>
        <v/>
      </c>
      <c r="J493" t="str">
        <f t="shared" ca="1" si="34"/>
        <v/>
      </c>
    </row>
    <row r="494" spans="6:10" x14ac:dyDescent="0.2">
      <c r="F494" t="str">
        <f t="shared" ca="1" si="31"/>
        <v/>
      </c>
      <c r="G494">
        <f t="shared" ca="1" si="32"/>
        <v>0</v>
      </c>
      <c r="I494" t="str">
        <f t="shared" ca="1" si="33"/>
        <v/>
      </c>
      <c r="J494" t="str">
        <f t="shared" ca="1" si="34"/>
        <v/>
      </c>
    </row>
    <row r="495" spans="6:10" x14ac:dyDescent="0.2">
      <c r="F495" t="str">
        <f t="shared" ca="1" si="31"/>
        <v/>
      </c>
      <c r="G495">
        <f t="shared" ca="1" si="32"/>
        <v>0</v>
      </c>
      <c r="I495" t="str">
        <f t="shared" ca="1" si="33"/>
        <v/>
      </c>
      <c r="J495" t="str">
        <f t="shared" ca="1" si="34"/>
        <v/>
      </c>
    </row>
    <row r="496" spans="6:10" x14ac:dyDescent="0.2">
      <c r="F496" t="str">
        <f t="shared" ca="1" si="31"/>
        <v/>
      </c>
      <c r="G496">
        <f t="shared" ca="1" si="32"/>
        <v>0</v>
      </c>
      <c r="I496" t="str">
        <f t="shared" ca="1" si="33"/>
        <v/>
      </c>
      <c r="J496" t="str">
        <f t="shared" ca="1" si="34"/>
        <v/>
      </c>
    </row>
    <row r="497" spans="6:10" x14ac:dyDescent="0.2">
      <c r="F497" t="str">
        <f t="shared" ca="1" si="31"/>
        <v/>
      </c>
      <c r="G497">
        <f t="shared" ca="1" si="32"/>
        <v>0</v>
      </c>
      <c r="I497" t="str">
        <f t="shared" ca="1" si="33"/>
        <v/>
      </c>
      <c r="J497" t="str">
        <f t="shared" ca="1" si="34"/>
        <v/>
      </c>
    </row>
    <row r="498" spans="6:10" x14ac:dyDescent="0.2">
      <c r="F498" t="str">
        <f t="shared" ca="1" si="31"/>
        <v/>
      </c>
      <c r="G498">
        <f t="shared" ca="1" si="32"/>
        <v>0</v>
      </c>
      <c r="I498" t="str">
        <f t="shared" ca="1" si="33"/>
        <v/>
      </c>
      <c r="J498" t="str">
        <f t="shared" ca="1" si="34"/>
        <v/>
      </c>
    </row>
    <row r="499" spans="6:10" x14ac:dyDescent="0.2">
      <c r="F499" t="str">
        <f t="shared" ca="1" si="31"/>
        <v/>
      </c>
      <c r="G499">
        <f t="shared" ca="1" si="32"/>
        <v>0</v>
      </c>
      <c r="I499" t="str">
        <f t="shared" ca="1" si="33"/>
        <v/>
      </c>
      <c r="J499" t="str">
        <f t="shared" ca="1" si="34"/>
        <v/>
      </c>
    </row>
    <row r="500" spans="6:10" x14ac:dyDescent="0.2">
      <c r="F500" t="str">
        <f t="shared" ca="1" si="31"/>
        <v/>
      </c>
      <c r="G500">
        <f t="shared" ca="1" si="32"/>
        <v>0</v>
      </c>
      <c r="I500" t="str">
        <f t="shared" ca="1" si="33"/>
        <v/>
      </c>
      <c r="J500" t="str">
        <f t="shared" ca="1" si="34"/>
        <v/>
      </c>
    </row>
    <row r="501" spans="6:10" x14ac:dyDescent="0.2">
      <c r="F501" t="str">
        <f t="shared" ca="1" si="31"/>
        <v/>
      </c>
      <c r="G501">
        <f t="shared" ca="1" si="32"/>
        <v>0</v>
      </c>
      <c r="I501" t="str">
        <f t="shared" ca="1" si="33"/>
        <v/>
      </c>
      <c r="J501" t="str">
        <f t="shared" ca="1" si="34"/>
        <v/>
      </c>
    </row>
    <row r="502" spans="6:10" x14ac:dyDescent="0.2">
      <c r="F502" t="str">
        <f t="shared" ca="1" si="31"/>
        <v/>
      </c>
      <c r="G502">
        <f t="shared" ca="1" si="32"/>
        <v>0</v>
      </c>
      <c r="I502" t="str">
        <f t="shared" ca="1" si="33"/>
        <v/>
      </c>
      <c r="J502" t="str">
        <f t="shared" ca="1" si="34"/>
        <v/>
      </c>
    </row>
    <row r="503" spans="6:10" x14ac:dyDescent="0.2">
      <c r="F503" t="str">
        <f t="shared" ca="1" si="31"/>
        <v/>
      </c>
      <c r="G503">
        <f t="shared" ca="1" si="32"/>
        <v>0</v>
      </c>
      <c r="I503" t="str">
        <f t="shared" ca="1" si="33"/>
        <v/>
      </c>
      <c r="J503" t="str">
        <f t="shared" ca="1" si="34"/>
        <v/>
      </c>
    </row>
    <row r="504" spans="6:10" x14ac:dyDescent="0.2">
      <c r="F504" t="str">
        <f t="shared" ca="1" si="31"/>
        <v/>
      </c>
      <c r="G504">
        <f t="shared" ca="1" si="32"/>
        <v>0</v>
      </c>
      <c r="I504" t="str">
        <f t="shared" ca="1" si="33"/>
        <v/>
      </c>
      <c r="J504" t="str">
        <f t="shared" ca="1" si="34"/>
        <v/>
      </c>
    </row>
    <row r="505" spans="6:10" x14ac:dyDescent="0.2">
      <c r="F505" t="str">
        <f t="shared" ca="1" si="31"/>
        <v/>
      </c>
      <c r="G505">
        <f t="shared" ca="1" si="32"/>
        <v>0</v>
      </c>
      <c r="I505" t="str">
        <f t="shared" ca="1" si="33"/>
        <v/>
      </c>
      <c r="J505" t="str">
        <f t="shared" ca="1" si="34"/>
        <v/>
      </c>
    </row>
    <row r="506" spans="6:10" x14ac:dyDescent="0.2">
      <c r="F506" t="str">
        <f t="shared" ca="1" si="31"/>
        <v/>
      </c>
      <c r="G506">
        <f t="shared" ca="1" si="32"/>
        <v>0</v>
      </c>
      <c r="I506" t="str">
        <f t="shared" ca="1" si="33"/>
        <v/>
      </c>
      <c r="J506" t="str">
        <f t="shared" ca="1" si="34"/>
        <v/>
      </c>
    </row>
    <row r="507" spans="6:10" x14ac:dyDescent="0.2">
      <c r="F507" t="str">
        <f t="shared" ca="1" si="31"/>
        <v/>
      </c>
      <c r="G507">
        <f t="shared" ca="1" si="32"/>
        <v>0</v>
      </c>
      <c r="I507" t="str">
        <f t="shared" ca="1" si="33"/>
        <v/>
      </c>
      <c r="J507" t="str">
        <f t="shared" ca="1" si="34"/>
        <v/>
      </c>
    </row>
    <row r="508" spans="6:10" x14ac:dyDescent="0.2">
      <c r="F508" t="str">
        <f t="shared" ca="1" si="31"/>
        <v/>
      </c>
      <c r="G508">
        <f t="shared" ca="1" si="32"/>
        <v>0</v>
      </c>
      <c r="I508" t="str">
        <f t="shared" ca="1" si="33"/>
        <v/>
      </c>
      <c r="J508" t="str">
        <f t="shared" ca="1" si="34"/>
        <v/>
      </c>
    </row>
    <row r="509" spans="6:10" x14ac:dyDescent="0.2">
      <c r="F509" t="str">
        <f t="shared" ca="1" si="31"/>
        <v/>
      </c>
      <c r="G509">
        <f t="shared" ca="1" si="32"/>
        <v>0</v>
      </c>
      <c r="I509" t="str">
        <f t="shared" ca="1" si="33"/>
        <v/>
      </c>
      <c r="J509" t="str">
        <f t="shared" ca="1" si="34"/>
        <v/>
      </c>
    </row>
    <row r="510" spans="6:10" x14ac:dyDescent="0.2">
      <c r="F510" t="str">
        <f t="shared" ca="1" si="31"/>
        <v/>
      </c>
      <c r="G510">
        <f t="shared" ca="1" si="32"/>
        <v>0</v>
      </c>
      <c r="I510" t="str">
        <f t="shared" ca="1" si="33"/>
        <v/>
      </c>
      <c r="J510" t="str">
        <f t="shared" ca="1" si="34"/>
        <v/>
      </c>
    </row>
    <row r="511" spans="6:10" x14ac:dyDescent="0.2">
      <c r="F511" t="str">
        <f t="shared" ca="1" si="31"/>
        <v/>
      </c>
      <c r="G511">
        <f t="shared" ca="1" si="32"/>
        <v>0</v>
      </c>
      <c r="I511" t="str">
        <f t="shared" ca="1" si="33"/>
        <v/>
      </c>
      <c r="J511" t="str">
        <f t="shared" ca="1" si="34"/>
        <v/>
      </c>
    </row>
    <row r="512" spans="6:10" x14ac:dyDescent="0.2">
      <c r="F512" t="str">
        <f t="shared" ca="1" si="31"/>
        <v/>
      </c>
      <c r="G512">
        <f t="shared" ca="1" si="32"/>
        <v>0</v>
      </c>
      <c r="I512" t="str">
        <f t="shared" ca="1" si="33"/>
        <v/>
      </c>
      <c r="J512" t="str">
        <f t="shared" ca="1" si="34"/>
        <v/>
      </c>
    </row>
    <row r="513" spans="6:10" x14ac:dyDescent="0.2">
      <c r="F513" t="str">
        <f t="shared" ca="1" si="31"/>
        <v/>
      </c>
      <c r="G513">
        <f t="shared" ca="1" si="32"/>
        <v>0</v>
      </c>
      <c r="I513" t="str">
        <f t="shared" ca="1" si="33"/>
        <v/>
      </c>
      <c r="J513" t="str">
        <f t="shared" ca="1" si="34"/>
        <v/>
      </c>
    </row>
    <row r="514" spans="6:10" x14ac:dyDescent="0.2">
      <c r="F514" t="str">
        <f t="shared" ref="F514:F557" ca="1" si="35">IFERROR(MATCH(OFFSET($A$1,ROW()-1,0,1,1),A:A,0),"")</f>
        <v/>
      </c>
      <c r="G514">
        <f t="shared" ref="G514:G557" ca="1" si="36">COUNTIF(A:A,OFFSET($A$1,ROW()-1,0))</f>
        <v>0</v>
      </c>
      <c r="I514" t="str">
        <f t="shared" ca="1" si="33"/>
        <v/>
      </c>
      <c r="J514" t="str">
        <f t="shared" ca="1" si="34"/>
        <v/>
      </c>
    </row>
    <row r="515" spans="6:10" x14ac:dyDescent="0.2">
      <c r="F515" t="str">
        <f t="shared" ca="1" si="35"/>
        <v/>
      </c>
      <c r="G515">
        <f t="shared" ca="1" si="36"/>
        <v>0</v>
      </c>
      <c r="I515" t="str">
        <f t="shared" ca="1" si="33"/>
        <v/>
      </c>
      <c r="J515" t="str">
        <f t="shared" ca="1" si="34"/>
        <v/>
      </c>
    </row>
    <row r="516" spans="6:10" x14ac:dyDescent="0.2">
      <c r="F516" t="str">
        <f t="shared" ca="1" si="35"/>
        <v/>
      </c>
      <c r="G516">
        <f t="shared" ca="1" si="36"/>
        <v>0</v>
      </c>
      <c r="I516" t="str">
        <f t="shared" ca="1" si="33"/>
        <v/>
      </c>
      <c r="J516" t="str">
        <f t="shared" ca="1" si="34"/>
        <v/>
      </c>
    </row>
    <row r="517" spans="6:10" x14ac:dyDescent="0.2">
      <c r="F517" t="str">
        <f t="shared" ca="1" si="35"/>
        <v/>
      </c>
      <c r="G517">
        <f t="shared" ca="1" si="36"/>
        <v>0</v>
      </c>
      <c r="I517" t="str">
        <f t="shared" ca="1" si="33"/>
        <v/>
      </c>
      <c r="J517" t="str">
        <f t="shared" ca="1" si="34"/>
        <v/>
      </c>
    </row>
    <row r="518" spans="6:10" x14ac:dyDescent="0.2">
      <c r="F518" t="str">
        <f t="shared" ca="1" si="35"/>
        <v/>
      </c>
      <c r="G518">
        <f t="shared" ca="1" si="36"/>
        <v>0</v>
      </c>
      <c r="I518" t="str">
        <f t="shared" ca="1" si="33"/>
        <v/>
      </c>
      <c r="J518" t="str">
        <f t="shared" ca="1" si="34"/>
        <v/>
      </c>
    </row>
    <row r="519" spans="6:10" x14ac:dyDescent="0.2">
      <c r="F519" t="str">
        <f t="shared" ca="1" si="35"/>
        <v/>
      </c>
      <c r="G519">
        <f t="shared" ca="1" si="36"/>
        <v>0</v>
      </c>
      <c r="I519" t="str">
        <f t="shared" ca="1" si="33"/>
        <v/>
      </c>
      <c r="J519" t="str">
        <f t="shared" ca="1" si="34"/>
        <v/>
      </c>
    </row>
    <row r="520" spans="6:10" x14ac:dyDescent="0.2">
      <c r="F520" t="str">
        <f t="shared" ca="1" si="35"/>
        <v/>
      </c>
      <c r="G520">
        <f t="shared" ca="1" si="36"/>
        <v>0</v>
      </c>
      <c r="I520" t="str">
        <f t="shared" ca="1" si="33"/>
        <v/>
      </c>
      <c r="J520" t="str">
        <f t="shared" ca="1" si="34"/>
        <v/>
      </c>
    </row>
    <row r="521" spans="6:10" x14ac:dyDescent="0.2">
      <c r="F521" t="str">
        <f t="shared" ca="1" si="35"/>
        <v/>
      </c>
      <c r="G521">
        <f t="shared" ca="1" si="36"/>
        <v>0</v>
      </c>
      <c r="I521" t="str">
        <f t="shared" ca="1" si="33"/>
        <v/>
      </c>
      <c r="J521" t="str">
        <f t="shared" ca="1" si="34"/>
        <v/>
      </c>
    </row>
    <row r="522" spans="6:10" x14ac:dyDescent="0.2">
      <c r="F522" t="str">
        <f t="shared" ca="1" si="35"/>
        <v/>
      </c>
      <c r="G522">
        <f t="shared" ca="1" si="36"/>
        <v>0</v>
      </c>
      <c r="I522" t="str">
        <f t="shared" ca="1" si="33"/>
        <v/>
      </c>
      <c r="J522" t="str">
        <f t="shared" ca="1" si="34"/>
        <v/>
      </c>
    </row>
    <row r="523" spans="6:10" x14ac:dyDescent="0.2">
      <c r="F523" t="str">
        <f t="shared" ca="1" si="35"/>
        <v/>
      </c>
      <c r="G523">
        <f t="shared" ca="1" si="36"/>
        <v>0</v>
      </c>
      <c r="I523" t="str">
        <f t="shared" ca="1" si="33"/>
        <v/>
      </c>
      <c r="J523" t="str">
        <f t="shared" ca="1" si="34"/>
        <v/>
      </c>
    </row>
    <row r="524" spans="6:10" x14ac:dyDescent="0.2">
      <c r="F524" t="str">
        <f t="shared" ca="1" si="35"/>
        <v/>
      </c>
      <c r="G524">
        <f t="shared" ca="1" si="36"/>
        <v>0</v>
      </c>
      <c r="I524" t="str">
        <f t="shared" ca="1" si="33"/>
        <v/>
      </c>
      <c r="J524" t="str">
        <f t="shared" ca="1" si="34"/>
        <v/>
      </c>
    </row>
    <row r="525" spans="6:10" x14ac:dyDescent="0.2">
      <c r="F525" t="str">
        <f t="shared" ca="1" si="35"/>
        <v/>
      </c>
      <c r="G525">
        <f t="shared" ca="1" si="36"/>
        <v>0</v>
      </c>
      <c r="I525" t="str">
        <f t="shared" ca="1" si="33"/>
        <v/>
      </c>
      <c r="J525" t="str">
        <f t="shared" ca="1" si="34"/>
        <v/>
      </c>
    </row>
    <row r="526" spans="6:10" x14ac:dyDescent="0.2">
      <c r="F526" t="str">
        <f t="shared" ca="1" si="35"/>
        <v/>
      </c>
      <c r="G526">
        <f t="shared" ca="1" si="36"/>
        <v>0</v>
      </c>
      <c r="I526" t="str">
        <f t="shared" ca="1" si="33"/>
        <v/>
      </c>
      <c r="J526" t="str">
        <f t="shared" ca="1" si="34"/>
        <v/>
      </c>
    </row>
    <row r="527" spans="6:10" x14ac:dyDescent="0.2">
      <c r="F527" t="str">
        <f t="shared" ca="1" si="35"/>
        <v/>
      </c>
      <c r="G527">
        <f t="shared" ca="1" si="36"/>
        <v>0</v>
      </c>
      <c r="I527" t="str">
        <f t="shared" ca="1" si="33"/>
        <v/>
      </c>
      <c r="J527" t="str">
        <f t="shared" ca="1" si="34"/>
        <v/>
      </c>
    </row>
    <row r="528" spans="6:10" x14ac:dyDescent="0.2">
      <c r="F528" t="str">
        <f t="shared" ca="1" si="35"/>
        <v/>
      </c>
      <c r="G528">
        <f t="shared" ca="1" si="36"/>
        <v>0</v>
      </c>
      <c r="I528" t="str">
        <f t="shared" ca="1" si="33"/>
        <v/>
      </c>
      <c r="J528" t="str">
        <f t="shared" ca="1" si="34"/>
        <v/>
      </c>
    </row>
    <row r="529" spans="6:10" x14ac:dyDescent="0.2">
      <c r="F529" t="str">
        <f t="shared" ca="1" si="35"/>
        <v/>
      </c>
      <c r="G529">
        <f t="shared" ca="1" si="36"/>
        <v>0</v>
      </c>
      <c r="I529" t="str">
        <f t="shared" ca="1" si="33"/>
        <v/>
      </c>
      <c r="J529" t="str">
        <f t="shared" ca="1" si="34"/>
        <v/>
      </c>
    </row>
    <row r="530" spans="6:10" x14ac:dyDescent="0.2">
      <c r="F530" t="str">
        <f t="shared" ca="1" si="35"/>
        <v/>
      </c>
      <c r="G530">
        <f t="shared" ca="1" si="36"/>
        <v>0</v>
      </c>
      <c r="I530" t="str">
        <f t="shared" ca="1" si="33"/>
        <v/>
      </c>
      <c r="J530" t="str">
        <f t="shared" ca="1" si="34"/>
        <v/>
      </c>
    </row>
    <row r="531" spans="6:10" x14ac:dyDescent="0.2">
      <c r="F531" t="str">
        <f t="shared" ca="1" si="35"/>
        <v/>
      </c>
      <c r="G531">
        <f t="shared" ca="1" si="36"/>
        <v>0</v>
      </c>
      <c r="I531" t="str">
        <f t="shared" ca="1" si="33"/>
        <v/>
      </c>
      <c r="J531" t="str">
        <f t="shared" ca="1" si="34"/>
        <v/>
      </c>
    </row>
    <row r="532" spans="6:10" x14ac:dyDescent="0.2">
      <c r="F532" t="str">
        <f t="shared" ca="1" si="35"/>
        <v/>
      </c>
      <c r="G532">
        <f t="shared" ca="1" si="36"/>
        <v>0</v>
      </c>
      <c r="I532" t="str">
        <f t="shared" ca="1" si="33"/>
        <v/>
      </c>
      <c r="J532" t="str">
        <f t="shared" ca="1" si="34"/>
        <v/>
      </c>
    </row>
    <row r="533" spans="6:10" x14ac:dyDescent="0.2">
      <c r="F533" t="str">
        <f t="shared" ca="1" si="35"/>
        <v/>
      </c>
      <c r="G533">
        <f t="shared" ca="1" si="36"/>
        <v>0</v>
      </c>
      <c r="I533" t="str">
        <f t="shared" ca="1" si="33"/>
        <v/>
      </c>
      <c r="J533" t="str">
        <f t="shared" ca="1" si="34"/>
        <v/>
      </c>
    </row>
    <row r="534" spans="6:10" x14ac:dyDescent="0.2">
      <c r="F534" t="str">
        <f t="shared" ca="1" si="35"/>
        <v/>
      </c>
      <c r="G534">
        <f t="shared" ca="1" si="36"/>
        <v>0</v>
      </c>
      <c r="I534" t="str">
        <f t="shared" ca="1" si="33"/>
        <v/>
      </c>
      <c r="J534" t="str">
        <f t="shared" ca="1" si="34"/>
        <v/>
      </c>
    </row>
    <row r="535" spans="6:10" x14ac:dyDescent="0.2">
      <c r="F535" t="str">
        <f t="shared" ca="1" si="35"/>
        <v/>
      </c>
      <c r="G535">
        <f t="shared" ca="1" si="36"/>
        <v>0</v>
      </c>
      <c r="I535" t="str">
        <f t="shared" ca="1" si="33"/>
        <v/>
      </c>
      <c r="J535" t="str">
        <f t="shared" ca="1" si="34"/>
        <v/>
      </c>
    </row>
    <row r="536" spans="6:10" x14ac:dyDescent="0.2">
      <c r="F536" t="str">
        <f t="shared" ca="1" si="35"/>
        <v/>
      </c>
      <c r="G536">
        <f t="shared" ca="1" si="36"/>
        <v>0</v>
      </c>
      <c r="I536" t="str">
        <f t="shared" ca="1" si="33"/>
        <v/>
      </c>
      <c r="J536" t="str">
        <f t="shared" ca="1" si="34"/>
        <v/>
      </c>
    </row>
    <row r="537" spans="6:10" x14ac:dyDescent="0.2">
      <c r="F537" t="str">
        <f t="shared" ca="1" si="35"/>
        <v/>
      </c>
      <c r="G537">
        <f t="shared" ca="1" si="36"/>
        <v>0</v>
      </c>
      <c r="I537" t="str">
        <f t="shared" ca="1" si="33"/>
        <v/>
      </c>
      <c r="J537" t="str">
        <f t="shared" ca="1" si="34"/>
        <v/>
      </c>
    </row>
    <row r="538" spans="6:10" x14ac:dyDescent="0.2">
      <c r="F538" t="str">
        <f t="shared" ca="1" si="35"/>
        <v/>
      </c>
      <c r="G538">
        <f t="shared" ca="1" si="36"/>
        <v>0</v>
      </c>
      <c r="I538" t="str">
        <f t="shared" ca="1" si="33"/>
        <v/>
      </c>
      <c r="J538" t="str">
        <f t="shared" ca="1" si="34"/>
        <v/>
      </c>
    </row>
    <row r="539" spans="6:10" x14ac:dyDescent="0.2">
      <c r="F539" t="str">
        <f t="shared" ca="1" si="35"/>
        <v/>
      </c>
      <c r="G539">
        <f t="shared" ca="1" si="36"/>
        <v>0</v>
      </c>
      <c r="I539" t="str">
        <f t="shared" ca="1" si="33"/>
        <v/>
      </c>
      <c r="J539" t="str">
        <f t="shared" ca="1" si="34"/>
        <v/>
      </c>
    </row>
    <row r="540" spans="6:10" x14ac:dyDescent="0.2">
      <c r="F540" t="str">
        <f t="shared" ca="1" si="35"/>
        <v/>
      </c>
      <c r="G540">
        <f t="shared" ca="1" si="36"/>
        <v>0</v>
      </c>
      <c r="I540" t="str">
        <f t="shared" ca="1" si="33"/>
        <v/>
      </c>
      <c r="J540" t="str">
        <f t="shared" ca="1" si="34"/>
        <v/>
      </c>
    </row>
    <row r="541" spans="6:10" x14ac:dyDescent="0.2">
      <c r="F541" t="str">
        <f t="shared" ca="1" si="35"/>
        <v/>
      </c>
      <c r="G541">
        <f t="shared" ca="1" si="36"/>
        <v>0</v>
      </c>
      <c r="I541" t="str">
        <f t="shared" ca="1" si="33"/>
        <v/>
      </c>
      <c r="J541" t="str">
        <f t="shared" ca="1" si="34"/>
        <v/>
      </c>
    </row>
    <row r="542" spans="6:10" x14ac:dyDescent="0.2">
      <c r="F542" t="str">
        <f t="shared" ca="1" si="35"/>
        <v/>
      </c>
      <c r="G542">
        <f t="shared" ca="1" si="36"/>
        <v>0</v>
      </c>
      <c r="I542" t="str">
        <f t="shared" ca="1" si="33"/>
        <v/>
      </c>
      <c r="J542" t="str">
        <f t="shared" ca="1" si="34"/>
        <v/>
      </c>
    </row>
    <row r="543" spans="6:10" x14ac:dyDescent="0.2">
      <c r="F543" t="str">
        <f t="shared" ca="1" si="35"/>
        <v/>
      </c>
      <c r="G543">
        <f t="shared" ca="1" si="36"/>
        <v>0</v>
      </c>
      <c r="I543" t="str">
        <f t="shared" ca="1" si="33"/>
        <v/>
      </c>
      <c r="J543" t="str">
        <f t="shared" ca="1" si="34"/>
        <v/>
      </c>
    </row>
    <row r="544" spans="6:10" x14ac:dyDescent="0.2">
      <c r="F544" t="str">
        <f t="shared" ca="1" si="35"/>
        <v/>
      </c>
      <c r="G544">
        <f t="shared" ca="1" si="36"/>
        <v>0</v>
      </c>
      <c r="I544" t="str">
        <f t="shared" ca="1" si="33"/>
        <v/>
      </c>
      <c r="J544" t="str">
        <f t="shared" ca="1" si="34"/>
        <v/>
      </c>
    </row>
    <row r="545" spans="6:10" x14ac:dyDescent="0.2">
      <c r="F545" t="str">
        <f t="shared" ca="1" si="35"/>
        <v/>
      </c>
      <c r="G545">
        <f t="shared" ca="1" si="36"/>
        <v>0</v>
      </c>
      <c r="I545" t="str">
        <f t="shared" ca="1" si="33"/>
        <v/>
      </c>
      <c r="J545" t="str">
        <f t="shared" ca="1" si="34"/>
        <v/>
      </c>
    </row>
    <row r="546" spans="6:10" x14ac:dyDescent="0.2">
      <c r="F546" t="str">
        <f t="shared" ca="1" si="35"/>
        <v/>
      </c>
      <c r="G546">
        <f t="shared" ca="1" si="36"/>
        <v>0</v>
      </c>
      <c r="I546" t="str">
        <f t="shared" ca="1" si="33"/>
        <v/>
      </c>
      <c r="J546" t="str">
        <f t="shared" ca="1" si="34"/>
        <v/>
      </c>
    </row>
    <row r="547" spans="6:10" x14ac:dyDescent="0.2">
      <c r="F547" t="str">
        <f t="shared" ca="1" si="35"/>
        <v/>
      </c>
      <c r="G547">
        <f t="shared" ca="1" si="36"/>
        <v>0</v>
      </c>
      <c r="I547" t="str">
        <f t="shared" ca="1" si="33"/>
        <v/>
      </c>
      <c r="J547" t="str">
        <f t="shared" ca="1" si="34"/>
        <v/>
      </c>
    </row>
    <row r="548" spans="6:10" x14ac:dyDescent="0.2">
      <c r="F548" t="str">
        <f t="shared" ca="1" si="35"/>
        <v/>
      </c>
      <c r="G548">
        <f t="shared" ca="1" si="36"/>
        <v>0</v>
      </c>
      <c r="I548" t="str">
        <f t="shared" ca="1" si="33"/>
        <v/>
      </c>
      <c r="J548" t="str">
        <f t="shared" ca="1" si="34"/>
        <v/>
      </c>
    </row>
    <row r="549" spans="6:10" x14ac:dyDescent="0.2">
      <c r="F549" t="str">
        <f t="shared" ca="1" si="35"/>
        <v/>
      </c>
      <c r="G549">
        <f t="shared" ca="1" si="36"/>
        <v>0</v>
      </c>
      <c r="I549" t="str">
        <f t="shared" ca="1" si="33"/>
        <v/>
      </c>
      <c r="J549" t="str">
        <f t="shared" ca="1" si="34"/>
        <v/>
      </c>
    </row>
    <row r="550" spans="6:10" x14ac:dyDescent="0.2">
      <c r="F550" t="str">
        <f t="shared" ca="1" si="35"/>
        <v/>
      </c>
      <c r="G550">
        <f t="shared" ca="1" si="36"/>
        <v>0</v>
      </c>
      <c r="I550" t="str">
        <f t="shared" ca="1" si="33"/>
        <v/>
      </c>
      <c r="J550" t="str">
        <f t="shared" ca="1" si="34"/>
        <v/>
      </c>
    </row>
    <row r="551" spans="6:10" x14ac:dyDescent="0.2">
      <c r="F551" t="str">
        <f t="shared" ca="1" si="35"/>
        <v/>
      </c>
      <c r="G551">
        <f t="shared" ca="1" si="36"/>
        <v>0</v>
      </c>
      <c r="I551" t="str">
        <f t="shared" ca="1" si="33"/>
        <v/>
      </c>
      <c r="J551" t="str">
        <f t="shared" ca="1" si="34"/>
        <v/>
      </c>
    </row>
    <row r="552" spans="6:10" x14ac:dyDescent="0.2">
      <c r="F552" t="str">
        <f t="shared" ca="1" si="35"/>
        <v/>
      </c>
      <c r="G552">
        <f t="shared" ca="1" si="36"/>
        <v>0</v>
      </c>
      <c r="I552" t="str">
        <f t="shared" ca="1" si="33"/>
        <v/>
      </c>
      <c r="J552" t="str">
        <f t="shared" ca="1" si="34"/>
        <v/>
      </c>
    </row>
    <row r="553" spans="6:10" x14ac:dyDescent="0.2">
      <c r="F553" t="str">
        <f t="shared" ca="1" si="35"/>
        <v/>
      </c>
      <c r="G553">
        <f t="shared" ca="1" si="36"/>
        <v>0</v>
      </c>
      <c r="I553" t="str">
        <f t="shared" ref="I553:I563" ca="1" si="37">IFERROR(MATCH(OFFSET($A$1,ROW()-1,0,1,1),A:A,0),"")</f>
        <v/>
      </c>
      <c r="J553" t="str">
        <f t="shared" ref="J553:J563" ca="1" si="38">IFERROR(MATCH(OFFSET($A$1,ROW()-1,0,1,1),A:A,1)-I553+1,"")</f>
        <v/>
      </c>
    </row>
    <row r="554" spans="6:10" x14ac:dyDescent="0.2">
      <c r="F554" t="str">
        <f t="shared" ca="1" si="35"/>
        <v/>
      </c>
      <c r="G554">
        <f t="shared" ca="1" si="36"/>
        <v>0</v>
      </c>
      <c r="I554" t="str">
        <f t="shared" ca="1" si="37"/>
        <v/>
      </c>
      <c r="J554" t="str">
        <f t="shared" ca="1" si="38"/>
        <v/>
      </c>
    </row>
    <row r="555" spans="6:10" x14ac:dyDescent="0.2">
      <c r="F555" t="str">
        <f t="shared" ca="1" si="35"/>
        <v/>
      </c>
      <c r="G555">
        <f t="shared" ca="1" si="36"/>
        <v>0</v>
      </c>
      <c r="I555" t="str">
        <f t="shared" ca="1" si="37"/>
        <v/>
      </c>
      <c r="J555" t="str">
        <f t="shared" ca="1" si="38"/>
        <v/>
      </c>
    </row>
    <row r="556" spans="6:10" x14ac:dyDescent="0.2">
      <c r="F556" t="str">
        <f t="shared" ca="1" si="35"/>
        <v/>
      </c>
      <c r="G556">
        <f t="shared" ca="1" si="36"/>
        <v>0</v>
      </c>
      <c r="I556" t="str">
        <f t="shared" ca="1" si="37"/>
        <v/>
      </c>
      <c r="J556" t="str">
        <f t="shared" ca="1" si="38"/>
        <v/>
      </c>
    </row>
    <row r="557" spans="6:10" x14ac:dyDescent="0.2">
      <c r="F557" t="str">
        <f t="shared" ca="1" si="35"/>
        <v/>
      </c>
      <c r="G557">
        <f t="shared" ca="1" si="36"/>
        <v>0</v>
      </c>
      <c r="I557" t="str">
        <f t="shared" ca="1" si="37"/>
        <v/>
      </c>
      <c r="J557" t="str">
        <f t="shared" ca="1" si="38"/>
        <v/>
      </c>
    </row>
    <row r="558" spans="6:10" x14ac:dyDescent="0.2">
      <c r="I558" t="str">
        <f t="shared" ca="1" si="37"/>
        <v/>
      </c>
      <c r="J558" t="str">
        <f t="shared" ca="1" si="38"/>
        <v/>
      </c>
    </row>
    <row r="559" spans="6:10" x14ac:dyDescent="0.2">
      <c r="I559" t="str">
        <f t="shared" ca="1" si="37"/>
        <v/>
      </c>
      <c r="J559" t="str">
        <f t="shared" ca="1" si="38"/>
        <v/>
      </c>
    </row>
    <row r="560" spans="6:10" x14ac:dyDescent="0.2">
      <c r="I560" t="str">
        <f t="shared" ca="1" si="37"/>
        <v/>
      </c>
      <c r="J560" t="str">
        <f t="shared" ca="1" si="38"/>
        <v/>
      </c>
    </row>
    <row r="561" spans="9:10" x14ac:dyDescent="0.2">
      <c r="I561" t="str">
        <f t="shared" ca="1" si="37"/>
        <v/>
      </c>
      <c r="J561" t="str">
        <f t="shared" ca="1" si="38"/>
        <v/>
      </c>
    </row>
    <row r="562" spans="9:10" x14ac:dyDescent="0.2">
      <c r="I562" t="str">
        <f t="shared" ca="1" si="37"/>
        <v/>
      </c>
      <c r="J562" t="str">
        <f t="shared" ca="1" si="38"/>
        <v/>
      </c>
    </row>
    <row r="563" spans="9:10" x14ac:dyDescent="0.2">
      <c r="I563" t="str">
        <f t="shared" ca="1" si="37"/>
        <v/>
      </c>
      <c r="J563" t="str">
        <f t="shared" ca="1" si="38"/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8212-05FF-4E05-B721-5A3DCCB9D2E7}">
  <sheetPr codeName="Sht_CoASchema"/>
  <dimension ref="A1:N563"/>
  <sheetViews>
    <sheetView topLeftCell="A367" workbookViewId="0">
      <selection activeCell="L245" sqref="L2:M428"/>
    </sheetView>
  </sheetViews>
  <sheetFormatPr defaultRowHeight="14.25" x14ac:dyDescent="0.2"/>
  <cols>
    <col min="1" max="1" width="41.25" bestFit="1" customWidth="1"/>
    <col min="2" max="2" width="20.75" bestFit="1" customWidth="1"/>
    <col min="3" max="3" width="26.5" bestFit="1" customWidth="1"/>
    <col min="4" max="4" width="19.75" bestFit="1" customWidth="1"/>
    <col min="5" max="5" width="27.75" bestFit="1" customWidth="1"/>
    <col min="6" max="6" width="38" bestFit="1" customWidth="1"/>
    <col min="7" max="7" width="30.75" bestFit="1" customWidth="1"/>
    <col min="8" max="8" width="20.875" bestFit="1" customWidth="1"/>
    <col min="9" max="9" width="29.375" bestFit="1" customWidth="1"/>
    <col min="10" max="10" width="47.875" bestFit="1" customWidth="1"/>
  </cols>
  <sheetData>
    <row r="1" spans="1:13" x14ac:dyDescent="0.2">
      <c r="A1" t="s">
        <v>0</v>
      </c>
      <c r="B1" t="s">
        <v>356</v>
      </c>
      <c r="C1" t="s">
        <v>357</v>
      </c>
      <c r="D1" t="s">
        <v>358</v>
      </c>
      <c r="E1" t="s">
        <v>359</v>
      </c>
      <c r="F1" t="s">
        <v>360</v>
      </c>
      <c r="G1" t="s">
        <v>248</v>
      </c>
      <c r="H1" t="s">
        <v>249</v>
      </c>
      <c r="I1" t="s">
        <v>250</v>
      </c>
    </row>
    <row r="2" spans="1:13" x14ac:dyDescent="0.2">
      <c r="A2" t="s">
        <v>1270</v>
      </c>
      <c r="B2" t="s">
        <v>379</v>
      </c>
      <c r="C2" t="s">
        <v>403</v>
      </c>
      <c r="D2" t="s">
        <v>1270</v>
      </c>
      <c r="E2" t="s">
        <v>1205</v>
      </c>
      <c r="F2" t="s">
        <v>1205</v>
      </c>
      <c r="G2" t="s">
        <v>1205</v>
      </c>
      <c r="H2" t="s">
        <v>252</v>
      </c>
      <c r="I2" t="s">
        <v>264</v>
      </c>
      <c r="L2" t="str">
        <f t="shared" ref="L2:L65" ca="1" si="0">IFERROR(MATCH(OFFSET($G$1,ROW()-1,0,1,1),A:A,0),"")</f>
        <v/>
      </c>
      <c r="M2" t="str">
        <f t="shared" ref="M2:M65" ca="1" si="1">IFERROR(MATCH(OFFSET($G$1,ROW()-1,0,1,1),A:A,1)-L2+1,"")</f>
        <v/>
      </c>
    </row>
    <row r="3" spans="1:13" x14ac:dyDescent="0.2">
      <c r="A3" t="s">
        <v>11</v>
      </c>
      <c r="B3" t="s">
        <v>361</v>
      </c>
      <c r="C3" t="s">
        <v>362</v>
      </c>
      <c r="D3" t="s">
        <v>130</v>
      </c>
      <c r="E3" t="s">
        <v>363</v>
      </c>
      <c r="F3" t="s">
        <v>364</v>
      </c>
      <c r="G3" t="s">
        <v>251</v>
      </c>
      <c r="H3" t="s">
        <v>252</v>
      </c>
      <c r="I3" t="s">
        <v>253</v>
      </c>
      <c r="L3" t="str">
        <f t="shared" ca="1" si="0"/>
        <v/>
      </c>
      <c r="M3" t="str">
        <f t="shared" ca="1" si="1"/>
        <v/>
      </c>
    </row>
    <row r="4" spans="1:13" x14ac:dyDescent="0.2">
      <c r="A4" t="s">
        <v>12</v>
      </c>
      <c r="B4" t="s">
        <v>365</v>
      </c>
      <c r="C4" t="s">
        <v>366</v>
      </c>
      <c r="D4" t="s">
        <v>130</v>
      </c>
      <c r="E4" t="s">
        <v>255</v>
      </c>
      <c r="F4" t="s">
        <v>367</v>
      </c>
      <c r="G4" t="s">
        <v>254</v>
      </c>
      <c r="H4" t="s">
        <v>252</v>
      </c>
      <c r="I4" t="s">
        <v>255</v>
      </c>
      <c r="L4" t="str">
        <f t="shared" ca="1" si="0"/>
        <v/>
      </c>
      <c r="M4" t="str">
        <f t="shared" ca="1" si="1"/>
        <v/>
      </c>
    </row>
    <row r="5" spans="1:13" x14ac:dyDescent="0.2">
      <c r="A5" t="s">
        <v>17</v>
      </c>
      <c r="B5" t="s">
        <v>312</v>
      </c>
      <c r="C5" t="s">
        <v>369</v>
      </c>
      <c r="D5" t="s">
        <v>130</v>
      </c>
      <c r="E5" t="s">
        <v>258</v>
      </c>
      <c r="F5" t="s">
        <v>258</v>
      </c>
      <c r="G5" t="s">
        <v>256</v>
      </c>
      <c r="H5" t="s">
        <v>257</v>
      </c>
      <c r="I5" t="s">
        <v>258</v>
      </c>
      <c r="L5" t="str">
        <f t="shared" ca="1" si="0"/>
        <v/>
      </c>
      <c r="M5" t="str">
        <f t="shared" ca="1" si="1"/>
        <v/>
      </c>
    </row>
    <row r="6" spans="1:13" x14ac:dyDescent="0.2">
      <c r="A6" t="s">
        <v>130</v>
      </c>
      <c r="B6" t="s">
        <v>312</v>
      </c>
      <c r="C6" t="s">
        <v>369</v>
      </c>
      <c r="D6" t="s">
        <v>130</v>
      </c>
      <c r="E6" t="s">
        <v>258</v>
      </c>
      <c r="F6" t="s">
        <v>258</v>
      </c>
      <c r="G6" t="s">
        <v>256</v>
      </c>
      <c r="H6" t="s">
        <v>257</v>
      </c>
      <c r="I6" t="s">
        <v>258</v>
      </c>
      <c r="L6" t="str">
        <f t="shared" ca="1" si="0"/>
        <v/>
      </c>
      <c r="M6" t="str">
        <f t="shared" ca="1" si="1"/>
        <v/>
      </c>
    </row>
    <row r="7" spans="1:13" x14ac:dyDescent="0.2">
      <c r="A7" t="s">
        <v>18</v>
      </c>
      <c r="B7" t="s">
        <v>370</v>
      </c>
      <c r="C7" t="s">
        <v>371</v>
      </c>
      <c r="D7" t="s">
        <v>130</v>
      </c>
      <c r="E7" t="s">
        <v>263</v>
      </c>
      <c r="F7" t="s">
        <v>372</v>
      </c>
      <c r="G7" t="s">
        <v>259</v>
      </c>
      <c r="H7" t="s">
        <v>252</v>
      </c>
      <c r="I7" t="s">
        <v>260</v>
      </c>
      <c r="L7" t="str">
        <f t="shared" ca="1" si="0"/>
        <v/>
      </c>
      <c r="M7" t="str">
        <f t="shared" ca="1" si="1"/>
        <v/>
      </c>
    </row>
    <row r="8" spans="1:13" x14ac:dyDescent="0.2">
      <c r="A8" t="s">
        <v>19</v>
      </c>
      <c r="B8" t="s">
        <v>370</v>
      </c>
      <c r="C8" t="s">
        <v>371</v>
      </c>
      <c r="D8" t="s">
        <v>130</v>
      </c>
      <c r="E8" t="s">
        <v>263</v>
      </c>
      <c r="F8" t="s">
        <v>372</v>
      </c>
      <c r="G8" t="s">
        <v>259</v>
      </c>
      <c r="H8" t="s">
        <v>252</v>
      </c>
      <c r="I8" t="s">
        <v>260</v>
      </c>
      <c r="L8" t="str">
        <f t="shared" ca="1" si="0"/>
        <v/>
      </c>
      <c r="M8" t="str">
        <f t="shared" ca="1" si="1"/>
        <v/>
      </c>
    </row>
    <row r="9" spans="1:13" x14ac:dyDescent="0.2">
      <c r="A9" t="s">
        <v>22</v>
      </c>
      <c r="B9" t="s">
        <v>373</v>
      </c>
      <c r="C9" t="s">
        <v>374</v>
      </c>
      <c r="D9" t="s">
        <v>130</v>
      </c>
      <c r="E9" t="s">
        <v>263</v>
      </c>
      <c r="F9" t="s">
        <v>372</v>
      </c>
      <c r="G9" t="s">
        <v>259</v>
      </c>
      <c r="H9" t="s">
        <v>252</v>
      </c>
      <c r="I9" t="s">
        <v>260</v>
      </c>
      <c r="L9" t="str">
        <f t="shared" ca="1" si="0"/>
        <v/>
      </c>
      <c r="M9" t="str">
        <f t="shared" ca="1" si="1"/>
        <v/>
      </c>
    </row>
    <row r="10" spans="1:13" x14ac:dyDescent="0.2">
      <c r="A10" t="s">
        <v>22</v>
      </c>
      <c r="B10" t="s">
        <v>370</v>
      </c>
      <c r="C10" t="s">
        <v>371</v>
      </c>
      <c r="D10" t="s">
        <v>130</v>
      </c>
      <c r="E10" t="s">
        <v>263</v>
      </c>
      <c r="F10" t="s">
        <v>372</v>
      </c>
      <c r="G10" t="s">
        <v>259</v>
      </c>
      <c r="H10" t="s">
        <v>252</v>
      </c>
      <c r="I10" t="s">
        <v>260</v>
      </c>
      <c r="L10" t="str">
        <f t="shared" ca="1" si="0"/>
        <v/>
      </c>
      <c r="M10" t="str">
        <f t="shared" ca="1" si="1"/>
        <v/>
      </c>
    </row>
    <row r="11" spans="1:13" x14ac:dyDescent="0.2">
      <c r="A11" t="s">
        <v>29</v>
      </c>
      <c r="B11" t="s">
        <v>373</v>
      </c>
      <c r="C11" t="s">
        <v>374</v>
      </c>
      <c r="D11" t="s">
        <v>130</v>
      </c>
      <c r="E11" t="s">
        <v>263</v>
      </c>
      <c r="F11" t="s">
        <v>375</v>
      </c>
      <c r="G11" t="s">
        <v>262</v>
      </c>
      <c r="H11" t="s">
        <v>252</v>
      </c>
      <c r="I11" t="s">
        <v>263</v>
      </c>
      <c r="L11" t="str">
        <f t="shared" ca="1" si="0"/>
        <v/>
      </c>
      <c r="M11" t="str">
        <f t="shared" ca="1" si="1"/>
        <v/>
      </c>
    </row>
    <row r="12" spans="1:13" x14ac:dyDescent="0.2">
      <c r="A12" t="s">
        <v>166</v>
      </c>
      <c r="B12" t="s">
        <v>373</v>
      </c>
      <c r="C12" t="s">
        <v>374</v>
      </c>
      <c r="D12" t="s">
        <v>376</v>
      </c>
      <c r="E12" t="s">
        <v>263</v>
      </c>
      <c r="F12" t="s">
        <v>375</v>
      </c>
      <c r="G12" t="s">
        <v>262</v>
      </c>
      <c r="H12" t="s">
        <v>252</v>
      </c>
      <c r="I12" t="s">
        <v>264</v>
      </c>
      <c r="L12" t="str">
        <f t="shared" ca="1" si="0"/>
        <v/>
      </c>
      <c r="M12" t="str">
        <f t="shared" ca="1" si="1"/>
        <v/>
      </c>
    </row>
    <row r="13" spans="1:13" x14ac:dyDescent="0.2">
      <c r="A13" t="s">
        <v>1165</v>
      </c>
      <c r="B13" t="s">
        <v>373</v>
      </c>
      <c r="C13" t="s">
        <v>461</v>
      </c>
      <c r="D13" t="s">
        <v>130</v>
      </c>
      <c r="E13" t="s">
        <v>377</v>
      </c>
      <c r="F13" t="s">
        <v>1166</v>
      </c>
      <c r="G13" t="s">
        <v>870</v>
      </c>
      <c r="H13" t="s">
        <v>261</v>
      </c>
      <c r="I13" t="s">
        <v>261</v>
      </c>
      <c r="L13" t="str">
        <f t="shared" ca="1" si="0"/>
        <v/>
      </c>
      <c r="M13" t="str">
        <f t="shared" ca="1" si="1"/>
        <v/>
      </c>
    </row>
    <row r="14" spans="1:13" x14ac:dyDescent="0.2">
      <c r="A14" t="s">
        <v>30</v>
      </c>
      <c r="B14" t="s">
        <v>365</v>
      </c>
      <c r="C14" t="s">
        <v>366</v>
      </c>
      <c r="D14" t="s">
        <v>130</v>
      </c>
      <c r="E14" t="s">
        <v>377</v>
      </c>
      <c r="F14" t="s">
        <v>378</v>
      </c>
      <c r="G14" t="s">
        <v>265</v>
      </c>
      <c r="H14" t="s">
        <v>261</v>
      </c>
      <c r="I14" t="s">
        <v>261</v>
      </c>
      <c r="L14" t="str">
        <f t="shared" ca="1" si="0"/>
        <v/>
      </c>
      <c r="M14" t="str">
        <f t="shared" ca="1" si="1"/>
        <v/>
      </c>
    </row>
    <row r="15" spans="1:13" x14ac:dyDescent="0.2">
      <c r="A15" t="s">
        <v>35</v>
      </c>
      <c r="B15" t="s">
        <v>379</v>
      </c>
      <c r="C15" t="s">
        <v>380</v>
      </c>
      <c r="D15" t="s">
        <v>130</v>
      </c>
      <c r="E15" t="s">
        <v>255</v>
      </c>
      <c r="F15" t="s">
        <v>381</v>
      </c>
      <c r="G15" t="s">
        <v>266</v>
      </c>
      <c r="H15" t="s">
        <v>252</v>
      </c>
      <c r="I15" t="s">
        <v>255</v>
      </c>
      <c r="L15" t="str">
        <f t="shared" ca="1" si="0"/>
        <v/>
      </c>
      <c r="M15" t="str">
        <f t="shared" ca="1" si="1"/>
        <v/>
      </c>
    </row>
    <row r="16" spans="1:13" x14ac:dyDescent="0.2">
      <c r="A16" t="s">
        <v>1167</v>
      </c>
      <c r="B16" t="s">
        <v>373</v>
      </c>
      <c r="C16" t="s">
        <v>461</v>
      </c>
      <c r="D16" t="s">
        <v>130</v>
      </c>
      <c r="E16" t="s">
        <v>377</v>
      </c>
      <c r="F16" t="s">
        <v>1166</v>
      </c>
      <c r="G16" t="s">
        <v>1149</v>
      </c>
      <c r="H16" t="s">
        <v>261</v>
      </c>
      <c r="I16" t="s">
        <v>261</v>
      </c>
      <c r="L16" t="str">
        <f t="shared" ca="1" si="0"/>
        <v/>
      </c>
      <c r="M16" t="str">
        <f t="shared" ca="1" si="1"/>
        <v/>
      </c>
    </row>
    <row r="17" spans="1:13" x14ac:dyDescent="0.2">
      <c r="A17" t="s">
        <v>1168</v>
      </c>
      <c r="B17" t="s">
        <v>373</v>
      </c>
      <c r="C17" t="s">
        <v>461</v>
      </c>
      <c r="D17" t="s">
        <v>130</v>
      </c>
      <c r="E17" t="s">
        <v>377</v>
      </c>
      <c r="F17" t="s">
        <v>1166</v>
      </c>
      <c r="G17" t="s">
        <v>1149</v>
      </c>
      <c r="H17" t="s">
        <v>261</v>
      </c>
      <c r="I17" t="s">
        <v>261</v>
      </c>
      <c r="L17" t="str">
        <f t="shared" ca="1" si="0"/>
        <v/>
      </c>
      <c r="M17" t="str">
        <f t="shared" ca="1" si="1"/>
        <v/>
      </c>
    </row>
    <row r="18" spans="1:13" x14ac:dyDescent="0.2">
      <c r="A18" t="s">
        <v>1169</v>
      </c>
      <c r="B18" t="s">
        <v>373</v>
      </c>
      <c r="C18" t="s">
        <v>461</v>
      </c>
      <c r="D18" t="s">
        <v>130</v>
      </c>
      <c r="E18" t="s">
        <v>377</v>
      </c>
      <c r="F18" t="s">
        <v>1166</v>
      </c>
      <c r="G18" t="s">
        <v>1149</v>
      </c>
      <c r="H18" t="s">
        <v>261</v>
      </c>
      <c r="I18" t="s">
        <v>261</v>
      </c>
      <c r="L18" t="str">
        <f t="shared" ca="1" si="0"/>
        <v/>
      </c>
      <c r="M18" t="str">
        <f t="shared" ca="1" si="1"/>
        <v/>
      </c>
    </row>
    <row r="19" spans="1:13" x14ac:dyDescent="0.2">
      <c r="A19" t="s">
        <v>41</v>
      </c>
      <c r="B19" t="s">
        <v>373</v>
      </c>
      <c r="C19" t="s">
        <v>374</v>
      </c>
      <c r="D19" t="s">
        <v>130</v>
      </c>
      <c r="E19" t="s">
        <v>263</v>
      </c>
      <c r="F19" t="s">
        <v>375</v>
      </c>
      <c r="G19" t="s">
        <v>267</v>
      </c>
      <c r="H19" t="s">
        <v>252</v>
      </c>
      <c r="I19" t="s">
        <v>263</v>
      </c>
      <c r="L19" t="str">
        <f t="shared" ca="1" si="0"/>
        <v/>
      </c>
      <c r="M19" t="str">
        <f t="shared" ca="1" si="1"/>
        <v/>
      </c>
    </row>
    <row r="20" spans="1:13" x14ac:dyDescent="0.2">
      <c r="A20" t="s">
        <v>42</v>
      </c>
      <c r="B20" t="s">
        <v>373</v>
      </c>
      <c r="C20" t="s">
        <v>382</v>
      </c>
      <c r="D20" t="s">
        <v>130</v>
      </c>
      <c r="E20" t="s">
        <v>263</v>
      </c>
      <c r="F20" t="s">
        <v>383</v>
      </c>
      <c r="G20" t="s">
        <v>268</v>
      </c>
      <c r="H20" t="s">
        <v>252</v>
      </c>
      <c r="I20" t="s">
        <v>263</v>
      </c>
      <c r="L20" t="str">
        <f t="shared" ca="1" si="0"/>
        <v/>
      </c>
      <c r="M20" t="str">
        <f t="shared" ca="1" si="1"/>
        <v/>
      </c>
    </row>
    <row r="21" spans="1:13" x14ac:dyDescent="0.2">
      <c r="A21" t="s">
        <v>42</v>
      </c>
      <c r="B21" t="s">
        <v>373</v>
      </c>
      <c r="C21" t="s">
        <v>374</v>
      </c>
      <c r="D21" t="s">
        <v>130</v>
      </c>
      <c r="E21" t="s">
        <v>263</v>
      </c>
      <c r="F21" t="s">
        <v>383</v>
      </c>
      <c r="G21" t="s">
        <v>268</v>
      </c>
      <c r="H21" t="s">
        <v>252</v>
      </c>
      <c r="I21" t="s">
        <v>263</v>
      </c>
      <c r="L21" t="str">
        <f t="shared" ca="1" si="0"/>
        <v/>
      </c>
      <c r="M21" t="str">
        <f t="shared" ca="1" si="1"/>
        <v/>
      </c>
    </row>
    <row r="22" spans="1:13" x14ac:dyDescent="0.2">
      <c r="A22" t="s">
        <v>79</v>
      </c>
      <c r="B22" t="s">
        <v>384</v>
      </c>
      <c r="C22" t="s">
        <v>385</v>
      </c>
      <c r="D22" t="s">
        <v>79</v>
      </c>
      <c r="E22" t="s">
        <v>263</v>
      </c>
      <c r="F22" t="s">
        <v>222</v>
      </c>
      <c r="G22" t="s">
        <v>269</v>
      </c>
      <c r="H22" t="s">
        <v>252</v>
      </c>
      <c r="I22" t="s">
        <v>263</v>
      </c>
      <c r="L22" t="str">
        <f t="shared" ca="1" si="0"/>
        <v/>
      </c>
      <c r="M22" t="str">
        <f t="shared" ca="1" si="1"/>
        <v/>
      </c>
    </row>
    <row r="23" spans="1:13" x14ac:dyDescent="0.2">
      <c r="A23" t="s">
        <v>224</v>
      </c>
      <c r="B23" t="s">
        <v>384</v>
      </c>
      <c r="C23" t="s">
        <v>385</v>
      </c>
      <c r="D23" t="s">
        <v>224</v>
      </c>
      <c r="E23" t="s">
        <v>263</v>
      </c>
      <c r="F23" t="s">
        <v>222</v>
      </c>
      <c r="G23" t="s">
        <v>269</v>
      </c>
      <c r="H23" t="s">
        <v>252</v>
      </c>
      <c r="I23" t="s">
        <v>263</v>
      </c>
      <c r="L23" t="str">
        <f t="shared" ca="1" si="0"/>
        <v/>
      </c>
      <c r="M23" t="str">
        <f t="shared" ca="1" si="1"/>
        <v/>
      </c>
    </row>
    <row r="24" spans="1:13" x14ac:dyDescent="0.2">
      <c r="A24" t="s">
        <v>225</v>
      </c>
      <c r="B24" t="s">
        <v>384</v>
      </c>
      <c r="C24" t="s">
        <v>385</v>
      </c>
      <c r="D24" t="s">
        <v>225</v>
      </c>
      <c r="E24" t="s">
        <v>263</v>
      </c>
      <c r="F24" t="s">
        <v>222</v>
      </c>
      <c r="G24" t="s">
        <v>269</v>
      </c>
      <c r="H24" t="s">
        <v>252</v>
      </c>
      <c r="I24" t="s">
        <v>263</v>
      </c>
      <c r="L24" t="str">
        <f t="shared" ca="1" si="0"/>
        <v/>
      </c>
      <c r="M24" t="str">
        <f t="shared" ca="1" si="1"/>
        <v/>
      </c>
    </row>
    <row r="25" spans="1:13" x14ac:dyDescent="0.2">
      <c r="A25" t="s">
        <v>224</v>
      </c>
      <c r="B25" t="s">
        <v>384</v>
      </c>
      <c r="C25" t="s">
        <v>385</v>
      </c>
      <c r="D25" t="s">
        <v>224</v>
      </c>
      <c r="E25" t="s">
        <v>263</v>
      </c>
      <c r="F25" t="s">
        <v>222</v>
      </c>
      <c r="G25" t="s">
        <v>270</v>
      </c>
      <c r="H25" t="s">
        <v>252</v>
      </c>
      <c r="I25" t="s">
        <v>263</v>
      </c>
      <c r="L25" t="str">
        <f t="shared" ca="1" si="0"/>
        <v/>
      </c>
      <c r="M25" t="str">
        <f t="shared" ca="1" si="1"/>
        <v/>
      </c>
    </row>
    <row r="26" spans="1:13" x14ac:dyDescent="0.2">
      <c r="A26" t="s">
        <v>44</v>
      </c>
      <c r="B26" t="s">
        <v>373</v>
      </c>
      <c r="C26" t="s">
        <v>374</v>
      </c>
      <c r="D26" t="s">
        <v>130</v>
      </c>
      <c r="E26" t="s">
        <v>263</v>
      </c>
      <c r="F26" t="s">
        <v>375</v>
      </c>
      <c r="G26" t="s">
        <v>271</v>
      </c>
      <c r="H26" t="s">
        <v>252</v>
      </c>
      <c r="I26" t="s">
        <v>263</v>
      </c>
      <c r="L26" t="str">
        <f t="shared" ca="1" si="0"/>
        <v/>
      </c>
      <c r="M26" t="str">
        <f t="shared" ca="1" si="1"/>
        <v/>
      </c>
    </row>
    <row r="27" spans="1:13" x14ac:dyDescent="0.2">
      <c r="A27" t="s">
        <v>130</v>
      </c>
      <c r="B27" t="s">
        <v>379</v>
      </c>
      <c r="C27" t="s">
        <v>403</v>
      </c>
      <c r="D27" t="s">
        <v>130</v>
      </c>
      <c r="E27" t="s">
        <v>264</v>
      </c>
      <c r="F27" t="s">
        <v>422</v>
      </c>
      <c r="G27" t="s">
        <v>271</v>
      </c>
      <c r="H27" t="s">
        <v>252</v>
      </c>
      <c r="I27" t="s">
        <v>264</v>
      </c>
      <c r="L27" t="str">
        <f t="shared" ca="1" si="0"/>
        <v/>
      </c>
      <c r="M27" t="str">
        <f t="shared" ca="1" si="1"/>
        <v/>
      </c>
    </row>
    <row r="28" spans="1:13" x14ac:dyDescent="0.2">
      <c r="A28" t="s">
        <v>7</v>
      </c>
      <c r="B28" t="s">
        <v>361</v>
      </c>
      <c r="C28" t="s">
        <v>273</v>
      </c>
      <c r="D28" t="s">
        <v>386</v>
      </c>
      <c r="E28" t="s">
        <v>363</v>
      </c>
      <c r="F28" t="s">
        <v>272</v>
      </c>
      <c r="G28" t="s">
        <v>272</v>
      </c>
      <c r="H28" t="s">
        <v>252</v>
      </c>
      <c r="I28" t="s">
        <v>273</v>
      </c>
      <c r="L28" t="str">
        <f t="shared" ca="1" si="0"/>
        <v/>
      </c>
      <c r="M28" t="str">
        <f t="shared" ca="1" si="1"/>
        <v/>
      </c>
    </row>
    <row r="29" spans="1:13" x14ac:dyDescent="0.2">
      <c r="A29" t="s">
        <v>8</v>
      </c>
      <c r="B29" t="s">
        <v>361</v>
      </c>
      <c r="C29" t="s">
        <v>273</v>
      </c>
      <c r="D29" t="s">
        <v>387</v>
      </c>
      <c r="E29" t="s">
        <v>363</v>
      </c>
      <c r="F29" t="s">
        <v>272</v>
      </c>
      <c r="G29" t="s">
        <v>272</v>
      </c>
      <c r="H29" t="s">
        <v>252</v>
      </c>
      <c r="I29" t="s">
        <v>273</v>
      </c>
      <c r="L29" t="str">
        <f t="shared" ca="1" si="0"/>
        <v/>
      </c>
      <c r="M29" t="str">
        <f t="shared" ca="1" si="1"/>
        <v/>
      </c>
    </row>
    <row r="30" spans="1:13" x14ac:dyDescent="0.2">
      <c r="A30" t="s">
        <v>9</v>
      </c>
      <c r="B30" t="s">
        <v>361</v>
      </c>
      <c r="C30" t="s">
        <v>273</v>
      </c>
      <c r="D30" t="s">
        <v>386</v>
      </c>
      <c r="E30" t="s">
        <v>363</v>
      </c>
      <c r="F30" t="s">
        <v>272</v>
      </c>
      <c r="G30" t="s">
        <v>272</v>
      </c>
      <c r="H30" t="s">
        <v>252</v>
      </c>
      <c r="I30" t="s">
        <v>273</v>
      </c>
      <c r="L30" t="str">
        <f t="shared" ca="1" si="0"/>
        <v/>
      </c>
      <c r="M30" t="str">
        <f t="shared" ca="1" si="1"/>
        <v/>
      </c>
    </row>
    <row r="31" spans="1:13" x14ac:dyDescent="0.2">
      <c r="A31" t="s">
        <v>10</v>
      </c>
      <c r="B31" t="s">
        <v>361</v>
      </c>
      <c r="C31" t="s">
        <v>273</v>
      </c>
      <c r="D31" t="s">
        <v>386</v>
      </c>
      <c r="E31" t="s">
        <v>363</v>
      </c>
      <c r="F31" t="s">
        <v>272</v>
      </c>
      <c r="G31" t="s">
        <v>272</v>
      </c>
      <c r="H31" t="s">
        <v>252</v>
      </c>
      <c r="I31" t="s">
        <v>273</v>
      </c>
      <c r="L31" t="str">
        <f t="shared" ca="1" si="0"/>
        <v/>
      </c>
      <c r="M31" t="str">
        <f t="shared" ca="1" si="1"/>
        <v/>
      </c>
    </row>
    <row r="32" spans="1:13" x14ac:dyDescent="0.2">
      <c r="A32" t="s">
        <v>1170</v>
      </c>
      <c r="B32" t="s">
        <v>361</v>
      </c>
      <c r="C32" t="s">
        <v>273</v>
      </c>
      <c r="D32" t="s">
        <v>386</v>
      </c>
      <c r="E32" t="s">
        <v>363</v>
      </c>
      <c r="F32" t="s">
        <v>272</v>
      </c>
      <c r="G32" t="s">
        <v>272</v>
      </c>
      <c r="H32" t="s">
        <v>252</v>
      </c>
      <c r="I32" t="s">
        <v>273</v>
      </c>
      <c r="L32" t="str">
        <f t="shared" ca="1" si="0"/>
        <v/>
      </c>
      <c r="M32" t="str">
        <f t="shared" ca="1" si="1"/>
        <v/>
      </c>
    </row>
    <row r="33" spans="1:13" x14ac:dyDescent="0.2">
      <c r="A33" t="s">
        <v>1171</v>
      </c>
      <c r="B33" t="s">
        <v>361</v>
      </c>
      <c r="C33" t="s">
        <v>273</v>
      </c>
      <c r="D33" t="s">
        <v>388</v>
      </c>
      <c r="E33" t="s">
        <v>363</v>
      </c>
      <c r="F33" t="s">
        <v>272</v>
      </c>
      <c r="G33" t="s">
        <v>272</v>
      </c>
      <c r="H33" t="s">
        <v>252</v>
      </c>
      <c r="I33" t="s">
        <v>273</v>
      </c>
      <c r="L33" t="str">
        <f t="shared" ca="1" si="0"/>
        <v/>
      </c>
      <c r="M33" t="str">
        <f t="shared" ca="1" si="1"/>
        <v/>
      </c>
    </row>
    <row r="34" spans="1:13" x14ac:dyDescent="0.2">
      <c r="A34" t="s">
        <v>15</v>
      </c>
      <c r="B34" t="s">
        <v>361</v>
      </c>
      <c r="C34" t="s">
        <v>273</v>
      </c>
      <c r="D34" t="s">
        <v>388</v>
      </c>
      <c r="E34" t="s">
        <v>363</v>
      </c>
      <c r="F34" t="s">
        <v>272</v>
      </c>
      <c r="G34" t="s">
        <v>272</v>
      </c>
      <c r="H34" t="s">
        <v>252</v>
      </c>
      <c r="I34" t="s">
        <v>273</v>
      </c>
      <c r="L34" t="str">
        <f t="shared" ca="1" si="0"/>
        <v/>
      </c>
      <c r="M34" t="str">
        <f t="shared" ca="1" si="1"/>
        <v/>
      </c>
    </row>
    <row r="35" spans="1:13" x14ac:dyDescent="0.2">
      <c r="A35" t="s">
        <v>16</v>
      </c>
      <c r="B35" t="s">
        <v>361</v>
      </c>
      <c r="C35" t="s">
        <v>273</v>
      </c>
      <c r="D35" t="s">
        <v>388</v>
      </c>
      <c r="E35" t="s">
        <v>363</v>
      </c>
      <c r="F35" t="s">
        <v>272</v>
      </c>
      <c r="G35" t="s">
        <v>272</v>
      </c>
      <c r="H35" t="s">
        <v>252</v>
      </c>
      <c r="I35" t="s">
        <v>273</v>
      </c>
      <c r="L35" t="str">
        <f t="shared" ca="1" si="0"/>
        <v/>
      </c>
      <c r="M35" t="str">
        <f t="shared" ca="1" si="1"/>
        <v/>
      </c>
    </row>
    <row r="36" spans="1:13" x14ac:dyDescent="0.2">
      <c r="A36" t="s">
        <v>36</v>
      </c>
      <c r="B36" t="s">
        <v>361</v>
      </c>
      <c r="C36" t="s">
        <v>273</v>
      </c>
      <c r="D36" t="s">
        <v>386</v>
      </c>
      <c r="E36" t="s">
        <v>363</v>
      </c>
      <c r="F36" t="s">
        <v>272</v>
      </c>
      <c r="G36" t="s">
        <v>272</v>
      </c>
      <c r="H36" t="s">
        <v>252</v>
      </c>
      <c r="I36" t="s">
        <v>273</v>
      </c>
      <c r="L36" t="str">
        <f t="shared" ca="1" si="0"/>
        <v/>
      </c>
      <c r="M36" t="str">
        <f t="shared" ca="1" si="1"/>
        <v/>
      </c>
    </row>
    <row r="37" spans="1:13" x14ac:dyDescent="0.2">
      <c r="A37" t="s">
        <v>37</v>
      </c>
      <c r="B37" t="s">
        <v>361</v>
      </c>
      <c r="C37" t="s">
        <v>273</v>
      </c>
      <c r="D37" t="s">
        <v>386</v>
      </c>
      <c r="E37" t="s">
        <v>363</v>
      </c>
      <c r="F37" t="s">
        <v>272</v>
      </c>
      <c r="G37" t="s">
        <v>272</v>
      </c>
      <c r="H37" t="s">
        <v>252</v>
      </c>
      <c r="I37" t="s">
        <v>273</v>
      </c>
      <c r="L37" t="str">
        <f t="shared" ca="1" si="0"/>
        <v/>
      </c>
      <c r="M37" t="str">
        <f t="shared" ca="1" si="1"/>
        <v/>
      </c>
    </row>
    <row r="38" spans="1:13" x14ac:dyDescent="0.2">
      <c r="A38" t="s">
        <v>38</v>
      </c>
      <c r="B38" t="s">
        <v>361</v>
      </c>
      <c r="C38" t="s">
        <v>273</v>
      </c>
      <c r="D38" t="s">
        <v>386</v>
      </c>
      <c r="E38" t="s">
        <v>363</v>
      </c>
      <c r="F38" t="s">
        <v>272</v>
      </c>
      <c r="G38" t="s">
        <v>272</v>
      </c>
      <c r="H38" t="s">
        <v>252</v>
      </c>
      <c r="I38" t="s">
        <v>273</v>
      </c>
      <c r="L38" t="str">
        <f t="shared" ca="1" si="0"/>
        <v/>
      </c>
      <c r="M38" t="str">
        <f t="shared" ca="1" si="1"/>
        <v/>
      </c>
    </row>
    <row r="39" spans="1:13" x14ac:dyDescent="0.2">
      <c r="A39" t="s">
        <v>39</v>
      </c>
      <c r="B39" t="s">
        <v>361</v>
      </c>
      <c r="C39" t="s">
        <v>273</v>
      </c>
      <c r="D39" t="s">
        <v>388</v>
      </c>
      <c r="E39" t="s">
        <v>363</v>
      </c>
      <c r="F39" t="s">
        <v>272</v>
      </c>
      <c r="G39" t="s">
        <v>272</v>
      </c>
      <c r="H39" t="s">
        <v>252</v>
      </c>
      <c r="I39" t="s">
        <v>273</v>
      </c>
      <c r="L39" t="str">
        <f t="shared" ca="1" si="0"/>
        <v/>
      </c>
      <c r="M39" t="str">
        <f t="shared" ca="1" si="1"/>
        <v/>
      </c>
    </row>
    <row r="40" spans="1:13" x14ac:dyDescent="0.2">
      <c r="A40" t="s">
        <v>45</v>
      </c>
      <c r="B40" t="s">
        <v>361</v>
      </c>
      <c r="C40" t="s">
        <v>273</v>
      </c>
      <c r="D40" t="s">
        <v>388</v>
      </c>
      <c r="E40" t="s">
        <v>363</v>
      </c>
      <c r="F40" t="s">
        <v>272</v>
      </c>
      <c r="G40" t="s">
        <v>272</v>
      </c>
      <c r="H40" t="s">
        <v>252</v>
      </c>
      <c r="I40" t="s">
        <v>273</v>
      </c>
      <c r="L40" t="str">
        <f t="shared" ca="1" si="0"/>
        <v/>
      </c>
      <c r="M40" t="str">
        <f t="shared" ca="1" si="1"/>
        <v/>
      </c>
    </row>
    <row r="41" spans="1:13" x14ac:dyDescent="0.2">
      <c r="A41" t="s">
        <v>46</v>
      </c>
      <c r="B41" t="s">
        <v>361</v>
      </c>
      <c r="C41" t="s">
        <v>273</v>
      </c>
      <c r="D41" t="s">
        <v>46</v>
      </c>
      <c r="E41" t="s">
        <v>363</v>
      </c>
      <c r="F41" t="s">
        <v>272</v>
      </c>
      <c r="G41" t="s">
        <v>272</v>
      </c>
      <c r="H41" t="s">
        <v>252</v>
      </c>
      <c r="I41" t="s">
        <v>273</v>
      </c>
      <c r="L41" t="str">
        <f t="shared" ca="1" si="0"/>
        <v/>
      </c>
      <c r="M41" t="str">
        <f t="shared" ca="1" si="1"/>
        <v/>
      </c>
    </row>
    <row r="42" spans="1:13" x14ac:dyDescent="0.2">
      <c r="A42" t="s">
        <v>47</v>
      </c>
      <c r="B42" t="s">
        <v>361</v>
      </c>
      <c r="C42" t="s">
        <v>273</v>
      </c>
      <c r="D42" t="s">
        <v>389</v>
      </c>
      <c r="E42" t="s">
        <v>363</v>
      </c>
      <c r="F42" t="s">
        <v>272</v>
      </c>
      <c r="G42" t="s">
        <v>272</v>
      </c>
      <c r="H42" t="s">
        <v>252</v>
      </c>
      <c r="I42" t="s">
        <v>273</v>
      </c>
      <c r="L42" t="str">
        <f t="shared" ca="1" si="0"/>
        <v/>
      </c>
      <c r="M42" t="str">
        <f t="shared" ca="1" si="1"/>
        <v/>
      </c>
    </row>
    <row r="43" spans="1:13" x14ac:dyDescent="0.2">
      <c r="A43" t="s">
        <v>48</v>
      </c>
      <c r="B43" t="s">
        <v>361</v>
      </c>
      <c r="C43" t="s">
        <v>273</v>
      </c>
      <c r="D43" t="s">
        <v>390</v>
      </c>
      <c r="E43" t="s">
        <v>363</v>
      </c>
      <c r="F43" t="s">
        <v>272</v>
      </c>
      <c r="G43" t="s">
        <v>272</v>
      </c>
      <c r="H43" t="s">
        <v>252</v>
      </c>
      <c r="I43" t="s">
        <v>273</v>
      </c>
      <c r="L43" t="str">
        <f t="shared" ca="1" si="0"/>
        <v/>
      </c>
      <c r="M43" t="str">
        <f t="shared" ca="1" si="1"/>
        <v/>
      </c>
    </row>
    <row r="44" spans="1:13" x14ac:dyDescent="0.2">
      <c r="A44" t="s">
        <v>1172</v>
      </c>
      <c r="B44" t="s">
        <v>361</v>
      </c>
      <c r="C44" t="s">
        <v>273</v>
      </c>
      <c r="D44" t="s">
        <v>388</v>
      </c>
      <c r="E44" t="s">
        <v>363</v>
      </c>
      <c r="F44" t="s">
        <v>272</v>
      </c>
      <c r="G44" t="s">
        <v>272</v>
      </c>
      <c r="H44" t="s">
        <v>252</v>
      </c>
      <c r="I44" t="s">
        <v>273</v>
      </c>
      <c r="L44" t="str">
        <f t="shared" ca="1" si="0"/>
        <v/>
      </c>
      <c r="M44" t="str">
        <f t="shared" ca="1" si="1"/>
        <v/>
      </c>
    </row>
    <row r="45" spans="1:13" x14ac:dyDescent="0.2">
      <c r="A45" t="s">
        <v>62</v>
      </c>
      <c r="B45" t="s">
        <v>361</v>
      </c>
      <c r="C45" t="s">
        <v>273</v>
      </c>
      <c r="D45" t="s">
        <v>386</v>
      </c>
      <c r="E45" t="s">
        <v>363</v>
      </c>
      <c r="F45" t="s">
        <v>272</v>
      </c>
      <c r="G45" t="s">
        <v>272</v>
      </c>
      <c r="H45" t="s">
        <v>252</v>
      </c>
      <c r="I45" t="s">
        <v>273</v>
      </c>
      <c r="L45" t="str">
        <f t="shared" ca="1" si="0"/>
        <v/>
      </c>
      <c r="M45" t="str">
        <f t="shared" ca="1" si="1"/>
        <v/>
      </c>
    </row>
    <row r="46" spans="1:13" x14ac:dyDescent="0.2">
      <c r="A46" t="s">
        <v>73</v>
      </c>
      <c r="B46" t="s">
        <v>361</v>
      </c>
      <c r="C46" t="s">
        <v>273</v>
      </c>
      <c r="D46" t="s">
        <v>388</v>
      </c>
      <c r="E46" t="s">
        <v>363</v>
      </c>
      <c r="F46" t="s">
        <v>272</v>
      </c>
      <c r="G46" t="s">
        <v>272</v>
      </c>
      <c r="H46" t="s">
        <v>252</v>
      </c>
      <c r="I46" t="s">
        <v>273</v>
      </c>
      <c r="L46" t="str">
        <f t="shared" ca="1" si="0"/>
        <v/>
      </c>
      <c r="M46" t="str">
        <f t="shared" ca="1" si="1"/>
        <v/>
      </c>
    </row>
    <row r="47" spans="1:13" x14ac:dyDescent="0.2">
      <c r="A47" t="s">
        <v>74</v>
      </c>
      <c r="B47" t="s">
        <v>361</v>
      </c>
      <c r="C47" t="s">
        <v>273</v>
      </c>
      <c r="D47" t="s">
        <v>388</v>
      </c>
      <c r="E47" t="s">
        <v>363</v>
      </c>
      <c r="F47" t="s">
        <v>272</v>
      </c>
      <c r="G47" t="s">
        <v>272</v>
      </c>
      <c r="H47" t="s">
        <v>252</v>
      </c>
      <c r="I47" t="s">
        <v>273</v>
      </c>
      <c r="L47" t="str">
        <f t="shared" ca="1" si="0"/>
        <v/>
      </c>
      <c r="M47" t="str">
        <f t="shared" ca="1" si="1"/>
        <v/>
      </c>
    </row>
    <row r="48" spans="1:13" x14ac:dyDescent="0.2">
      <c r="A48" t="s">
        <v>287</v>
      </c>
      <c r="B48" t="s">
        <v>361</v>
      </c>
      <c r="C48" t="s">
        <v>273</v>
      </c>
      <c r="D48" t="s">
        <v>76</v>
      </c>
      <c r="E48" t="s">
        <v>363</v>
      </c>
      <c r="F48" t="s">
        <v>272</v>
      </c>
      <c r="G48" t="s">
        <v>272</v>
      </c>
      <c r="H48" t="s">
        <v>252</v>
      </c>
      <c r="I48" t="s">
        <v>273</v>
      </c>
      <c r="L48" t="str">
        <f t="shared" ca="1" si="0"/>
        <v/>
      </c>
      <c r="M48" t="str">
        <f t="shared" ca="1" si="1"/>
        <v/>
      </c>
    </row>
    <row r="49" spans="1:13" x14ac:dyDescent="0.2">
      <c r="A49" t="s">
        <v>77</v>
      </c>
      <c r="B49" t="s">
        <v>361</v>
      </c>
      <c r="C49" t="s">
        <v>273</v>
      </c>
      <c r="D49" t="s">
        <v>76</v>
      </c>
      <c r="E49" t="s">
        <v>363</v>
      </c>
      <c r="F49" t="s">
        <v>272</v>
      </c>
      <c r="G49" t="s">
        <v>272</v>
      </c>
      <c r="H49" t="s">
        <v>252</v>
      </c>
      <c r="I49" t="s">
        <v>273</v>
      </c>
      <c r="L49" t="str">
        <f t="shared" ca="1" si="0"/>
        <v/>
      </c>
      <c r="M49" t="str">
        <f t="shared" ca="1" si="1"/>
        <v/>
      </c>
    </row>
    <row r="50" spans="1:13" x14ac:dyDescent="0.2">
      <c r="A50" t="s">
        <v>80</v>
      </c>
      <c r="B50" t="s">
        <v>361</v>
      </c>
      <c r="C50" t="s">
        <v>273</v>
      </c>
      <c r="D50" t="s">
        <v>391</v>
      </c>
      <c r="E50" t="s">
        <v>363</v>
      </c>
      <c r="F50" t="s">
        <v>272</v>
      </c>
      <c r="G50" t="s">
        <v>272</v>
      </c>
      <c r="H50" t="s">
        <v>252</v>
      </c>
      <c r="I50" t="s">
        <v>273</v>
      </c>
      <c r="L50" t="str">
        <f t="shared" ca="1" si="0"/>
        <v/>
      </c>
      <c r="M50" t="str">
        <f t="shared" ca="1" si="1"/>
        <v/>
      </c>
    </row>
    <row r="51" spans="1:13" x14ac:dyDescent="0.2">
      <c r="A51" t="s">
        <v>81</v>
      </c>
      <c r="B51" t="s">
        <v>361</v>
      </c>
      <c r="C51" t="s">
        <v>273</v>
      </c>
      <c r="D51" t="s">
        <v>1142</v>
      </c>
      <c r="E51" t="s">
        <v>363</v>
      </c>
      <c r="F51" t="s">
        <v>272</v>
      </c>
      <c r="G51" t="s">
        <v>272</v>
      </c>
      <c r="H51" t="s">
        <v>252</v>
      </c>
      <c r="I51" t="s">
        <v>273</v>
      </c>
      <c r="L51" t="str">
        <f t="shared" ca="1" si="0"/>
        <v/>
      </c>
      <c r="M51" t="str">
        <f t="shared" ca="1" si="1"/>
        <v/>
      </c>
    </row>
    <row r="52" spans="1:13" x14ac:dyDescent="0.2">
      <c r="A52" t="s">
        <v>82</v>
      </c>
      <c r="B52" t="s">
        <v>361</v>
      </c>
      <c r="C52" t="s">
        <v>273</v>
      </c>
      <c r="D52" t="s">
        <v>388</v>
      </c>
      <c r="E52" t="s">
        <v>363</v>
      </c>
      <c r="F52" t="s">
        <v>272</v>
      </c>
      <c r="G52" t="s">
        <v>272</v>
      </c>
      <c r="H52" t="s">
        <v>252</v>
      </c>
      <c r="I52" t="s">
        <v>273</v>
      </c>
      <c r="L52" t="str">
        <f t="shared" ca="1" si="0"/>
        <v/>
      </c>
      <c r="M52" t="str">
        <f t="shared" ca="1" si="1"/>
        <v/>
      </c>
    </row>
    <row r="53" spans="1:13" x14ac:dyDescent="0.2">
      <c r="A53" t="s">
        <v>1173</v>
      </c>
      <c r="B53" t="s">
        <v>361</v>
      </c>
      <c r="C53" t="s">
        <v>273</v>
      </c>
      <c r="D53" t="s">
        <v>388</v>
      </c>
      <c r="E53" t="s">
        <v>363</v>
      </c>
      <c r="F53" t="s">
        <v>272</v>
      </c>
      <c r="G53" t="s">
        <v>272</v>
      </c>
      <c r="H53" t="s">
        <v>252</v>
      </c>
      <c r="I53" t="s">
        <v>273</v>
      </c>
      <c r="L53" t="str">
        <f t="shared" ca="1" si="0"/>
        <v/>
      </c>
      <c r="M53" t="str">
        <f t="shared" ca="1" si="1"/>
        <v/>
      </c>
    </row>
    <row r="54" spans="1:13" x14ac:dyDescent="0.2">
      <c r="A54" t="s">
        <v>1174</v>
      </c>
      <c r="B54" t="s">
        <v>361</v>
      </c>
      <c r="C54" t="s">
        <v>273</v>
      </c>
      <c r="D54" t="s">
        <v>388</v>
      </c>
      <c r="E54" t="s">
        <v>363</v>
      </c>
      <c r="F54" t="s">
        <v>272</v>
      </c>
      <c r="G54" t="s">
        <v>272</v>
      </c>
      <c r="H54" t="s">
        <v>252</v>
      </c>
      <c r="I54" t="s">
        <v>273</v>
      </c>
      <c r="L54" t="str">
        <f t="shared" ca="1" si="0"/>
        <v/>
      </c>
      <c r="M54" t="str">
        <f t="shared" ca="1" si="1"/>
        <v/>
      </c>
    </row>
    <row r="55" spans="1:13" x14ac:dyDescent="0.2">
      <c r="A55" t="s">
        <v>1175</v>
      </c>
      <c r="B55" t="s">
        <v>361</v>
      </c>
      <c r="C55" t="s">
        <v>273</v>
      </c>
      <c r="D55" t="s">
        <v>388</v>
      </c>
      <c r="E55" t="s">
        <v>363</v>
      </c>
      <c r="F55" t="s">
        <v>272</v>
      </c>
      <c r="G55" t="s">
        <v>272</v>
      </c>
      <c r="H55" t="s">
        <v>252</v>
      </c>
      <c r="I55" t="s">
        <v>273</v>
      </c>
      <c r="L55" t="str">
        <f t="shared" ca="1" si="0"/>
        <v/>
      </c>
      <c r="M55" t="str">
        <f t="shared" ca="1" si="1"/>
        <v/>
      </c>
    </row>
    <row r="56" spans="1:13" x14ac:dyDescent="0.2">
      <c r="A56" t="s">
        <v>1176</v>
      </c>
      <c r="B56" t="s">
        <v>361</v>
      </c>
      <c r="C56" t="s">
        <v>273</v>
      </c>
      <c r="D56" t="s">
        <v>388</v>
      </c>
      <c r="E56" t="s">
        <v>363</v>
      </c>
      <c r="F56" t="s">
        <v>272</v>
      </c>
      <c r="G56" t="s">
        <v>272</v>
      </c>
      <c r="H56" t="s">
        <v>252</v>
      </c>
      <c r="I56" t="s">
        <v>273</v>
      </c>
      <c r="L56" t="str">
        <f t="shared" ca="1" si="0"/>
        <v/>
      </c>
      <c r="M56" t="str">
        <f t="shared" ca="1" si="1"/>
        <v/>
      </c>
    </row>
    <row r="57" spans="1:13" x14ac:dyDescent="0.2">
      <c r="A57" t="s">
        <v>1177</v>
      </c>
      <c r="B57" t="s">
        <v>361</v>
      </c>
      <c r="C57" t="s">
        <v>273</v>
      </c>
      <c r="D57" t="s">
        <v>388</v>
      </c>
      <c r="E57" t="s">
        <v>363</v>
      </c>
      <c r="F57" t="s">
        <v>272</v>
      </c>
      <c r="G57" t="s">
        <v>272</v>
      </c>
      <c r="H57" t="s">
        <v>252</v>
      </c>
      <c r="I57" t="s">
        <v>273</v>
      </c>
      <c r="L57" t="str">
        <f t="shared" ca="1" si="0"/>
        <v/>
      </c>
      <c r="M57" t="str">
        <f t="shared" ca="1" si="1"/>
        <v/>
      </c>
    </row>
    <row r="58" spans="1:13" x14ac:dyDescent="0.2">
      <c r="A58" t="s">
        <v>83</v>
      </c>
      <c r="B58" t="s">
        <v>361</v>
      </c>
      <c r="C58" t="s">
        <v>273</v>
      </c>
      <c r="D58" t="s">
        <v>388</v>
      </c>
      <c r="E58" t="s">
        <v>363</v>
      </c>
      <c r="F58" t="s">
        <v>272</v>
      </c>
      <c r="G58" t="s">
        <v>272</v>
      </c>
      <c r="H58" t="s">
        <v>252</v>
      </c>
      <c r="I58" t="s">
        <v>273</v>
      </c>
      <c r="L58" t="str">
        <f t="shared" ca="1" si="0"/>
        <v/>
      </c>
      <c r="M58" t="str">
        <f t="shared" ca="1" si="1"/>
        <v/>
      </c>
    </row>
    <row r="59" spans="1:13" x14ac:dyDescent="0.2">
      <c r="A59" t="s">
        <v>84</v>
      </c>
      <c r="B59" t="s">
        <v>361</v>
      </c>
      <c r="C59" t="s">
        <v>273</v>
      </c>
      <c r="D59" t="s">
        <v>391</v>
      </c>
      <c r="E59" t="s">
        <v>363</v>
      </c>
      <c r="F59" t="s">
        <v>272</v>
      </c>
      <c r="G59" t="s">
        <v>272</v>
      </c>
      <c r="H59" t="s">
        <v>252</v>
      </c>
      <c r="I59" t="s">
        <v>273</v>
      </c>
      <c r="L59" t="str">
        <f t="shared" ca="1" si="0"/>
        <v/>
      </c>
      <c r="M59" t="str">
        <f t="shared" ca="1" si="1"/>
        <v/>
      </c>
    </row>
    <row r="60" spans="1:13" x14ac:dyDescent="0.2">
      <c r="A60" t="s">
        <v>85</v>
      </c>
      <c r="B60" t="s">
        <v>361</v>
      </c>
      <c r="C60" t="s">
        <v>273</v>
      </c>
      <c r="D60" t="s">
        <v>388</v>
      </c>
      <c r="E60" t="s">
        <v>363</v>
      </c>
      <c r="F60" t="s">
        <v>272</v>
      </c>
      <c r="G60" t="s">
        <v>272</v>
      </c>
      <c r="H60" t="s">
        <v>252</v>
      </c>
      <c r="I60" t="s">
        <v>273</v>
      </c>
      <c r="L60" t="str">
        <f t="shared" ca="1" si="0"/>
        <v/>
      </c>
      <c r="M60" t="str">
        <f t="shared" ca="1" si="1"/>
        <v/>
      </c>
    </row>
    <row r="61" spans="1:13" x14ac:dyDescent="0.2">
      <c r="A61" t="s">
        <v>108</v>
      </c>
      <c r="B61" t="s">
        <v>361</v>
      </c>
      <c r="C61" t="s">
        <v>273</v>
      </c>
      <c r="D61" t="s">
        <v>388</v>
      </c>
      <c r="E61" t="s">
        <v>363</v>
      </c>
      <c r="F61" t="s">
        <v>272</v>
      </c>
      <c r="G61" t="s">
        <v>272</v>
      </c>
      <c r="H61" t="s">
        <v>252</v>
      </c>
      <c r="I61" t="s">
        <v>273</v>
      </c>
      <c r="L61" t="str">
        <f t="shared" ca="1" si="0"/>
        <v/>
      </c>
      <c r="M61" t="str">
        <f t="shared" ca="1" si="1"/>
        <v/>
      </c>
    </row>
    <row r="62" spans="1:13" x14ac:dyDescent="0.2">
      <c r="A62" t="s">
        <v>1178</v>
      </c>
      <c r="B62" t="s">
        <v>361</v>
      </c>
      <c r="C62" t="s">
        <v>273</v>
      </c>
      <c r="D62" t="s">
        <v>390</v>
      </c>
      <c r="E62" t="s">
        <v>363</v>
      </c>
      <c r="F62" t="s">
        <v>272</v>
      </c>
      <c r="G62" t="s">
        <v>272</v>
      </c>
      <c r="H62" t="s">
        <v>252</v>
      </c>
      <c r="I62" t="s">
        <v>273</v>
      </c>
      <c r="L62" t="str">
        <f t="shared" ca="1" si="0"/>
        <v/>
      </c>
      <c r="M62" t="str">
        <f t="shared" ca="1" si="1"/>
        <v/>
      </c>
    </row>
    <row r="63" spans="1:13" x14ac:dyDescent="0.2">
      <c r="A63" t="s">
        <v>110</v>
      </c>
      <c r="B63" t="s">
        <v>361</v>
      </c>
      <c r="C63" t="s">
        <v>273</v>
      </c>
      <c r="D63" t="s">
        <v>390</v>
      </c>
      <c r="E63" t="s">
        <v>363</v>
      </c>
      <c r="F63" t="s">
        <v>272</v>
      </c>
      <c r="G63" t="s">
        <v>272</v>
      </c>
      <c r="H63" t="s">
        <v>252</v>
      </c>
      <c r="I63" t="s">
        <v>273</v>
      </c>
      <c r="L63" t="str">
        <f t="shared" ca="1" si="0"/>
        <v/>
      </c>
      <c r="M63" t="str">
        <f t="shared" ca="1" si="1"/>
        <v/>
      </c>
    </row>
    <row r="64" spans="1:13" x14ac:dyDescent="0.2">
      <c r="A64" t="s">
        <v>111</v>
      </c>
      <c r="B64" t="s">
        <v>361</v>
      </c>
      <c r="C64" t="s">
        <v>273</v>
      </c>
      <c r="D64" t="s">
        <v>388</v>
      </c>
      <c r="E64" t="s">
        <v>363</v>
      </c>
      <c r="F64" t="s">
        <v>272</v>
      </c>
      <c r="G64" t="s">
        <v>272</v>
      </c>
      <c r="H64" t="s">
        <v>252</v>
      </c>
      <c r="I64" t="s">
        <v>273</v>
      </c>
      <c r="L64" t="str">
        <f t="shared" ca="1" si="0"/>
        <v/>
      </c>
      <c r="M64" t="str">
        <f t="shared" ca="1" si="1"/>
        <v/>
      </c>
    </row>
    <row r="65" spans="1:13" x14ac:dyDescent="0.2">
      <c r="A65" t="s">
        <v>112</v>
      </c>
      <c r="B65" t="s">
        <v>361</v>
      </c>
      <c r="C65" t="s">
        <v>273</v>
      </c>
      <c r="D65" t="s">
        <v>310</v>
      </c>
      <c r="E65" t="s">
        <v>363</v>
      </c>
      <c r="F65" t="s">
        <v>272</v>
      </c>
      <c r="G65" t="s">
        <v>272</v>
      </c>
      <c r="H65" t="s">
        <v>252</v>
      </c>
      <c r="I65" t="s">
        <v>273</v>
      </c>
      <c r="L65" t="str">
        <f t="shared" ca="1" si="0"/>
        <v/>
      </c>
      <c r="M65" t="str">
        <f t="shared" ca="1" si="1"/>
        <v/>
      </c>
    </row>
    <row r="66" spans="1:13" x14ac:dyDescent="0.2">
      <c r="A66" t="s">
        <v>1179</v>
      </c>
      <c r="B66" t="s">
        <v>361</v>
      </c>
      <c r="C66" t="s">
        <v>273</v>
      </c>
      <c r="D66" t="s">
        <v>386</v>
      </c>
      <c r="E66" t="s">
        <v>363</v>
      </c>
      <c r="F66" t="s">
        <v>272</v>
      </c>
      <c r="G66" t="s">
        <v>272</v>
      </c>
      <c r="H66" t="s">
        <v>252</v>
      </c>
      <c r="I66" t="s">
        <v>273</v>
      </c>
      <c r="L66" t="str">
        <f t="shared" ref="L66:L129" ca="1" si="2">IFERROR(MATCH(OFFSET($G$1,ROW()-1,0,1,1),A:A,0),"")</f>
        <v/>
      </c>
      <c r="M66" t="str">
        <f t="shared" ref="M66:M129" ca="1" si="3">IFERROR(MATCH(OFFSET($G$1,ROW()-1,0,1,1),A:A,1)-L66+1,"")</f>
        <v/>
      </c>
    </row>
    <row r="67" spans="1:13" x14ac:dyDescent="0.2">
      <c r="A67" t="s">
        <v>389</v>
      </c>
      <c r="B67" t="s">
        <v>361</v>
      </c>
      <c r="C67" t="s">
        <v>273</v>
      </c>
      <c r="D67" t="s">
        <v>389</v>
      </c>
      <c r="E67" t="s">
        <v>363</v>
      </c>
      <c r="F67" t="s">
        <v>272</v>
      </c>
      <c r="G67" t="s">
        <v>272</v>
      </c>
      <c r="H67" t="s">
        <v>252</v>
      </c>
      <c r="I67" t="s">
        <v>273</v>
      </c>
      <c r="L67" t="str">
        <f t="shared" ca="1" si="2"/>
        <v/>
      </c>
      <c r="M67" t="str">
        <f t="shared" ca="1" si="3"/>
        <v/>
      </c>
    </row>
    <row r="68" spans="1:13" x14ac:dyDescent="0.2">
      <c r="A68" t="s">
        <v>146</v>
      </c>
      <c r="B68" t="s">
        <v>361</v>
      </c>
      <c r="C68" t="s">
        <v>273</v>
      </c>
      <c r="D68" t="s">
        <v>388</v>
      </c>
      <c r="E68" t="s">
        <v>363</v>
      </c>
      <c r="F68" t="s">
        <v>272</v>
      </c>
      <c r="G68" t="s">
        <v>272</v>
      </c>
      <c r="H68" t="s">
        <v>252</v>
      </c>
      <c r="I68" t="s">
        <v>273</v>
      </c>
      <c r="L68" t="str">
        <f t="shared" ca="1" si="2"/>
        <v/>
      </c>
      <c r="M68" t="str">
        <f t="shared" ca="1" si="3"/>
        <v/>
      </c>
    </row>
    <row r="69" spans="1:13" x14ac:dyDescent="0.2">
      <c r="A69" t="s">
        <v>148</v>
      </c>
      <c r="B69" t="s">
        <v>361</v>
      </c>
      <c r="C69" t="s">
        <v>273</v>
      </c>
      <c r="D69" t="s">
        <v>386</v>
      </c>
      <c r="E69" t="s">
        <v>363</v>
      </c>
      <c r="F69" t="s">
        <v>272</v>
      </c>
      <c r="G69" t="s">
        <v>272</v>
      </c>
      <c r="H69" t="s">
        <v>252</v>
      </c>
      <c r="I69" t="s">
        <v>273</v>
      </c>
      <c r="L69" t="str">
        <f t="shared" ca="1" si="2"/>
        <v/>
      </c>
      <c r="M69" t="str">
        <f t="shared" ca="1" si="3"/>
        <v/>
      </c>
    </row>
    <row r="70" spans="1:13" x14ac:dyDescent="0.2">
      <c r="A70" t="s">
        <v>1180</v>
      </c>
      <c r="B70" t="s">
        <v>361</v>
      </c>
      <c r="C70" t="s">
        <v>273</v>
      </c>
      <c r="D70" t="s">
        <v>386</v>
      </c>
      <c r="E70" t="s">
        <v>363</v>
      </c>
      <c r="F70" t="s">
        <v>272</v>
      </c>
      <c r="G70" t="s">
        <v>272</v>
      </c>
      <c r="H70" t="s">
        <v>252</v>
      </c>
      <c r="I70" t="s">
        <v>273</v>
      </c>
      <c r="L70" t="str">
        <f t="shared" ca="1" si="2"/>
        <v/>
      </c>
      <c r="M70" t="str">
        <f t="shared" ca="1" si="3"/>
        <v/>
      </c>
    </row>
    <row r="71" spans="1:13" x14ac:dyDescent="0.2">
      <c r="A71" t="s">
        <v>154</v>
      </c>
      <c r="B71" t="s">
        <v>361</v>
      </c>
      <c r="C71" t="s">
        <v>273</v>
      </c>
      <c r="D71" t="s">
        <v>388</v>
      </c>
      <c r="E71" t="s">
        <v>363</v>
      </c>
      <c r="F71" t="s">
        <v>272</v>
      </c>
      <c r="G71" t="s">
        <v>272</v>
      </c>
      <c r="H71" t="s">
        <v>252</v>
      </c>
      <c r="I71" t="s">
        <v>273</v>
      </c>
      <c r="L71" t="str">
        <f t="shared" ca="1" si="2"/>
        <v/>
      </c>
      <c r="M71" t="str">
        <f t="shared" ca="1" si="3"/>
        <v/>
      </c>
    </row>
    <row r="72" spans="1:13" x14ac:dyDescent="0.2">
      <c r="A72" t="s">
        <v>155</v>
      </c>
      <c r="B72" t="s">
        <v>361</v>
      </c>
      <c r="C72" t="s">
        <v>273</v>
      </c>
      <c r="D72" t="s">
        <v>386</v>
      </c>
      <c r="E72" t="s">
        <v>363</v>
      </c>
      <c r="F72" t="s">
        <v>272</v>
      </c>
      <c r="G72" t="s">
        <v>272</v>
      </c>
      <c r="H72" t="s">
        <v>252</v>
      </c>
      <c r="I72" t="s">
        <v>273</v>
      </c>
      <c r="L72" t="str">
        <f t="shared" ca="1" si="2"/>
        <v/>
      </c>
      <c r="M72" t="str">
        <f t="shared" ca="1" si="3"/>
        <v/>
      </c>
    </row>
    <row r="73" spans="1:13" x14ac:dyDescent="0.2">
      <c r="A73" t="s">
        <v>1181</v>
      </c>
      <c r="B73" t="s">
        <v>361</v>
      </c>
      <c r="C73" t="s">
        <v>273</v>
      </c>
      <c r="D73" t="s">
        <v>386</v>
      </c>
      <c r="E73" t="s">
        <v>363</v>
      </c>
      <c r="F73" t="s">
        <v>272</v>
      </c>
      <c r="G73" t="s">
        <v>272</v>
      </c>
      <c r="H73" t="s">
        <v>252</v>
      </c>
      <c r="I73" t="s">
        <v>273</v>
      </c>
      <c r="L73" t="str">
        <f t="shared" ca="1" si="2"/>
        <v/>
      </c>
      <c r="M73" t="str">
        <f t="shared" ca="1" si="3"/>
        <v/>
      </c>
    </row>
    <row r="74" spans="1:13" x14ac:dyDescent="0.2">
      <c r="A74" t="s">
        <v>167</v>
      </c>
      <c r="B74" t="s">
        <v>361</v>
      </c>
      <c r="C74" t="s">
        <v>273</v>
      </c>
      <c r="D74" t="s">
        <v>388</v>
      </c>
      <c r="E74" t="s">
        <v>363</v>
      </c>
      <c r="F74" t="s">
        <v>272</v>
      </c>
      <c r="G74" t="s">
        <v>272</v>
      </c>
      <c r="H74" t="s">
        <v>252</v>
      </c>
      <c r="I74" t="s">
        <v>273</v>
      </c>
      <c r="L74" t="str">
        <f t="shared" ca="1" si="2"/>
        <v/>
      </c>
      <c r="M74" t="str">
        <f t="shared" ca="1" si="3"/>
        <v/>
      </c>
    </row>
    <row r="75" spans="1:13" x14ac:dyDescent="0.2">
      <c r="A75" t="s">
        <v>168</v>
      </c>
      <c r="B75" t="s">
        <v>361</v>
      </c>
      <c r="C75" t="s">
        <v>273</v>
      </c>
      <c r="D75" t="s">
        <v>388</v>
      </c>
      <c r="E75" t="s">
        <v>363</v>
      </c>
      <c r="F75" t="s">
        <v>272</v>
      </c>
      <c r="G75" t="s">
        <v>272</v>
      </c>
      <c r="H75" t="s">
        <v>252</v>
      </c>
      <c r="I75" t="s">
        <v>273</v>
      </c>
      <c r="L75" t="str">
        <f t="shared" ca="1" si="2"/>
        <v/>
      </c>
      <c r="M75" t="str">
        <f t="shared" ca="1" si="3"/>
        <v/>
      </c>
    </row>
    <row r="76" spans="1:13" x14ac:dyDescent="0.2">
      <c r="A76" t="s">
        <v>181</v>
      </c>
      <c r="B76" t="s">
        <v>361</v>
      </c>
      <c r="C76" t="s">
        <v>273</v>
      </c>
      <c r="D76" t="s">
        <v>388</v>
      </c>
      <c r="E76" t="s">
        <v>363</v>
      </c>
      <c r="F76" t="s">
        <v>272</v>
      </c>
      <c r="G76" t="s">
        <v>272</v>
      </c>
      <c r="H76" t="s">
        <v>252</v>
      </c>
      <c r="I76" t="s">
        <v>273</v>
      </c>
      <c r="L76" t="str">
        <f t="shared" ca="1" si="2"/>
        <v/>
      </c>
      <c r="M76" t="str">
        <f t="shared" ca="1" si="3"/>
        <v/>
      </c>
    </row>
    <row r="77" spans="1:13" x14ac:dyDescent="0.2">
      <c r="A77" t="s">
        <v>195</v>
      </c>
      <c r="B77" t="s">
        <v>361</v>
      </c>
      <c r="C77" t="s">
        <v>273</v>
      </c>
      <c r="D77" t="s">
        <v>388</v>
      </c>
      <c r="E77" t="s">
        <v>363</v>
      </c>
      <c r="F77" t="s">
        <v>272</v>
      </c>
      <c r="G77" t="s">
        <v>272</v>
      </c>
      <c r="H77" t="s">
        <v>252</v>
      </c>
      <c r="I77" t="s">
        <v>273</v>
      </c>
      <c r="L77" t="str">
        <f t="shared" ca="1" si="2"/>
        <v/>
      </c>
      <c r="M77" t="str">
        <f t="shared" ca="1" si="3"/>
        <v/>
      </c>
    </row>
    <row r="78" spans="1:13" x14ac:dyDescent="0.2">
      <c r="A78" t="s">
        <v>196</v>
      </c>
      <c r="B78" t="s">
        <v>361</v>
      </c>
      <c r="C78" t="s">
        <v>273</v>
      </c>
      <c r="D78" t="s">
        <v>391</v>
      </c>
      <c r="E78" t="s">
        <v>363</v>
      </c>
      <c r="F78" t="s">
        <v>272</v>
      </c>
      <c r="G78" t="s">
        <v>272</v>
      </c>
      <c r="H78" t="s">
        <v>252</v>
      </c>
      <c r="I78" t="s">
        <v>273</v>
      </c>
      <c r="L78" t="str">
        <f t="shared" ca="1" si="2"/>
        <v/>
      </c>
      <c r="M78" t="str">
        <f t="shared" ca="1" si="3"/>
        <v/>
      </c>
    </row>
    <row r="79" spans="1:13" x14ac:dyDescent="0.2">
      <c r="A79" t="s">
        <v>197</v>
      </c>
      <c r="B79" t="s">
        <v>361</v>
      </c>
      <c r="C79" t="s">
        <v>273</v>
      </c>
      <c r="D79" t="s">
        <v>391</v>
      </c>
      <c r="E79" t="s">
        <v>363</v>
      </c>
      <c r="F79" t="s">
        <v>272</v>
      </c>
      <c r="G79" t="s">
        <v>272</v>
      </c>
      <c r="H79" t="s">
        <v>252</v>
      </c>
      <c r="I79" t="s">
        <v>273</v>
      </c>
      <c r="L79" t="str">
        <f t="shared" ca="1" si="2"/>
        <v/>
      </c>
      <c r="M79" t="str">
        <f t="shared" ca="1" si="3"/>
        <v/>
      </c>
    </row>
    <row r="80" spans="1:13" x14ac:dyDescent="0.2">
      <c r="A80" t="s">
        <v>198</v>
      </c>
      <c r="B80" t="s">
        <v>361</v>
      </c>
      <c r="C80" t="s">
        <v>273</v>
      </c>
      <c r="D80" t="s">
        <v>391</v>
      </c>
      <c r="E80" t="s">
        <v>363</v>
      </c>
      <c r="F80" t="s">
        <v>272</v>
      </c>
      <c r="G80" t="s">
        <v>272</v>
      </c>
      <c r="H80" t="s">
        <v>252</v>
      </c>
      <c r="I80" t="s">
        <v>273</v>
      </c>
      <c r="L80" t="str">
        <f t="shared" ca="1" si="2"/>
        <v/>
      </c>
      <c r="M80" t="str">
        <f t="shared" ca="1" si="3"/>
        <v/>
      </c>
    </row>
    <row r="81" spans="1:13" x14ac:dyDescent="0.2">
      <c r="A81" t="s">
        <v>199</v>
      </c>
      <c r="B81" t="s">
        <v>361</v>
      </c>
      <c r="C81" t="s">
        <v>273</v>
      </c>
      <c r="D81" t="s">
        <v>390</v>
      </c>
      <c r="E81" t="s">
        <v>363</v>
      </c>
      <c r="F81" t="s">
        <v>272</v>
      </c>
      <c r="G81" t="s">
        <v>272</v>
      </c>
      <c r="H81" t="s">
        <v>252</v>
      </c>
      <c r="I81" t="s">
        <v>273</v>
      </c>
      <c r="L81" t="str">
        <f t="shared" ca="1" si="2"/>
        <v/>
      </c>
      <c r="M81" t="str">
        <f t="shared" ca="1" si="3"/>
        <v/>
      </c>
    </row>
    <row r="82" spans="1:13" x14ac:dyDescent="0.2">
      <c r="A82" t="s">
        <v>200</v>
      </c>
      <c r="B82" t="s">
        <v>361</v>
      </c>
      <c r="C82" t="s">
        <v>273</v>
      </c>
      <c r="D82" t="s">
        <v>390</v>
      </c>
      <c r="E82" t="s">
        <v>363</v>
      </c>
      <c r="F82" t="s">
        <v>272</v>
      </c>
      <c r="G82" t="s">
        <v>272</v>
      </c>
      <c r="H82" t="s">
        <v>252</v>
      </c>
      <c r="I82" t="s">
        <v>273</v>
      </c>
      <c r="L82" t="str">
        <f t="shared" ca="1" si="2"/>
        <v/>
      </c>
      <c r="M82" t="str">
        <f t="shared" ca="1" si="3"/>
        <v/>
      </c>
    </row>
    <row r="83" spans="1:13" x14ac:dyDescent="0.2">
      <c r="A83" t="s">
        <v>201</v>
      </c>
      <c r="B83" t="s">
        <v>361</v>
      </c>
      <c r="C83" t="s">
        <v>273</v>
      </c>
      <c r="D83" t="s">
        <v>388</v>
      </c>
      <c r="E83" t="s">
        <v>363</v>
      </c>
      <c r="F83" t="s">
        <v>272</v>
      </c>
      <c r="G83" t="s">
        <v>272</v>
      </c>
      <c r="H83" t="s">
        <v>252</v>
      </c>
      <c r="I83" t="s">
        <v>273</v>
      </c>
      <c r="L83" t="str">
        <f t="shared" ca="1" si="2"/>
        <v/>
      </c>
      <c r="M83" t="str">
        <f t="shared" ca="1" si="3"/>
        <v/>
      </c>
    </row>
    <row r="84" spans="1:13" x14ac:dyDescent="0.2">
      <c r="A84" t="s">
        <v>202</v>
      </c>
      <c r="B84" t="s">
        <v>361</v>
      </c>
      <c r="C84" t="s">
        <v>273</v>
      </c>
      <c r="D84" t="s">
        <v>388</v>
      </c>
      <c r="E84" t="s">
        <v>363</v>
      </c>
      <c r="F84" t="s">
        <v>272</v>
      </c>
      <c r="G84" t="s">
        <v>272</v>
      </c>
      <c r="H84" t="s">
        <v>252</v>
      </c>
      <c r="I84" t="s">
        <v>273</v>
      </c>
      <c r="L84" t="str">
        <f t="shared" ca="1" si="2"/>
        <v/>
      </c>
      <c r="M84" t="str">
        <f t="shared" ca="1" si="3"/>
        <v/>
      </c>
    </row>
    <row r="85" spans="1:13" x14ac:dyDescent="0.2">
      <c r="A85" t="s">
        <v>203</v>
      </c>
      <c r="B85" t="s">
        <v>361</v>
      </c>
      <c r="C85" t="s">
        <v>273</v>
      </c>
      <c r="D85" t="s">
        <v>388</v>
      </c>
      <c r="E85" t="s">
        <v>363</v>
      </c>
      <c r="F85" t="s">
        <v>272</v>
      </c>
      <c r="G85" t="s">
        <v>272</v>
      </c>
      <c r="H85" t="s">
        <v>252</v>
      </c>
      <c r="I85" t="s">
        <v>273</v>
      </c>
      <c r="L85" t="str">
        <f t="shared" ca="1" si="2"/>
        <v/>
      </c>
      <c r="M85" t="str">
        <f t="shared" ca="1" si="3"/>
        <v/>
      </c>
    </row>
    <row r="86" spans="1:13" x14ac:dyDescent="0.2">
      <c r="A86" t="s">
        <v>204</v>
      </c>
      <c r="B86" t="s">
        <v>361</v>
      </c>
      <c r="C86" t="s">
        <v>273</v>
      </c>
      <c r="D86" t="s">
        <v>391</v>
      </c>
      <c r="E86" t="s">
        <v>363</v>
      </c>
      <c r="F86" t="s">
        <v>272</v>
      </c>
      <c r="G86" t="s">
        <v>272</v>
      </c>
      <c r="H86" t="s">
        <v>252</v>
      </c>
      <c r="I86" t="s">
        <v>273</v>
      </c>
      <c r="L86" t="str">
        <f t="shared" ca="1" si="2"/>
        <v/>
      </c>
      <c r="M86" t="str">
        <f t="shared" ca="1" si="3"/>
        <v/>
      </c>
    </row>
    <row r="87" spans="1:13" x14ac:dyDescent="0.2">
      <c r="A87" t="s">
        <v>205</v>
      </c>
      <c r="B87" t="s">
        <v>361</v>
      </c>
      <c r="C87" t="s">
        <v>273</v>
      </c>
      <c r="D87" t="s">
        <v>389</v>
      </c>
      <c r="E87" t="s">
        <v>363</v>
      </c>
      <c r="F87" t="s">
        <v>272</v>
      </c>
      <c r="G87" t="s">
        <v>272</v>
      </c>
      <c r="H87" t="s">
        <v>252</v>
      </c>
      <c r="I87" t="s">
        <v>273</v>
      </c>
      <c r="L87" t="str">
        <f t="shared" ca="1" si="2"/>
        <v/>
      </c>
      <c r="M87" t="str">
        <f t="shared" ca="1" si="3"/>
        <v/>
      </c>
    </row>
    <row r="88" spans="1:13" x14ac:dyDescent="0.2">
      <c r="A88" t="s">
        <v>206</v>
      </c>
      <c r="B88" t="s">
        <v>361</v>
      </c>
      <c r="C88" t="s">
        <v>273</v>
      </c>
      <c r="D88" t="s">
        <v>388</v>
      </c>
      <c r="E88" t="s">
        <v>363</v>
      </c>
      <c r="F88" t="s">
        <v>272</v>
      </c>
      <c r="G88" t="s">
        <v>272</v>
      </c>
      <c r="H88" t="s">
        <v>252</v>
      </c>
      <c r="I88" t="s">
        <v>273</v>
      </c>
      <c r="L88" t="str">
        <f t="shared" ca="1" si="2"/>
        <v/>
      </c>
      <c r="M88" t="str">
        <f t="shared" ca="1" si="3"/>
        <v/>
      </c>
    </row>
    <row r="89" spans="1:13" x14ac:dyDescent="0.2">
      <c r="A89" t="s">
        <v>207</v>
      </c>
      <c r="B89" t="s">
        <v>361</v>
      </c>
      <c r="C89" t="s">
        <v>273</v>
      </c>
      <c r="D89" t="s">
        <v>388</v>
      </c>
      <c r="E89" t="s">
        <v>363</v>
      </c>
      <c r="F89" t="s">
        <v>272</v>
      </c>
      <c r="G89" t="s">
        <v>272</v>
      </c>
      <c r="H89" t="s">
        <v>252</v>
      </c>
      <c r="I89" t="s">
        <v>273</v>
      </c>
      <c r="L89" t="str">
        <f t="shared" ca="1" si="2"/>
        <v/>
      </c>
      <c r="M89" t="str">
        <f t="shared" ca="1" si="3"/>
        <v/>
      </c>
    </row>
    <row r="90" spans="1:13" x14ac:dyDescent="0.2">
      <c r="A90" t="s">
        <v>208</v>
      </c>
      <c r="B90" t="s">
        <v>361</v>
      </c>
      <c r="C90" t="s">
        <v>273</v>
      </c>
      <c r="D90" t="s">
        <v>391</v>
      </c>
      <c r="E90" t="s">
        <v>363</v>
      </c>
      <c r="F90" t="s">
        <v>272</v>
      </c>
      <c r="G90" t="s">
        <v>272</v>
      </c>
      <c r="H90" t="s">
        <v>252</v>
      </c>
      <c r="I90" t="s">
        <v>273</v>
      </c>
      <c r="L90" t="str">
        <f t="shared" ca="1" si="2"/>
        <v/>
      </c>
      <c r="M90" t="str">
        <f t="shared" ca="1" si="3"/>
        <v/>
      </c>
    </row>
    <row r="91" spans="1:13" x14ac:dyDescent="0.2">
      <c r="A91" t="s">
        <v>209</v>
      </c>
      <c r="B91" t="s">
        <v>361</v>
      </c>
      <c r="C91" t="s">
        <v>273</v>
      </c>
      <c r="D91" t="s">
        <v>388</v>
      </c>
      <c r="E91" t="s">
        <v>363</v>
      </c>
      <c r="F91" t="s">
        <v>272</v>
      </c>
      <c r="G91" t="s">
        <v>272</v>
      </c>
      <c r="H91" t="s">
        <v>252</v>
      </c>
      <c r="I91" t="s">
        <v>273</v>
      </c>
      <c r="L91" t="str">
        <f t="shared" ca="1" si="2"/>
        <v/>
      </c>
      <c r="M91" t="str">
        <f t="shared" ca="1" si="3"/>
        <v/>
      </c>
    </row>
    <row r="92" spans="1:13" x14ac:dyDescent="0.2">
      <c r="A92" t="s">
        <v>210</v>
      </c>
      <c r="B92" t="s">
        <v>361</v>
      </c>
      <c r="C92" t="s">
        <v>273</v>
      </c>
      <c r="D92" t="s">
        <v>388</v>
      </c>
      <c r="E92" t="s">
        <v>363</v>
      </c>
      <c r="F92" t="s">
        <v>272</v>
      </c>
      <c r="G92" t="s">
        <v>272</v>
      </c>
      <c r="H92" t="s">
        <v>252</v>
      </c>
      <c r="I92" t="s">
        <v>273</v>
      </c>
      <c r="L92" t="str">
        <f t="shared" ca="1" si="2"/>
        <v/>
      </c>
      <c r="M92" t="str">
        <f t="shared" ca="1" si="3"/>
        <v/>
      </c>
    </row>
    <row r="93" spans="1:13" x14ac:dyDescent="0.2">
      <c r="A93" t="s">
        <v>211</v>
      </c>
      <c r="B93" t="s">
        <v>361</v>
      </c>
      <c r="C93" t="s">
        <v>273</v>
      </c>
      <c r="D93" t="s">
        <v>388</v>
      </c>
      <c r="E93" t="s">
        <v>363</v>
      </c>
      <c r="F93" t="s">
        <v>272</v>
      </c>
      <c r="G93" t="s">
        <v>272</v>
      </c>
      <c r="H93" t="s">
        <v>252</v>
      </c>
      <c r="I93" t="s">
        <v>273</v>
      </c>
      <c r="L93" t="str">
        <f t="shared" ca="1" si="2"/>
        <v/>
      </c>
      <c r="M93" t="str">
        <f t="shared" ca="1" si="3"/>
        <v/>
      </c>
    </row>
    <row r="94" spans="1:13" x14ac:dyDescent="0.2">
      <c r="A94" t="s">
        <v>212</v>
      </c>
      <c r="B94" t="s">
        <v>361</v>
      </c>
      <c r="C94" t="s">
        <v>273</v>
      </c>
      <c r="D94" t="s">
        <v>391</v>
      </c>
      <c r="E94" t="s">
        <v>363</v>
      </c>
      <c r="F94" t="s">
        <v>272</v>
      </c>
      <c r="G94" t="s">
        <v>272</v>
      </c>
      <c r="H94" t="s">
        <v>252</v>
      </c>
      <c r="I94" t="s">
        <v>273</v>
      </c>
      <c r="L94" t="str">
        <f t="shared" ca="1" si="2"/>
        <v/>
      </c>
      <c r="M94" t="str">
        <f t="shared" ca="1" si="3"/>
        <v/>
      </c>
    </row>
    <row r="95" spans="1:13" x14ac:dyDescent="0.2">
      <c r="A95" t="s">
        <v>213</v>
      </c>
      <c r="B95" t="s">
        <v>361</v>
      </c>
      <c r="C95" t="s">
        <v>273</v>
      </c>
      <c r="D95" t="s">
        <v>390</v>
      </c>
      <c r="E95" t="s">
        <v>363</v>
      </c>
      <c r="F95" t="s">
        <v>272</v>
      </c>
      <c r="G95" t="s">
        <v>272</v>
      </c>
      <c r="H95" t="s">
        <v>252</v>
      </c>
      <c r="I95" t="s">
        <v>273</v>
      </c>
      <c r="L95" t="str">
        <f t="shared" ca="1" si="2"/>
        <v/>
      </c>
      <c r="M95" t="str">
        <f t="shared" ca="1" si="3"/>
        <v/>
      </c>
    </row>
    <row r="96" spans="1:13" x14ac:dyDescent="0.2">
      <c r="A96" t="s">
        <v>214</v>
      </c>
      <c r="B96" t="s">
        <v>361</v>
      </c>
      <c r="C96" t="s">
        <v>273</v>
      </c>
      <c r="D96" t="s">
        <v>388</v>
      </c>
      <c r="E96" t="s">
        <v>363</v>
      </c>
      <c r="F96" t="s">
        <v>272</v>
      </c>
      <c r="G96" t="s">
        <v>272</v>
      </c>
      <c r="H96" t="s">
        <v>252</v>
      </c>
      <c r="I96" t="s">
        <v>273</v>
      </c>
      <c r="L96" t="str">
        <f t="shared" ca="1" si="2"/>
        <v/>
      </c>
      <c r="M96" t="str">
        <f t="shared" ca="1" si="3"/>
        <v/>
      </c>
    </row>
    <row r="97" spans="1:13" x14ac:dyDescent="0.2">
      <c r="A97" t="s">
        <v>1268</v>
      </c>
      <c r="B97" t="s">
        <v>361</v>
      </c>
      <c r="C97" t="s">
        <v>273</v>
      </c>
      <c r="D97" t="s">
        <v>388</v>
      </c>
      <c r="E97" t="s">
        <v>363</v>
      </c>
      <c r="F97" t="s">
        <v>272</v>
      </c>
      <c r="G97" t="s">
        <v>272</v>
      </c>
      <c r="H97" t="s">
        <v>252</v>
      </c>
      <c r="I97" t="s">
        <v>273</v>
      </c>
      <c r="L97" t="str">
        <f t="shared" ca="1" si="2"/>
        <v/>
      </c>
      <c r="M97" t="str">
        <f t="shared" ca="1" si="3"/>
        <v/>
      </c>
    </row>
    <row r="98" spans="1:13" x14ac:dyDescent="0.2">
      <c r="A98" t="s">
        <v>1271</v>
      </c>
      <c r="B98" t="s">
        <v>361</v>
      </c>
      <c r="C98" t="s">
        <v>273</v>
      </c>
      <c r="D98" t="s">
        <v>1142</v>
      </c>
      <c r="E98" t="s">
        <v>363</v>
      </c>
      <c r="F98" t="s">
        <v>272</v>
      </c>
      <c r="G98" t="s">
        <v>272</v>
      </c>
      <c r="H98" t="s">
        <v>252</v>
      </c>
      <c r="I98" t="s">
        <v>273</v>
      </c>
      <c r="L98" t="str">
        <f t="shared" ca="1" si="2"/>
        <v/>
      </c>
      <c r="M98" t="str">
        <f t="shared" ca="1" si="3"/>
        <v/>
      </c>
    </row>
    <row r="99" spans="1:13" x14ac:dyDescent="0.2">
      <c r="A99" t="s">
        <v>1272</v>
      </c>
      <c r="B99" t="s">
        <v>361</v>
      </c>
      <c r="C99" t="s">
        <v>273</v>
      </c>
      <c r="D99" t="s">
        <v>1142</v>
      </c>
      <c r="E99" t="s">
        <v>363</v>
      </c>
      <c r="F99" t="s">
        <v>272</v>
      </c>
      <c r="G99" t="s">
        <v>272</v>
      </c>
      <c r="H99" t="s">
        <v>252</v>
      </c>
      <c r="I99" t="s">
        <v>273</v>
      </c>
      <c r="L99" t="str">
        <f t="shared" ca="1" si="2"/>
        <v/>
      </c>
      <c r="M99" t="str">
        <f t="shared" ca="1" si="3"/>
        <v/>
      </c>
    </row>
    <row r="100" spans="1:13" x14ac:dyDescent="0.2">
      <c r="A100" t="s">
        <v>1273</v>
      </c>
      <c r="B100" t="s">
        <v>361</v>
      </c>
      <c r="C100" t="s">
        <v>273</v>
      </c>
      <c r="D100" t="s">
        <v>387</v>
      </c>
      <c r="E100" t="s">
        <v>363</v>
      </c>
      <c r="F100" t="s">
        <v>272</v>
      </c>
      <c r="G100" t="s">
        <v>272</v>
      </c>
      <c r="H100" t="s">
        <v>252</v>
      </c>
      <c r="I100" t="s">
        <v>273</v>
      </c>
      <c r="L100" t="str">
        <f t="shared" ca="1" si="2"/>
        <v/>
      </c>
      <c r="M100" t="str">
        <f t="shared" ca="1" si="3"/>
        <v/>
      </c>
    </row>
    <row r="101" spans="1:13" x14ac:dyDescent="0.2">
      <c r="A101" t="s">
        <v>91</v>
      </c>
      <c r="B101" t="s">
        <v>392</v>
      </c>
      <c r="C101" t="s">
        <v>275</v>
      </c>
      <c r="D101" t="s">
        <v>393</v>
      </c>
      <c r="E101" t="s">
        <v>274</v>
      </c>
      <c r="F101" t="s">
        <v>395</v>
      </c>
      <c r="G101" t="s">
        <v>274</v>
      </c>
      <c r="H101" t="s">
        <v>276</v>
      </c>
      <c r="I101" t="s">
        <v>276</v>
      </c>
      <c r="L101" t="str">
        <f t="shared" ca="1" si="2"/>
        <v/>
      </c>
      <c r="M101" t="str">
        <f t="shared" ca="1" si="3"/>
        <v/>
      </c>
    </row>
    <row r="102" spans="1:13" x14ac:dyDescent="0.2">
      <c r="A102" t="s">
        <v>91</v>
      </c>
      <c r="B102" t="s">
        <v>392</v>
      </c>
      <c r="C102" t="s">
        <v>275</v>
      </c>
      <c r="D102" t="s">
        <v>393</v>
      </c>
      <c r="E102" t="s">
        <v>274</v>
      </c>
      <c r="F102" t="s">
        <v>397</v>
      </c>
      <c r="G102" t="s">
        <v>274</v>
      </c>
      <c r="H102" t="s">
        <v>275</v>
      </c>
      <c r="I102" t="s">
        <v>275</v>
      </c>
      <c r="L102" t="str">
        <f t="shared" ca="1" si="2"/>
        <v/>
      </c>
      <c r="M102" t="str">
        <f t="shared" ca="1" si="3"/>
        <v/>
      </c>
    </row>
    <row r="103" spans="1:13" x14ac:dyDescent="0.2">
      <c r="A103" t="s">
        <v>91</v>
      </c>
      <c r="B103" t="s">
        <v>392</v>
      </c>
      <c r="C103" t="s">
        <v>275</v>
      </c>
      <c r="D103" t="s">
        <v>393</v>
      </c>
      <c r="E103" t="s">
        <v>274</v>
      </c>
      <c r="F103" t="s">
        <v>395</v>
      </c>
      <c r="G103" t="s">
        <v>274</v>
      </c>
      <c r="H103" t="s">
        <v>275</v>
      </c>
      <c r="I103" t="s">
        <v>275</v>
      </c>
      <c r="L103" t="str">
        <f t="shared" ca="1" si="2"/>
        <v/>
      </c>
      <c r="M103" t="str">
        <f t="shared" ca="1" si="3"/>
        <v/>
      </c>
    </row>
    <row r="104" spans="1:13" x14ac:dyDescent="0.2">
      <c r="A104" t="s">
        <v>91</v>
      </c>
      <c r="B104" t="s">
        <v>392</v>
      </c>
      <c r="C104" t="s">
        <v>275</v>
      </c>
      <c r="D104" t="s">
        <v>393</v>
      </c>
      <c r="E104" t="s">
        <v>274</v>
      </c>
      <c r="F104" t="s">
        <v>396</v>
      </c>
      <c r="G104" t="s">
        <v>274</v>
      </c>
      <c r="H104" t="s">
        <v>275</v>
      </c>
      <c r="I104" t="s">
        <v>275</v>
      </c>
      <c r="L104" t="str">
        <f t="shared" ca="1" si="2"/>
        <v/>
      </c>
      <c r="M104" t="str">
        <f t="shared" ca="1" si="3"/>
        <v/>
      </c>
    </row>
    <row r="105" spans="1:13" x14ac:dyDescent="0.2">
      <c r="A105" t="s">
        <v>91</v>
      </c>
      <c r="B105" t="s">
        <v>392</v>
      </c>
      <c r="C105" t="s">
        <v>275</v>
      </c>
      <c r="D105" t="s">
        <v>393</v>
      </c>
      <c r="E105" t="s">
        <v>274</v>
      </c>
      <c r="F105" t="s">
        <v>398</v>
      </c>
      <c r="G105" t="s">
        <v>274</v>
      </c>
      <c r="H105" t="s">
        <v>275</v>
      </c>
      <c r="I105" t="s">
        <v>275</v>
      </c>
      <c r="L105" t="str">
        <f t="shared" ca="1" si="2"/>
        <v/>
      </c>
      <c r="M105" t="str">
        <f t="shared" ca="1" si="3"/>
        <v/>
      </c>
    </row>
    <row r="106" spans="1:13" x14ac:dyDescent="0.2">
      <c r="A106" t="s">
        <v>91</v>
      </c>
      <c r="B106" t="s">
        <v>392</v>
      </c>
      <c r="C106" t="s">
        <v>275</v>
      </c>
      <c r="D106" t="s">
        <v>393</v>
      </c>
      <c r="E106" t="s">
        <v>274</v>
      </c>
      <c r="F106" t="s">
        <v>394</v>
      </c>
      <c r="G106" t="s">
        <v>274</v>
      </c>
      <c r="H106" t="s">
        <v>275</v>
      </c>
      <c r="I106" t="s">
        <v>275</v>
      </c>
      <c r="L106" t="str">
        <f t="shared" ca="1" si="2"/>
        <v/>
      </c>
      <c r="M106" t="str">
        <f t="shared" ca="1" si="3"/>
        <v/>
      </c>
    </row>
    <row r="107" spans="1:13" x14ac:dyDescent="0.2">
      <c r="A107" t="s">
        <v>96</v>
      </c>
      <c r="B107" t="s">
        <v>392</v>
      </c>
      <c r="C107" t="s">
        <v>275</v>
      </c>
      <c r="D107" t="s">
        <v>399</v>
      </c>
      <c r="E107" t="s">
        <v>274</v>
      </c>
      <c r="F107" t="s">
        <v>397</v>
      </c>
      <c r="G107" t="s">
        <v>274</v>
      </c>
      <c r="H107" t="s">
        <v>275</v>
      </c>
      <c r="I107" t="s">
        <v>275</v>
      </c>
      <c r="L107" t="str">
        <f t="shared" ca="1" si="2"/>
        <v/>
      </c>
      <c r="M107" t="str">
        <f t="shared" ca="1" si="3"/>
        <v/>
      </c>
    </row>
    <row r="108" spans="1:13" x14ac:dyDescent="0.2">
      <c r="A108" t="s">
        <v>96</v>
      </c>
      <c r="B108" t="s">
        <v>392</v>
      </c>
      <c r="C108" t="s">
        <v>275</v>
      </c>
      <c r="D108" t="s">
        <v>399</v>
      </c>
      <c r="E108" t="s">
        <v>274</v>
      </c>
      <c r="F108" t="s">
        <v>394</v>
      </c>
      <c r="G108" t="s">
        <v>274</v>
      </c>
      <c r="H108" t="s">
        <v>275</v>
      </c>
      <c r="I108" t="s">
        <v>275</v>
      </c>
      <c r="L108" t="str">
        <f t="shared" ca="1" si="2"/>
        <v/>
      </c>
      <c r="M108" t="str">
        <f t="shared" ca="1" si="3"/>
        <v/>
      </c>
    </row>
    <row r="109" spans="1:13" x14ac:dyDescent="0.2">
      <c r="A109" t="s">
        <v>96</v>
      </c>
      <c r="B109" t="s">
        <v>392</v>
      </c>
      <c r="C109" t="s">
        <v>275</v>
      </c>
      <c r="D109" t="s">
        <v>399</v>
      </c>
      <c r="E109" t="s">
        <v>274</v>
      </c>
      <c r="F109" t="s">
        <v>396</v>
      </c>
      <c r="G109" t="s">
        <v>274</v>
      </c>
      <c r="H109" t="s">
        <v>275</v>
      </c>
      <c r="I109" t="s">
        <v>275</v>
      </c>
      <c r="L109" t="str">
        <f t="shared" ca="1" si="2"/>
        <v/>
      </c>
      <c r="M109" t="str">
        <f t="shared" ca="1" si="3"/>
        <v/>
      </c>
    </row>
    <row r="110" spans="1:13" x14ac:dyDescent="0.2">
      <c r="A110" t="s">
        <v>96</v>
      </c>
      <c r="B110" t="s">
        <v>392</v>
      </c>
      <c r="C110" t="s">
        <v>275</v>
      </c>
      <c r="D110" t="s">
        <v>399</v>
      </c>
      <c r="E110" t="s">
        <v>274</v>
      </c>
      <c r="F110" t="s">
        <v>395</v>
      </c>
      <c r="G110" t="s">
        <v>274</v>
      </c>
      <c r="H110" t="s">
        <v>275</v>
      </c>
      <c r="I110" t="s">
        <v>275</v>
      </c>
      <c r="L110" t="str">
        <f t="shared" ca="1" si="2"/>
        <v/>
      </c>
      <c r="M110" t="str">
        <f t="shared" ca="1" si="3"/>
        <v/>
      </c>
    </row>
    <row r="111" spans="1:13" x14ac:dyDescent="0.2">
      <c r="A111" t="s">
        <v>96</v>
      </c>
      <c r="B111" t="s">
        <v>392</v>
      </c>
      <c r="C111" t="s">
        <v>275</v>
      </c>
      <c r="D111" t="s">
        <v>399</v>
      </c>
      <c r="E111" t="s">
        <v>274</v>
      </c>
      <c r="F111" t="s">
        <v>398</v>
      </c>
      <c r="G111" t="s">
        <v>274</v>
      </c>
      <c r="H111" t="s">
        <v>275</v>
      </c>
      <c r="I111" t="s">
        <v>275</v>
      </c>
      <c r="L111" t="str">
        <f t="shared" ca="1" si="2"/>
        <v/>
      </c>
      <c r="M111" t="str">
        <f t="shared" ca="1" si="3"/>
        <v/>
      </c>
    </row>
    <row r="112" spans="1:13" x14ac:dyDescent="0.2">
      <c r="A112" t="s">
        <v>96</v>
      </c>
      <c r="B112" t="s">
        <v>392</v>
      </c>
      <c r="C112" t="s">
        <v>275</v>
      </c>
      <c r="D112" t="s">
        <v>399</v>
      </c>
      <c r="E112" t="s">
        <v>274</v>
      </c>
      <c r="F112" t="s">
        <v>395</v>
      </c>
      <c r="G112" t="s">
        <v>274</v>
      </c>
      <c r="H112" t="s">
        <v>276</v>
      </c>
      <c r="I112" t="s">
        <v>276</v>
      </c>
      <c r="L112" t="str">
        <f t="shared" ca="1" si="2"/>
        <v/>
      </c>
      <c r="M112" t="str">
        <f t="shared" ca="1" si="3"/>
        <v/>
      </c>
    </row>
    <row r="113" spans="1:13" x14ac:dyDescent="0.2">
      <c r="A113" t="s">
        <v>97</v>
      </c>
      <c r="B113" t="s">
        <v>392</v>
      </c>
      <c r="C113" t="s">
        <v>275</v>
      </c>
      <c r="D113" t="s">
        <v>97</v>
      </c>
      <c r="E113" t="s">
        <v>274</v>
      </c>
      <c r="F113" t="s">
        <v>396</v>
      </c>
      <c r="G113" t="s">
        <v>274</v>
      </c>
      <c r="H113" t="s">
        <v>275</v>
      </c>
      <c r="I113" t="s">
        <v>275</v>
      </c>
      <c r="L113" t="str">
        <f t="shared" ca="1" si="2"/>
        <v/>
      </c>
      <c r="M113" t="str">
        <f t="shared" ca="1" si="3"/>
        <v/>
      </c>
    </row>
    <row r="114" spans="1:13" x14ac:dyDescent="0.2">
      <c r="A114" t="s">
        <v>97</v>
      </c>
      <c r="B114" t="s">
        <v>392</v>
      </c>
      <c r="C114" t="s">
        <v>275</v>
      </c>
      <c r="D114" t="s">
        <v>97</v>
      </c>
      <c r="E114" t="s">
        <v>274</v>
      </c>
      <c r="F114" t="s">
        <v>395</v>
      </c>
      <c r="G114" t="s">
        <v>274</v>
      </c>
      <c r="H114" t="s">
        <v>275</v>
      </c>
      <c r="I114" t="s">
        <v>275</v>
      </c>
      <c r="L114" t="str">
        <f t="shared" ca="1" si="2"/>
        <v/>
      </c>
      <c r="M114" t="str">
        <f t="shared" ca="1" si="3"/>
        <v/>
      </c>
    </row>
    <row r="115" spans="1:13" x14ac:dyDescent="0.2">
      <c r="A115" t="s">
        <v>97</v>
      </c>
      <c r="B115" t="s">
        <v>392</v>
      </c>
      <c r="C115" t="s">
        <v>275</v>
      </c>
      <c r="D115" t="s">
        <v>97</v>
      </c>
      <c r="E115" t="s">
        <v>274</v>
      </c>
      <c r="F115" t="s">
        <v>395</v>
      </c>
      <c r="G115" t="s">
        <v>274</v>
      </c>
      <c r="H115" t="s">
        <v>276</v>
      </c>
      <c r="I115" t="s">
        <v>276</v>
      </c>
      <c r="L115" t="str">
        <f t="shared" ca="1" si="2"/>
        <v/>
      </c>
      <c r="M115" t="str">
        <f t="shared" ca="1" si="3"/>
        <v/>
      </c>
    </row>
    <row r="116" spans="1:13" x14ac:dyDescent="0.2">
      <c r="A116" t="s">
        <v>97</v>
      </c>
      <c r="B116" t="s">
        <v>392</v>
      </c>
      <c r="C116" t="s">
        <v>275</v>
      </c>
      <c r="D116" t="s">
        <v>97</v>
      </c>
      <c r="E116" t="s">
        <v>274</v>
      </c>
      <c r="F116" t="s">
        <v>398</v>
      </c>
      <c r="G116" t="s">
        <v>274</v>
      </c>
      <c r="H116" t="s">
        <v>275</v>
      </c>
      <c r="I116" t="s">
        <v>275</v>
      </c>
      <c r="L116" t="str">
        <f t="shared" ca="1" si="2"/>
        <v/>
      </c>
      <c r="M116" t="str">
        <f t="shared" ca="1" si="3"/>
        <v/>
      </c>
    </row>
    <row r="117" spans="1:13" x14ac:dyDescent="0.2">
      <c r="A117" t="s">
        <v>97</v>
      </c>
      <c r="B117" t="s">
        <v>392</v>
      </c>
      <c r="C117" t="s">
        <v>275</v>
      </c>
      <c r="D117" t="s">
        <v>97</v>
      </c>
      <c r="E117" t="s">
        <v>274</v>
      </c>
      <c r="F117" t="s">
        <v>394</v>
      </c>
      <c r="G117" t="s">
        <v>274</v>
      </c>
      <c r="H117" t="s">
        <v>275</v>
      </c>
      <c r="I117" t="s">
        <v>275</v>
      </c>
      <c r="L117" t="str">
        <f t="shared" ca="1" si="2"/>
        <v/>
      </c>
      <c r="M117" t="str">
        <f t="shared" ca="1" si="3"/>
        <v/>
      </c>
    </row>
    <row r="118" spans="1:13" x14ac:dyDescent="0.2">
      <c r="A118" t="s">
        <v>97</v>
      </c>
      <c r="B118" t="s">
        <v>392</v>
      </c>
      <c r="C118" t="s">
        <v>275</v>
      </c>
      <c r="D118" t="s">
        <v>97</v>
      </c>
      <c r="E118" t="s">
        <v>274</v>
      </c>
      <c r="F118" t="s">
        <v>397</v>
      </c>
      <c r="G118" t="s">
        <v>274</v>
      </c>
      <c r="H118" t="s">
        <v>275</v>
      </c>
      <c r="I118" t="s">
        <v>275</v>
      </c>
      <c r="L118" t="str">
        <f t="shared" ca="1" si="2"/>
        <v/>
      </c>
      <c r="M118" t="str">
        <f t="shared" ca="1" si="3"/>
        <v/>
      </c>
    </row>
    <row r="119" spans="1:13" x14ac:dyDescent="0.2">
      <c r="A119" t="s">
        <v>115</v>
      </c>
      <c r="B119" t="s">
        <v>392</v>
      </c>
      <c r="C119" t="s">
        <v>275</v>
      </c>
      <c r="D119" t="s">
        <v>400</v>
      </c>
      <c r="E119" t="s">
        <v>274</v>
      </c>
      <c r="F119" t="s">
        <v>394</v>
      </c>
      <c r="G119" t="s">
        <v>274</v>
      </c>
      <c r="H119" t="s">
        <v>275</v>
      </c>
      <c r="I119" t="s">
        <v>275</v>
      </c>
      <c r="L119" t="str">
        <f t="shared" ca="1" si="2"/>
        <v/>
      </c>
      <c r="M119" t="str">
        <f t="shared" ca="1" si="3"/>
        <v/>
      </c>
    </row>
    <row r="120" spans="1:13" x14ac:dyDescent="0.2">
      <c r="A120" t="s">
        <v>115</v>
      </c>
      <c r="B120" t="s">
        <v>392</v>
      </c>
      <c r="C120" t="s">
        <v>275</v>
      </c>
      <c r="D120" t="s">
        <v>400</v>
      </c>
      <c r="E120" t="s">
        <v>274</v>
      </c>
      <c r="F120" t="s">
        <v>397</v>
      </c>
      <c r="G120" t="s">
        <v>274</v>
      </c>
      <c r="H120" t="s">
        <v>275</v>
      </c>
      <c r="I120" t="s">
        <v>275</v>
      </c>
      <c r="L120" t="str">
        <f t="shared" ca="1" si="2"/>
        <v/>
      </c>
      <c r="M120" t="str">
        <f t="shared" ca="1" si="3"/>
        <v/>
      </c>
    </row>
    <row r="121" spans="1:13" x14ac:dyDescent="0.2">
      <c r="A121" t="s">
        <v>115</v>
      </c>
      <c r="B121" t="s">
        <v>392</v>
      </c>
      <c r="C121" t="s">
        <v>275</v>
      </c>
      <c r="D121" t="s">
        <v>400</v>
      </c>
      <c r="E121" t="s">
        <v>274</v>
      </c>
      <c r="F121" t="s">
        <v>395</v>
      </c>
      <c r="G121" t="s">
        <v>274</v>
      </c>
      <c r="H121" t="s">
        <v>275</v>
      </c>
      <c r="I121" t="s">
        <v>275</v>
      </c>
      <c r="L121" t="str">
        <f t="shared" ca="1" si="2"/>
        <v/>
      </c>
      <c r="M121" t="str">
        <f t="shared" ca="1" si="3"/>
        <v/>
      </c>
    </row>
    <row r="122" spans="1:13" x14ac:dyDescent="0.2">
      <c r="A122" t="s">
        <v>115</v>
      </c>
      <c r="B122" t="s">
        <v>392</v>
      </c>
      <c r="C122" t="s">
        <v>275</v>
      </c>
      <c r="D122" t="s">
        <v>400</v>
      </c>
      <c r="E122" t="s">
        <v>274</v>
      </c>
      <c r="F122" t="s">
        <v>395</v>
      </c>
      <c r="G122" t="s">
        <v>274</v>
      </c>
      <c r="H122" t="s">
        <v>276</v>
      </c>
      <c r="I122" t="s">
        <v>276</v>
      </c>
      <c r="L122" t="str">
        <f t="shared" ca="1" si="2"/>
        <v/>
      </c>
      <c r="M122" t="str">
        <f t="shared" ca="1" si="3"/>
        <v/>
      </c>
    </row>
    <row r="123" spans="1:13" x14ac:dyDescent="0.2">
      <c r="A123" t="s">
        <v>115</v>
      </c>
      <c r="B123" t="s">
        <v>392</v>
      </c>
      <c r="C123" t="s">
        <v>275</v>
      </c>
      <c r="D123" t="s">
        <v>400</v>
      </c>
      <c r="E123" t="s">
        <v>274</v>
      </c>
      <c r="F123" t="s">
        <v>398</v>
      </c>
      <c r="G123" t="s">
        <v>274</v>
      </c>
      <c r="H123" t="s">
        <v>275</v>
      </c>
      <c r="I123" t="s">
        <v>275</v>
      </c>
      <c r="L123" t="str">
        <f t="shared" ca="1" si="2"/>
        <v/>
      </c>
      <c r="M123" t="str">
        <f t="shared" ca="1" si="3"/>
        <v/>
      </c>
    </row>
    <row r="124" spans="1:13" x14ac:dyDescent="0.2">
      <c r="A124" t="s">
        <v>115</v>
      </c>
      <c r="B124" t="s">
        <v>392</v>
      </c>
      <c r="C124" t="s">
        <v>275</v>
      </c>
      <c r="D124" t="s">
        <v>400</v>
      </c>
      <c r="E124" t="s">
        <v>274</v>
      </c>
      <c r="F124" t="s">
        <v>396</v>
      </c>
      <c r="G124" t="s">
        <v>274</v>
      </c>
      <c r="H124" t="s">
        <v>275</v>
      </c>
      <c r="I124" t="s">
        <v>275</v>
      </c>
      <c r="L124" t="str">
        <f t="shared" ca="1" si="2"/>
        <v/>
      </c>
      <c r="M124" t="str">
        <f t="shared" ca="1" si="3"/>
        <v/>
      </c>
    </row>
    <row r="125" spans="1:13" x14ac:dyDescent="0.2">
      <c r="A125" t="s">
        <v>116</v>
      </c>
      <c r="B125" t="s">
        <v>392</v>
      </c>
      <c r="C125" t="s">
        <v>275</v>
      </c>
      <c r="D125" t="s">
        <v>400</v>
      </c>
      <c r="E125" t="s">
        <v>274</v>
      </c>
      <c r="F125" t="s">
        <v>394</v>
      </c>
      <c r="G125" t="s">
        <v>274</v>
      </c>
      <c r="H125" t="s">
        <v>275</v>
      </c>
      <c r="I125" t="s">
        <v>275</v>
      </c>
      <c r="L125" t="str">
        <f t="shared" ca="1" si="2"/>
        <v/>
      </c>
      <c r="M125" t="str">
        <f t="shared" ca="1" si="3"/>
        <v/>
      </c>
    </row>
    <row r="126" spans="1:13" x14ac:dyDescent="0.2">
      <c r="A126" t="s">
        <v>134</v>
      </c>
      <c r="B126" t="s">
        <v>392</v>
      </c>
      <c r="C126" t="s">
        <v>275</v>
      </c>
      <c r="D126" t="s">
        <v>401</v>
      </c>
      <c r="E126" t="s">
        <v>274</v>
      </c>
      <c r="F126" t="s">
        <v>394</v>
      </c>
      <c r="G126" t="s">
        <v>274</v>
      </c>
      <c r="H126" t="s">
        <v>275</v>
      </c>
      <c r="I126" t="s">
        <v>275</v>
      </c>
      <c r="L126" t="str">
        <f t="shared" ca="1" si="2"/>
        <v/>
      </c>
      <c r="M126" t="str">
        <f t="shared" ca="1" si="3"/>
        <v/>
      </c>
    </row>
    <row r="127" spans="1:13" x14ac:dyDescent="0.2">
      <c r="A127" t="s">
        <v>134</v>
      </c>
      <c r="B127" t="s">
        <v>392</v>
      </c>
      <c r="C127" t="s">
        <v>275</v>
      </c>
      <c r="D127" t="s">
        <v>401</v>
      </c>
      <c r="E127" t="s">
        <v>274</v>
      </c>
      <c r="F127" t="s">
        <v>397</v>
      </c>
      <c r="G127" t="s">
        <v>274</v>
      </c>
      <c r="H127" t="s">
        <v>275</v>
      </c>
      <c r="I127" t="s">
        <v>275</v>
      </c>
      <c r="L127" t="str">
        <f t="shared" ca="1" si="2"/>
        <v/>
      </c>
      <c r="M127" t="str">
        <f t="shared" ca="1" si="3"/>
        <v/>
      </c>
    </row>
    <row r="128" spans="1:13" x14ac:dyDescent="0.2">
      <c r="A128" t="s">
        <v>134</v>
      </c>
      <c r="B128" t="s">
        <v>392</v>
      </c>
      <c r="C128" t="s">
        <v>275</v>
      </c>
      <c r="D128" t="s">
        <v>401</v>
      </c>
      <c r="E128" t="s">
        <v>274</v>
      </c>
      <c r="F128" t="s">
        <v>396</v>
      </c>
      <c r="G128" t="s">
        <v>274</v>
      </c>
      <c r="H128" t="s">
        <v>275</v>
      </c>
      <c r="I128" t="s">
        <v>275</v>
      </c>
      <c r="L128" t="str">
        <f t="shared" ca="1" si="2"/>
        <v/>
      </c>
      <c r="M128" t="str">
        <f t="shared" ca="1" si="3"/>
        <v/>
      </c>
    </row>
    <row r="129" spans="1:13" x14ac:dyDescent="0.2">
      <c r="A129" t="s">
        <v>134</v>
      </c>
      <c r="B129" t="s">
        <v>392</v>
      </c>
      <c r="C129" t="s">
        <v>275</v>
      </c>
      <c r="D129" t="s">
        <v>401</v>
      </c>
      <c r="E129" t="s">
        <v>274</v>
      </c>
      <c r="F129" t="s">
        <v>395</v>
      </c>
      <c r="G129" t="s">
        <v>274</v>
      </c>
      <c r="H129" t="s">
        <v>276</v>
      </c>
      <c r="I129" t="s">
        <v>276</v>
      </c>
      <c r="L129" t="str">
        <f t="shared" ca="1" si="2"/>
        <v/>
      </c>
      <c r="M129" t="str">
        <f t="shared" ca="1" si="3"/>
        <v/>
      </c>
    </row>
    <row r="130" spans="1:13" x14ac:dyDescent="0.2">
      <c r="A130" t="s">
        <v>134</v>
      </c>
      <c r="B130" t="s">
        <v>392</v>
      </c>
      <c r="C130" t="s">
        <v>275</v>
      </c>
      <c r="D130" t="s">
        <v>401</v>
      </c>
      <c r="E130" t="s">
        <v>274</v>
      </c>
      <c r="F130" t="s">
        <v>395</v>
      </c>
      <c r="G130" t="s">
        <v>274</v>
      </c>
      <c r="H130" t="s">
        <v>275</v>
      </c>
      <c r="I130" t="s">
        <v>275</v>
      </c>
      <c r="L130" t="str">
        <f t="shared" ref="L130:L193" ca="1" si="4">IFERROR(MATCH(OFFSET($G$1,ROW()-1,0,1,1),A:A,0),"")</f>
        <v/>
      </c>
      <c r="M130" t="str">
        <f t="shared" ref="M130:M193" ca="1" si="5">IFERROR(MATCH(OFFSET($G$1,ROW()-1,0,1,1),A:A,1)-L130+1,"")</f>
        <v/>
      </c>
    </row>
    <row r="131" spans="1:13" x14ac:dyDescent="0.2">
      <c r="A131" t="s">
        <v>134</v>
      </c>
      <c r="B131" t="s">
        <v>392</v>
      </c>
      <c r="C131" t="s">
        <v>275</v>
      </c>
      <c r="D131" t="s">
        <v>401</v>
      </c>
      <c r="E131" t="s">
        <v>274</v>
      </c>
      <c r="F131" t="s">
        <v>398</v>
      </c>
      <c r="G131" t="s">
        <v>274</v>
      </c>
      <c r="H131" t="s">
        <v>275</v>
      </c>
      <c r="I131" t="s">
        <v>275</v>
      </c>
      <c r="L131" t="str">
        <f t="shared" ca="1" si="4"/>
        <v/>
      </c>
      <c r="M131" t="str">
        <f t="shared" ca="1" si="5"/>
        <v/>
      </c>
    </row>
    <row r="132" spans="1:13" x14ac:dyDescent="0.2">
      <c r="A132" t="s">
        <v>178</v>
      </c>
      <c r="B132" t="s">
        <v>392</v>
      </c>
      <c r="C132" t="s">
        <v>275</v>
      </c>
      <c r="D132" t="s">
        <v>402</v>
      </c>
      <c r="E132" t="s">
        <v>274</v>
      </c>
      <c r="F132" t="s">
        <v>397</v>
      </c>
      <c r="G132" t="s">
        <v>274</v>
      </c>
      <c r="H132" t="s">
        <v>275</v>
      </c>
      <c r="I132" t="s">
        <v>275</v>
      </c>
      <c r="L132" t="str">
        <f t="shared" ca="1" si="4"/>
        <v/>
      </c>
      <c r="M132" t="str">
        <f t="shared" ca="1" si="5"/>
        <v/>
      </c>
    </row>
    <row r="133" spans="1:13" x14ac:dyDescent="0.2">
      <c r="A133" t="s">
        <v>178</v>
      </c>
      <c r="B133" t="s">
        <v>392</v>
      </c>
      <c r="C133" t="s">
        <v>275</v>
      </c>
      <c r="D133" t="s">
        <v>402</v>
      </c>
      <c r="E133" t="s">
        <v>274</v>
      </c>
      <c r="F133" t="s">
        <v>394</v>
      </c>
      <c r="G133" t="s">
        <v>274</v>
      </c>
      <c r="H133" t="s">
        <v>275</v>
      </c>
      <c r="I133" t="s">
        <v>275</v>
      </c>
      <c r="L133" t="str">
        <f t="shared" ca="1" si="4"/>
        <v/>
      </c>
      <c r="M133" t="str">
        <f t="shared" ca="1" si="5"/>
        <v/>
      </c>
    </row>
    <row r="134" spans="1:13" x14ac:dyDescent="0.2">
      <c r="A134" t="s">
        <v>178</v>
      </c>
      <c r="B134" t="s">
        <v>392</v>
      </c>
      <c r="C134" t="s">
        <v>275</v>
      </c>
      <c r="D134" t="s">
        <v>402</v>
      </c>
      <c r="E134" t="s">
        <v>274</v>
      </c>
      <c r="F134" t="s">
        <v>398</v>
      </c>
      <c r="G134" t="s">
        <v>274</v>
      </c>
      <c r="H134" t="s">
        <v>275</v>
      </c>
      <c r="I134" t="s">
        <v>275</v>
      </c>
      <c r="L134" t="str">
        <f t="shared" ca="1" si="4"/>
        <v/>
      </c>
      <c r="M134" t="str">
        <f t="shared" ca="1" si="5"/>
        <v/>
      </c>
    </row>
    <row r="135" spans="1:13" x14ac:dyDescent="0.2">
      <c r="A135" t="s">
        <v>178</v>
      </c>
      <c r="B135" t="s">
        <v>392</v>
      </c>
      <c r="C135" t="s">
        <v>275</v>
      </c>
      <c r="D135" t="s">
        <v>402</v>
      </c>
      <c r="E135" t="s">
        <v>274</v>
      </c>
      <c r="F135" t="s">
        <v>395</v>
      </c>
      <c r="G135" t="s">
        <v>274</v>
      </c>
      <c r="H135" t="s">
        <v>276</v>
      </c>
      <c r="I135" t="s">
        <v>276</v>
      </c>
      <c r="L135" t="str">
        <f t="shared" ca="1" si="4"/>
        <v/>
      </c>
      <c r="M135" t="str">
        <f t="shared" ca="1" si="5"/>
        <v/>
      </c>
    </row>
    <row r="136" spans="1:13" x14ac:dyDescent="0.2">
      <c r="A136" t="s">
        <v>178</v>
      </c>
      <c r="B136" t="s">
        <v>392</v>
      </c>
      <c r="C136" t="s">
        <v>275</v>
      </c>
      <c r="D136" t="s">
        <v>402</v>
      </c>
      <c r="E136" t="s">
        <v>274</v>
      </c>
      <c r="F136" t="s">
        <v>395</v>
      </c>
      <c r="G136" t="s">
        <v>274</v>
      </c>
      <c r="H136" t="s">
        <v>275</v>
      </c>
      <c r="I136" t="s">
        <v>275</v>
      </c>
      <c r="L136" t="str">
        <f t="shared" ca="1" si="4"/>
        <v/>
      </c>
      <c r="M136" t="str">
        <f t="shared" ca="1" si="5"/>
        <v/>
      </c>
    </row>
    <row r="137" spans="1:13" x14ac:dyDescent="0.2">
      <c r="A137" t="s">
        <v>178</v>
      </c>
      <c r="B137" t="s">
        <v>392</v>
      </c>
      <c r="C137" t="s">
        <v>275</v>
      </c>
      <c r="D137" t="s">
        <v>402</v>
      </c>
      <c r="E137" t="s">
        <v>274</v>
      </c>
      <c r="F137" t="s">
        <v>396</v>
      </c>
      <c r="G137" t="s">
        <v>274</v>
      </c>
      <c r="H137" t="s">
        <v>275</v>
      </c>
      <c r="I137" t="s">
        <v>275</v>
      </c>
      <c r="L137" t="str">
        <f t="shared" ca="1" si="4"/>
        <v/>
      </c>
      <c r="M137" t="str">
        <f t="shared" ca="1" si="5"/>
        <v/>
      </c>
    </row>
    <row r="138" spans="1:13" x14ac:dyDescent="0.2">
      <c r="A138" t="s">
        <v>222</v>
      </c>
      <c r="B138" t="s">
        <v>392</v>
      </c>
      <c r="C138" t="s">
        <v>275</v>
      </c>
      <c r="D138" t="s">
        <v>130</v>
      </c>
      <c r="E138" t="s">
        <v>274</v>
      </c>
      <c r="F138" t="s">
        <v>395</v>
      </c>
      <c r="G138" t="s">
        <v>274</v>
      </c>
      <c r="H138" t="s">
        <v>275</v>
      </c>
      <c r="I138" t="s">
        <v>275</v>
      </c>
      <c r="L138" t="str">
        <f t="shared" ca="1" si="4"/>
        <v/>
      </c>
      <c r="M138" t="str">
        <f t="shared" ca="1" si="5"/>
        <v/>
      </c>
    </row>
    <row r="139" spans="1:13" x14ac:dyDescent="0.2">
      <c r="A139" t="s">
        <v>222</v>
      </c>
      <c r="B139" t="s">
        <v>392</v>
      </c>
      <c r="C139" t="s">
        <v>275</v>
      </c>
      <c r="D139" t="s">
        <v>130</v>
      </c>
      <c r="E139" t="s">
        <v>274</v>
      </c>
      <c r="F139" t="s">
        <v>395</v>
      </c>
      <c r="G139" t="s">
        <v>274</v>
      </c>
      <c r="H139" t="s">
        <v>276</v>
      </c>
      <c r="I139" t="s">
        <v>276</v>
      </c>
      <c r="L139" t="str">
        <f t="shared" ca="1" si="4"/>
        <v/>
      </c>
      <c r="M139" t="str">
        <f t="shared" ca="1" si="5"/>
        <v/>
      </c>
    </row>
    <row r="140" spans="1:13" x14ac:dyDescent="0.2">
      <c r="A140" t="s">
        <v>222</v>
      </c>
      <c r="B140" t="s">
        <v>392</v>
      </c>
      <c r="C140" t="s">
        <v>275</v>
      </c>
      <c r="D140" t="s">
        <v>130</v>
      </c>
      <c r="E140" t="s">
        <v>274</v>
      </c>
      <c r="F140" t="s">
        <v>398</v>
      </c>
      <c r="G140" t="s">
        <v>274</v>
      </c>
      <c r="H140" t="s">
        <v>275</v>
      </c>
      <c r="I140" t="s">
        <v>275</v>
      </c>
      <c r="L140" t="str">
        <f t="shared" ca="1" si="4"/>
        <v/>
      </c>
      <c r="M140" t="str">
        <f t="shared" ca="1" si="5"/>
        <v/>
      </c>
    </row>
    <row r="141" spans="1:13" x14ac:dyDescent="0.2">
      <c r="A141" t="s">
        <v>222</v>
      </c>
      <c r="B141" t="s">
        <v>392</v>
      </c>
      <c r="C141" t="s">
        <v>275</v>
      </c>
      <c r="D141" t="s">
        <v>130</v>
      </c>
      <c r="E141" t="s">
        <v>274</v>
      </c>
      <c r="F141" t="s">
        <v>394</v>
      </c>
      <c r="G141" t="s">
        <v>274</v>
      </c>
      <c r="H141" t="s">
        <v>275</v>
      </c>
      <c r="I141" t="s">
        <v>275</v>
      </c>
      <c r="L141" t="str">
        <f t="shared" ca="1" si="4"/>
        <v/>
      </c>
      <c r="M141" t="str">
        <f t="shared" ca="1" si="5"/>
        <v/>
      </c>
    </row>
    <row r="142" spans="1:13" x14ac:dyDescent="0.2">
      <c r="A142" t="s">
        <v>222</v>
      </c>
      <c r="B142" t="s">
        <v>392</v>
      </c>
      <c r="C142" t="s">
        <v>275</v>
      </c>
      <c r="D142" t="s">
        <v>130</v>
      </c>
      <c r="E142" t="s">
        <v>274</v>
      </c>
      <c r="F142" t="s">
        <v>397</v>
      </c>
      <c r="G142" t="s">
        <v>274</v>
      </c>
      <c r="H142" t="s">
        <v>275</v>
      </c>
      <c r="I142" t="s">
        <v>275</v>
      </c>
      <c r="L142" t="str">
        <f t="shared" ca="1" si="4"/>
        <v/>
      </c>
      <c r="M142" t="str">
        <f t="shared" ca="1" si="5"/>
        <v/>
      </c>
    </row>
    <row r="143" spans="1:13" x14ac:dyDescent="0.2">
      <c r="A143" t="s">
        <v>222</v>
      </c>
      <c r="B143" t="s">
        <v>392</v>
      </c>
      <c r="C143" t="s">
        <v>275</v>
      </c>
      <c r="D143" t="s">
        <v>222</v>
      </c>
      <c r="E143" t="s">
        <v>274</v>
      </c>
      <c r="F143" t="s">
        <v>394</v>
      </c>
      <c r="G143" t="s">
        <v>274</v>
      </c>
      <c r="H143" t="s">
        <v>275</v>
      </c>
      <c r="I143" t="s">
        <v>275</v>
      </c>
      <c r="L143" t="str">
        <f t="shared" ca="1" si="4"/>
        <v/>
      </c>
      <c r="M143" t="str">
        <f t="shared" ca="1" si="5"/>
        <v/>
      </c>
    </row>
    <row r="144" spans="1:13" x14ac:dyDescent="0.2">
      <c r="A144" t="s">
        <v>222</v>
      </c>
      <c r="B144" t="s">
        <v>392</v>
      </c>
      <c r="C144" t="s">
        <v>275</v>
      </c>
      <c r="D144" t="s">
        <v>130</v>
      </c>
      <c r="E144" t="s">
        <v>274</v>
      </c>
      <c r="F144" t="s">
        <v>396</v>
      </c>
      <c r="G144" t="s">
        <v>274</v>
      </c>
      <c r="H144" t="s">
        <v>275</v>
      </c>
      <c r="I144" t="s">
        <v>275</v>
      </c>
      <c r="L144" t="str">
        <f t="shared" ca="1" si="4"/>
        <v/>
      </c>
      <c r="M144" t="str">
        <f t="shared" ca="1" si="5"/>
        <v/>
      </c>
    </row>
    <row r="145" spans="1:13" x14ac:dyDescent="0.2">
      <c r="A145" t="s">
        <v>239</v>
      </c>
      <c r="B145" t="s">
        <v>392</v>
      </c>
      <c r="C145" t="s">
        <v>275</v>
      </c>
      <c r="D145" t="s">
        <v>1274</v>
      </c>
      <c r="E145" t="s">
        <v>274</v>
      </c>
      <c r="F145" t="s">
        <v>397</v>
      </c>
      <c r="G145" t="s">
        <v>274</v>
      </c>
      <c r="H145" t="s">
        <v>275</v>
      </c>
      <c r="I145" t="s">
        <v>275</v>
      </c>
      <c r="L145" t="str">
        <f t="shared" ca="1" si="4"/>
        <v/>
      </c>
      <c r="M145" t="str">
        <f t="shared" ca="1" si="5"/>
        <v/>
      </c>
    </row>
    <row r="146" spans="1:13" x14ac:dyDescent="0.2">
      <c r="A146" t="s">
        <v>239</v>
      </c>
      <c r="B146" t="s">
        <v>392</v>
      </c>
      <c r="C146" t="s">
        <v>275</v>
      </c>
      <c r="D146" t="s">
        <v>1274</v>
      </c>
      <c r="E146" t="s">
        <v>274</v>
      </c>
      <c r="F146" t="s">
        <v>398</v>
      </c>
      <c r="G146" t="s">
        <v>274</v>
      </c>
      <c r="H146" t="s">
        <v>275</v>
      </c>
      <c r="I146" t="s">
        <v>275</v>
      </c>
      <c r="L146" t="str">
        <f t="shared" ca="1" si="4"/>
        <v/>
      </c>
      <c r="M146" t="str">
        <f t="shared" ca="1" si="5"/>
        <v/>
      </c>
    </row>
    <row r="147" spans="1:13" x14ac:dyDescent="0.2">
      <c r="A147" t="s">
        <v>239</v>
      </c>
      <c r="B147" t="s">
        <v>392</v>
      </c>
      <c r="C147" t="s">
        <v>275</v>
      </c>
      <c r="D147" t="s">
        <v>1274</v>
      </c>
      <c r="E147" t="s">
        <v>274</v>
      </c>
      <c r="F147" t="s">
        <v>396</v>
      </c>
      <c r="G147" t="s">
        <v>274</v>
      </c>
      <c r="H147" t="s">
        <v>275</v>
      </c>
      <c r="I147" t="s">
        <v>275</v>
      </c>
      <c r="L147" t="str">
        <f t="shared" ca="1" si="4"/>
        <v/>
      </c>
      <c r="M147" t="str">
        <f t="shared" ca="1" si="5"/>
        <v/>
      </c>
    </row>
    <row r="148" spans="1:13" x14ac:dyDescent="0.2">
      <c r="A148" t="s">
        <v>239</v>
      </c>
      <c r="B148" t="s">
        <v>392</v>
      </c>
      <c r="C148" t="s">
        <v>275</v>
      </c>
      <c r="D148" t="s">
        <v>1274</v>
      </c>
      <c r="E148" t="s">
        <v>274</v>
      </c>
      <c r="F148" t="s">
        <v>395</v>
      </c>
      <c r="G148" t="s">
        <v>274</v>
      </c>
      <c r="H148" t="s">
        <v>275</v>
      </c>
      <c r="I148" t="s">
        <v>275</v>
      </c>
      <c r="L148" t="str">
        <f t="shared" ca="1" si="4"/>
        <v/>
      </c>
      <c r="M148" t="str">
        <f t="shared" ca="1" si="5"/>
        <v/>
      </c>
    </row>
    <row r="149" spans="1:13" x14ac:dyDescent="0.2">
      <c r="A149" t="s">
        <v>225</v>
      </c>
      <c r="B149" t="s">
        <v>361</v>
      </c>
      <c r="C149" t="s">
        <v>1275</v>
      </c>
      <c r="D149" t="s">
        <v>130</v>
      </c>
      <c r="E149" t="s">
        <v>263</v>
      </c>
      <c r="F149" t="s">
        <v>222</v>
      </c>
      <c r="G149" t="s">
        <v>277</v>
      </c>
      <c r="H149" t="s">
        <v>252</v>
      </c>
      <c r="I149" t="s">
        <v>263</v>
      </c>
      <c r="L149" t="str">
        <f t="shared" ca="1" si="4"/>
        <v/>
      </c>
      <c r="M149" t="str">
        <f t="shared" ca="1" si="5"/>
        <v/>
      </c>
    </row>
    <row r="150" spans="1:13" x14ac:dyDescent="0.2">
      <c r="A150" t="s">
        <v>225</v>
      </c>
      <c r="B150" t="s">
        <v>361</v>
      </c>
      <c r="C150" t="s">
        <v>1275</v>
      </c>
      <c r="D150" t="s">
        <v>130</v>
      </c>
      <c r="E150" t="s">
        <v>263</v>
      </c>
      <c r="F150" t="s">
        <v>222</v>
      </c>
      <c r="G150" t="s">
        <v>278</v>
      </c>
      <c r="H150" t="s">
        <v>252</v>
      </c>
      <c r="I150" t="s">
        <v>263</v>
      </c>
      <c r="L150" t="str">
        <f t="shared" ca="1" si="4"/>
        <v/>
      </c>
      <c r="M150" t="str">
        <f t="shared" ca="1" si="5"/>
        <v/>
      </c>
    </row>
    <row r="151" spans="1:13" x14ac:dyDescent="0.2">
      <c r="A151" t="s">
        <v>163</v>
      </c>
      <c r="B151" t="s">
        <v>379</v>
      </c>
      <c r="C151" t="s">
        <v>403</v>
      </c>
      <c r="D151" t="s">
        <v>130</v>
      </c>
      <c r="E151" t="s">
        <v>264</v>
      </c>
      <c r="F151" t="s">
        <v>404</v>
      </c>
      <c r="G151" t="s">
        <v>279</v>
      </c>
      <c r="H151" t="s">
        <v>252</v>
      </c>
      <c r="I151" t="s">
        <v>264</v>
      </c>
      <c r="L151" t="str">
        <f t="shared" ca="1" si="4"/>
        <v/>
      </c>
      <c r="M151" t="str">
        <f t="shared" ca="1" si="5"/>
        <v/>
      </c>
    </row>
    <row r="152" spans="1:13" x14ac:dyDescent="0.2">
      <c r="A152" t="s">
        <v>169</v>
      </c>
      <c r="B152" t="s">
        <v>379</v>
      </c>
      <c r="C152" t="s">
        <v>403</v>
      </c>
      <c r="D152" t="s">
        <v>405</v>
      </c>
      <c r="E152" t="s">
        <v>264</v>
      </c>
      <c r="F152" t="s">
        <v>404</v>
      </c>
      <c r="G152" t="s">
        <v>279</v>
      </c>
      <c r="H152" t="s">
        <v>252</v>
      </c>
      <c r="I152" t="s">
        <v>264</v>
      </c>
      <c r="L152" t="str">
        <f t="shared" ca="1" si="4"/>
        <v/>
      </c>
      <c r="M152" t="str">
        <f t="shared" ca="1" si="5"/>
        <v/>
      </c>
    </row>
    <row r="153" spans="1:13" x14ac:dyDescent="0.2">
      <c r="A153" t="s">
        <v>52</v>
      </c>
      <c r="B153" t="s">
        <v>406</v>
      </c>
      <c r="C153" t="s">
        <v>407</v>
      </c>
      <c r="D153" t="s">
        <v>130</v>
      </c>
      <c r="E153" t="s">
        <v>264</v>
      </c>
      <c r="F153" t="s">
        <v>51</v>
      </c>
      <c r="G153" t="s">
        <v>280</v>
      </c>
      <c r="H153" t="s">
        <v>252</v>
      </c>
      <c r="I153" t="s">
        <v>264</v>
      </c>
      <c r="L153" t="str">
        <f t="shared" ca="1" si="4"/>
        <v/>
      </c>
      <c r="M153" t="str">
        <f t="shared" ca="1" si="5"/>
        <v/>
      </c>
    </row>
    <row r="154" spans="1:13" x14ac:dyDescent="0.2">
      <c r="A154" t="s">
        <v>53</v>
      </c>
      <c r="B154" t="s">
        <v>406</v>
      </c>
      <c r="C154" t="s">
        <v>407</v>
      </c>
      <c r="D154" t="s">
        <v>130</v>
      </c>
      <c r="E154" t="s">
        <v>264</v>
      </c>
      <c r="F154" t="s">
        <v>51</v>
      </c>
      <c r="G154" t="s">
        <v>280</v>
      </c>
      <c r="H154" t="s">
        <v>252</v>
      </c>
      <c r="I154" t="s">
        <v>264</v>
      </c>
      <c r="L154" t="str">
        <f t="shared" ca="1" si="4"/>
        <v/>
      </c>
      <c r="M154" t="str">
        <f t="shared" ca="1" si="5"/>
        <v/>
      </c>
    </row>
    <row r="155" spans="1:13" x14ac:dyDescent="0.2">
      <c r="A155" t="s">
        <v>1270</v>
      </c>
      <c r="B155" t="s">
        <v>406</v>
      </c>
      <c r="C155" t="s">
        <v>407</v>
      </c>
      <c r="D155" t="s">
        <v>130</v>
      </c>
      <c r="E155" t="s">
        <v>264</v>
      </c>
      <c r="F155" t="s">
        <v>51</v>
      </c>
      <c r="G155" t="s">
        <v>280</v>
      </c>
      <c r="H155" t="s">
        <v>252</v>
      </c>
      <c r="I155" t="s">
        <v>264</v>
      </c>
      <c r="L155" t="str">
        <f t="shared" ca="1" si="4"/>
        <v/>
      </c>
      <c r="M155" t="str">
        <f t="shared" ca="1" si="5"/>
        <v/>
      </c>
    </row>
    <row r="156" spans="1:13" x14ac:dyDescent="0.2">
      <c r="A156" t="s">
        <v>1142</v>
      </c>
      <c r="B156" t="s">
        <v>408</v>
      </c>
      <c r="C156" t="s">
        <v>282</v>
      </c>
      <c r="D156" t="s">
        <v>1142</v>
      </c>
      <c r="E156" t="s">
        <v>363</v>
      </c>
      <c r="F156" t="s">
        <v>339</v>
      </c>
      <c r="G156" t="s">
        <v>281</v>
      </c>
      <c r="H156" t="s">
        <v>252</v>
      </c>
      <c r="I156" t="s">
        <v>282</v>
      </c>
      <c r="L156" t="str">
        <f t="shared" ca="1" si="4"/>
        <v/>
      </c>
      <c r="M156" t="str">
        <f t="shared" ca="1" si="5"/>
        <v/>
      </c>
    </row>
    <row r="157" spans="1:13" x14ac:dyDescent="0.2">
      <c r="A157" t="s">
        <v>1145</v>
      </c>
      <c r="B157" t="s">
        <v>408</v>
      </c>
      <c r="C157" t="s">
        <v>282</v>
      </c>
      <c r="D157" t="s">
        <v>1145</v>
      </c>
      <c r="E157" t="s">
        <v>363</v>
      </c>
      <c r="F157" t="s">
        <v>339</v>
      </c>
      <c r="G157" t="s">
        <v>281</v>
      </c>
      <c r="H157" t="s">
        <v>252</v>
      </c>
      <c r="I157" t="s">
        <v>282</v>
      </c>
      <c r="L157" t="str">
        <f t="shared" ca="1" si="4"/>
        <v/>
      </c>
      <c r="M157" t="str">
        <f t="shared" ca="1" si="5"/>
        <v/>
      </c>
    </row>
    <row r="158" spans="1:13" x14ac:dyDescent="0.2">
      <c r="A158" t="s">
        <v>1146</v>
      </c>
      <c r="B158" t="s">
        <v>373</v>
      </c>
      <c r="C158" t="s">
        <v>461</v>
      </c>
      <c r="D158" t="s">
        <v>130</v>
      </c>
      <c r="E158" t="s">
        <v>377</v>
      </c>
      <c r="F158" t="s">
        <v>1166</v>
      </c>
      <c r="G158" t="s">
        <v>1150</v>
      </c>
      <c r="H158" t="s">
        <v>261</v>
      </c>
      <c r="I158" t="s">
        <v>261</v>
      </c>
      <c r="L158" t="str">
        <f t="shared" ca="1" si="4"/>
        <v/>
      </c>
      <c r="M158" t="str">
        <f t="shared" ca="1" si="5"/>
        <v/>
      </c>
    </row>
    <row r="159" spans="1:13" x14ac:dyDescent="0.2">
      <c r="A159" t="s">
        <v>130</v>
      </c>
      <c r="B159" t="s">
        <v>312</v>
      </c>
      <c r="C159" t="s">
        <v>369</v>
      </c>
      <c r="D159" t="s">
        <v>130</v>
      </c>
      <c r="E159" t="s">
        <v>284</v>
      </c>
      <c r="F159" t="s">
        <v>409</v>
      </c>
      <c r="G159" t="s">
        <v>283</v>
      </c>
      <c r="H159" t="s">
        <v>257</v>
      </c>
      <c r="I159" t="s">
        <v>284</v>
      </c>
      <c r="L159" t="str">
        <f t="shared" ca="1" si="4"/>
        <v/>
      </c>
      <c r="M159" t="str">
        <f t="shared" ca="1" si="5"/>
        <v/>
      </c>
    </row>
    <row r="160" spans="1:13" x14ac:dyDescent="0.2">
      <c r="A160" t="s">
        <v>130</v>
      </c>
      <c r="B160" t="s">
        <v>312</v>
      </c>
      <c r="C160" t="s">
        <v>369</v>
      </c>
      <c r="D160" t="s">
        <v>130</v>
      </c>
      <c r="E160" t="s">
        <v>284</v>
      </c>
      <c r="F160" t="s">
        <v>409</v>
      </c>
      <c r="G160" t="s">
        <v>285</v>
      </c>
      <c r="H160" t="s">
        <v>257</v>
      </c>
      <c r="I160" t="s">
        <v>284</v>
      </c>
      <c r="L160" t="str">
        <f t="shared" ca="1" si="4"/>
        <v/>
      </c>
      <c r="M160" t="str">
        <f t="shared" ca="1" si="5"/>
        <v/>
      </c>
    </row>
    <row r="161" spans="1:13" x14ac:dyDescent="0.2">
      <c r="A161" t="s">
        <v>72</v>
      </c>
      <c r="B161" t="s">
        <v>410</v>
      </c>
      <c r="C161" t="s">
        <v>411</v>
      </c>
      <c r="D161" t="s">
        <v>130</v>
      </c>
      <c r="E161" t="s">
        <v>255</v>
      </c>
      <c r="F161" t="s">
        <v>381</v>
      </c>
      <c r="G161" t="s">
        <v>286</v>
      </c>
      <c r="H161" t="s">
        <v>252</v>
      </c>
      <c r="I161" t="s">
        <v>255</v>
      </c>
      <c r="L161" t="str">
        <f t="shared" ca="1" si="4"/>
        <v/>
      </c>
      <c r="M161" t="str">
        <f t="shared" ca="1" si="5"/>
        <v/>
      </c>
    </row>
    <row r="162" spans="1:13" x14ac:dyDescent="0.2">
      <c r="A162" t="s">
        <v>1146</v>
      </c>
      <c r="B162" t="s">
        <v>373</v>
      </c>
      <c r="C162" t="s">
        <v>461</v>
      </c>
      <c r="D162" t="s">
        <v>130</v>
      </c>
      <c r="E162" t="s">
        <v>263</v>
      </c>
      <c r="F162" t="s">
        <v>460</v>
      </c>
      <c r="G162" t="s">
        <v>1151</v>
      </c>
      <c r="H162" t="s">
        <v>261</v>
      </c>
      <c r="I162" t="s">
        <v>261</v>
      </c>
      <c r="L162" t="str">
        <f t="shared" ca="1" si="4"/>
        <v/>
      </c>
      <c r="M162" t="str">
        <f t="shared" ca="1" si="5"/>
        <v/>
      </c>
    </row>
    <row r="163" spans="1:13" x14ac:dyDescent="0.2">
      <c r="A163" t="s">
        <v>1146</v>
      </c>
      <c r="B163" t="s">
        <v>373</v>
      </c>
      <c r="C163" t="s">
        <v>461</v>
      </c>
      <c r="D163" t="s">
        <v>130</v>
      </c>
      <c r="E163" t="s">
        <v>377</v>
      </c>
      <c r="F163" t="s">
        <v>1166</v>
      </c>
      <c r="G163" t="s">
        <v>1151</v>
      </c>
      <c r="H163" t="s">
        <v>261</v>
      </c>
      <c r="I163" t="s">
        <v>261</v>
      </c>
      <c r="L163" t="str">
        <f t="shared" ca="1" si="4"/>
        <v/>
      </c>
      <c r="M163" t="str">
        <f t="shared" ca="1" si="5"/>
        <v/>
      </c>
    </row>
    <row r="164" spans="1:13" x14ac:dyDescent="0.2">
      <c r="A164" t="s">
        <v>76</v>
      </c>
      <c r="B164" t="s">
        <v>410</v>
      </c>
      <c r="C164" t="s">
        <v>412</v>
      </c>
      <c r="D164" t="s">
        <v>130</v>
      </c>
      <c r="E164" t="s">
        <v>255</v>
      </c>
      <c r="F164" t="s">
        <v>381</v>
      </c>
      <c r="G164" t="s">
        <v>287</v>
      </c>
      <c r="H164" t="s">
        <v>252</v>
      </c>
      <c r="I164" t="s">
        <v>255</v>
      </c>
      <c r="L164">
        <f t="shared" ca="1" si="4"/>
        <v>48</v>
      </c>
      <c r="M164">
        <f t="shared" ca="1" si="5"/>
        <v>1</v>
      </c>
    </row>
    <row r="165" spans="1:13" x14ac:dyDescent="0.2">
      <c r="A165" t="s">
        <v>76</v>
      </c>
      <c r="B165" t="s">
        <v>410</v>
      </c>
      <c r="C165" t="s">
        <v>412</v>
      </c>
      <c r="D165" t="s">
        <v>76</v>
      </c>
      <c r="E165" t="s">
        <v>255</v>
      </c>
      <c r="F165" t="s">
        <v>381</v>
      </c>
      <c r="G165" t="s">
        <v>287</v>
      </c>
      <c r="H165" t="s">
        <v>252</v>
      </c>
      <c r="I165" t="s">
        <v>255</v>
      </c>
      <c r="L165">
        <f t="shared" ca="1" si="4"/>
        <v>48</v>
      </c>
      <c r="M165">
        <f t="shared" ca="1" si="5"/>
        <v>1</v>
      </c>
    </row>
    <row r="166" spans="1:13" x14ac:dyDescent="0.2">
      <c r="A166" t="s">
        <v>218</v>
      </c>
      <c r="B166" t="s">
        <v>410</v>
      </c>
      <c r="C166" t="s">
        <v>413</v>
      </c>
      <c r="D166" t="s">
        <v>130</v>
      </c>
      <c r="E166" t="s">
        <v>255</v>
      </c>
      <c r="F166" t="s">
        <v>381</v>
      </c>
      <c r="G166" t="s">
        <v>287</v>
      </c>
      <c r="H166" t="s">
        <v>252</v>
      </c>
      <c r="I166" t="s">
        <v>255</v>
      </c>
      <c r="L166">
        <f t="shared" ca="1" si="4"/>
        <v>48</v>
      </c>
      <c r="M166">
        <f t="shared" ca="1" si="5"/>
        <v>1</v>
      </c>
    </row>
    <row r="167" spans="1:13" x14ac:dyDescent="0.2">
      <c r="A167" t="s">
        <v>78</v>
      </c>
      <c r="B167" t="s">
        <v>361</v>
      </c>
      <c r="C167" t="s">
        <v>414</v>
      </c>
      <c r="D167" t="s">
        <v>130</v>
      </c>
      <c r="E167" t="s">
        <v>263</v>
      </c>
      <c r="F167" t="s">
        <v>415</v>
      </c>
      <c r="G167" t="s">
        <v>288</v>
      </c>
      <c r="H167" t="s">
        <v>252</v>
      </c>
      <c r="I167" t="s">
        <v>263</v>
      </c>
      <c r="L167" t="str">
        <f t="shared" ca="1" si="4"/>
        <v/>
      </c>
      <c r="M167" t="str">
        <f t="shared" ca="1" si="5"/>
        <v/>
      </c>
    </row>
    <row r="168" spans="1:13" x14ac:dyDescent="0.2">
      <c r="A168" t="s">
        <v>86</v>
      </c>
      <c r="B168" t="s">
        <v>361</v>
      </c>
      <c r="C168" t="s">
        <v>416</v>
      </c>
      <c r="D168" t="s">
        <v>130</v>
      </c>
      <c r="E168" t="s">
        <v>363</v>
      </c>
      <c r="F168" t="s">
        <v>289</v>
      </c>
      <c r="G168" t="s">
        <v>86</v>
      </c>
      <c r="H168" t="s">
        <v>252</v>
      </c>
      <c r="I168" t="s">
        <v>289</v>
      </c>
      <c r="L168">
        <f t="shared" ca="1" si="4"/>
        <v>168</v>
      </c>
      <c r="M168">
        <f t="shared" ca="1" si="5"/>
        <v>-107</v>
      </c>
    </row>
    <row r="169" spans="1:13" x14ac:dyDescent="0.2">
      <c r="A169" t="s">
        <v>89</v>
      </c>
      <c r="B169" t="s">
        <v>373</v>
      </c>
      <c r="C169" t="s">
        <v>374</v>
      </c>
      <c r="D169" t="s">
        <v>130</v>
      </c>
      <c r="E169" t="s">
        <v>263</v>
      </c>
      <c r="F169" t="s">
        <v>375</v>
      </c>
      <c r="G169" t="s">
        <v>290</v>
      </c>
      <c r="H169" t="s">
        <v>252</v>
      </c>
      <c r="I169" t="s">
        <v>263</v>
      </c>
      <c r="L169" t="str">
        <f t="shared" ca="1" si="4"/>
        <v/>
      </c>
      <c r="M169" t="str">
        <f t="shared" ca="1" si="5"/>
        <v/>
      </c>
    </row>
    <row r="170" spans="1:13" x14ac:dyDescent="0.2">
      <c r="A170" t="s">
        <v>13</v>
      </c>
      <c r="B170" t="s">
        <v>379</v>
      </c>
      <c r="C170" t="s">
        <v>417</v>
      </c>
      <c r="D170" t="s">
        <v>130</v>
      </c>
      <c r="E170" t="s">
        <v>255</v>
      </c>
      <c r="F170" t="s">
        <v>381</v>
      </c>
      <c r="G170" t="s">
        <v>291</v>
      </c>
      <c r="H170" t="s">
        <v>252</v>
      </c>
      <c r="I170" t="s">
        <v>255</v>
      </c>
      <c r="L170" t="str">
        <f t="shared" ca="1" si="4"/>
        <v/>
      </c>
      <c r="M170" t="str">
        <f t="shared" ca="1" si="5"/>
        <v/>
      </c>
    </row>
    <row r="171" spans="1:13" x14ac:dyDescent="0.2">
      <c r="A171" t="s">
        <v>13</v>
      </c>
      <c r="B171" t="s">
        <v>379</v>
      </c>
      <c r="C171" t="s">
        <v>417</v>
      </c>
      <c r="D171" t="s">
        <v>418</v>
      </c>
      <c r="E171" t="s">
        <v>255</v>
      </c>
      <c r="F171" t="s">
        <v>368</v>
      </c>
      <c r="G171" t="s">
        <v>291</v>
      </c>
      <c r="H171" t="s">
        <v>252</v>
      </c>
      <c r="I171" t="s">
        <v>255</v>
      </c>
      <c r="L171" t="str">
        <f t="shared" ca="1" si="4"/>
        <v/>
      </c>
      <c r="M171" t="str">
        <f t="shared" ca="1" si="5"/>
        <v/>
      </c>
    </row>
    <row r="172" spans="1:13" x14ac:dyDescent="0.2">
      <c r="A172" t="s">
        <v>94</v>
      </c>
      <c r="B172" t="s">
        <v>379</v>
      </c>
      <c r="C172" t="s">
        <v>417</v>
      </c>
      <c r="D172" t="s">
        <v>130</v>
      </c>
      <c r="E172" t="s">
        <v>255</v>
      </c>
      <c r="F172" t="s">
        <v>368</v>
      </c>
      <c r="G172" t="s">
        <v>291</v>
      </c>
      <c r="H172" t="s">
        <v>252</v>
      </c>
      <c r="I172" t="s">
        <v>255</v>
      </c>
      <c r="L172" t="str">
        <f t="shared" ca="1" si="4"/>
        <v/>
      </c>
      <c r="M172" t="str">
        <f t="shared" ca="1" si="5"/>
        <v/>
      </c>
    </row>
    <row r="173" spans="1:13" x14ac:dyDescent="0.2">
      <c r="A173" t="s">
        <v>94</v>
      </c>
      <c r="B173" t="s">
        <v>410</v>
      </c>
      <c r="C173" t="s">
        <v>411</v>
      </c>
      <c r="D173" t="s">
        <v>130</v>
      </c>
      <c r="E173" t="s">
        <v>255</v>
      </c>
      <c r="F173" t="s">
        <v>381</v>
      </c>
      <c r="G173" t="s">
        <v>291</v>
      </c>
      <c r="H173" t="s">
        <v>252</v>
      </c>
      <c r="I173" t="s">
        <v>255</v>
      </c>
      <c r="L173" t="str">
        <f t="shared" ca="1" si="4"/>
        <v/>
      </c>
      <c r="M173" t="str">
        <f t="shared" ca="1" si="5"/>
        <v/>
      </c>
    </row>
    <row r="174" spans="1:13" x14ac:dyDescent="0.2">
      <c r="A174" t="s">
        <v>94</v>
      </c>
      <c r="B174" t="s">
        <v>379</v>
      </c>
      <c r="C174" t="s">
        <v>417</v>
      </c>
      <c r="D174" t="s">
        <v>130</v>
      </c>
      <c r="E174" t="s">
        <v>255</v>
      </c>
      <c r="F174" t="s">
        <v>381</v>
      </c>
      <c r="G174" t="s">
        <v>291</v>
      </c>
      <c r="H174" t="s">
        <v>252</v>
      </c>
      <c r="I174" t="s">
        <v>255</v>
      </c>
      <c r="L174" t="str">
        <f t="shared" ca="1" si="4"/>
        <v/>
      </c>
      <c r="M174" t="str">
        <f t="shared" ca="1" si="5"/>
        <v/>
      </c>
    </row>
    <row r="175" spans="1:13" x14ac:dyDescent="0.2">
      <c r="A175" t="s">
        <v>130</v>
      </c>
      <c r="B175" t="s">
        <v>410</v>
      </c>
      <c r="C175" t="s">
        <v>411</v>
      </c>
      <c r="D175" t="s">
        <v>130</v>
      </c>
      <c r="E175" t="s">
        <v>255</v>
      </c>
      <c r="F175" t="s">
        <v>381</v>
      </c>
      <c r="G175" t="s">
        <v>291</v>
      </c>
      <c r="H175" t="s">
        <v>252</v>
      </c>
      <c r="I175" t="s">
        <v>255</v>
      </c>
      <c r="L175" t="str">
        <f t="shared" ca="1" si="4"/>
        <v/>
      </c>
      <c r="M175" t="str">
        <f t="shared" ca="1" si="5"/>
        <v/>
      </c>
    </row>
    <row r="176" spans="1:13" x14ac:dyDescent="0.2">
      <c r="A176" t="s">
        <v>156</v>
      </c>
      <c r="B176" t="s">
        <v>379</v>
      </c>
      <c r="C176" t="s">
        <v>417</v>
      </c>
      <c r="D176" t="s">
        <v>419</v>
      </c>
      <c r="E176" t="s">
        <v>255</v>
      </c>
      <c r="F176" t="s">
        <v>368</v>
      </c>
      <c r="G176" t="s">
        <v>291</v>
      </c>
      <c r="H176" t="s">
        <v>252</v>
      </c>
      <c r="I176" t="s">
        <v>255</v>
      </c>
      <c r="L176" t="str">
        <f t="shared" ca="1" si="4"/>
        <v/>
      </c>
      <c r="M176" t="str">
        <f t="shared" ca="1" si="5"/>
        <v/>
      </c>
    </row>
    <row r="177" spans="1:13" x14ac:dyDescent="0.2">
      <c r="A177" t="s">
        <v>1276</v>
      </c>
      <c r="B177" t="s">
        <v>379</v>
      </c>
      <c r="C177" t="s">
        <v>417</v>
      </c>
      <c r="D177" t="s">
        <v>1277</v>
      </c>
      <c r="E177" t="s">
        <v>255</v>
      </c>
      <c r="F177" t="s">
        <v>368</v>
      </c>
      <c r="G177" t="s">
        <v>291</v>
      </c>
      <c r="H177" t="s">
        <v>252</v>
      </c>
      <c r="I177" t="s">
        <v>255</v>
      </c>
      <c r="L177" t="str">
        <f t="shared" ca="1" si="4"/>
        <v/>
      </c>
      <c r="M177" t="str">
        <f t="shared" ca="1" si="5"/>
        <v/>
      </c>
    </row>
    <row r="178" spans="1:13" x14ac:dyDescent="0.2">
      <c r="A178" t="s">
        <v>90</v>
      </c>
      <c r="B178" t="s">
        <v>406</v>
      </c>
      <c r="C178" t="s">
        <v>407</v>
      </c>
      <c r="D178" t="s">
        <v>130</v>
      </c>
      <c r="E178" t="s">
        <v>264</v>
      </c>
      <c r="F178" t="s">
        <v>420</v>
      </c>
      <c r="G178" t="s">
        <v>90</v>
      </c>
      <c r="H178" t="s">
        <v>252</v>
      </c>
      <c r="I178" t="s">
        <v>264</v>
      </c>
      <c r="L178">
        <f t="shared" ca="1" si="4"/>
        <v>178</v>
      </c>
      <c r="M178">
        <f t="shared" ca="1" si="5"/>
        <v>-117</v>
      </c>
    </row>
    <row r="179" spans="1:13" x14ac:dyDescent="0.2">
      <c r="A179" t="s">
        <v>52</v>
      </c>
      <c r="B179" t="s">
        <v>406</v>
      </c>
      <c r="C179" t="s">
        <v>407</v>
      </c>
      <c r="D179" t="s">
        <v>130</v>
      </c>
      <c r="E179" t="s">
        <v>264</v>
      </c>
      <c r="F179" t="s">
        <v>51</v>
      </c>
      <c r="G179" t="s">
        <v>292</v>
      </c>
      <c r="H179" t="s">
        <v>252</v>
      </c>
      <c r="I179" t="s">
        <v>264</v>
      </c>
      <c r="L179" t="str">
        <f t="shared" ca="1" si="4"/>
        <v/>
      </c>
      <c r="M179" t="str">
        <f t="shared" ca="1" si="5"/>
        <v/>
      </c>
    </row>
    <row r="180" spans="1:13" x14ac:dyDescent="0.2">
      <c r="A180" t="s">
        <v>56</v>
      </c>
      <c r="B180" t="s">
        <v>406</v>
      </c>
      <c r="C180" t="s">
        <v>421</v>
      </c>
      <c r="D180" t="s">
        <v>130</v>
      </c>
      <c r="E180" t="s">
        <v>264</v>
      </c>
      <c r="F180" t="s">
        <v>422</v>
      </c>
      <c r="G180" t="s">
        <v>292</v>
      </c>
      <c r="H180" t="s">
        <v>252</v>
      </c>
      <c r="I180" t="s">
        <v>264</v>
      </c>
      <c r="L180" t="str">
        <f t="shared" ca="1" si="4"/>
        <v/>
      </c>
      <c r="M180" t="str">
        <f t="shared" ca="1" si="5"/>
        <v/>
      </c>
    </row>
    <row r="181" spans="1:13" x14ac:dyDescent="0.2">
      <c r="A181" t="s">
        <v>63</v>
      </c>
      <c r="B181" t="s">
        <v>406</v>
      </c>
      <c r="C181" t="s">
        <v>421</v>
      </c>
      <c r="D181" t="s">
        <v>130</v>
      </c>
      <c r="E181" t="s">
        <v>264</v>
      </c>
      <c r="F181" t="s">
        <v>422</v>
      </c>
      <c r="G181" t="s">
        <v>292</v>
      </c>
      <c r="H181" t="s">
        <v>252</v>
      </c>
      <c r="I181" t="s">
        <v>264</v>
      </c>
      <c r="L181" t="str">
        <f t="shared" ca="1" si="4"/>
        <v/>
      </c>
      <c r="M181" t="str">
        <f t="shared" ca="1" si="5"/>
        <v/>
      </c>
    </row>
    <row r="182" spans="1:13" x14ac:dyDescent="0.2">
      <c r="A182" t="s">
        <v>63</v>
      </c>
      <c r="B182" t="s">
        <v>379</v>
      </c>
      <c r="C182" t="s">
        <v>403</v>
      </c>
      <c r="D182" t="s">
        <v>130</v>
      </c>
      <c r="E182" t="s">
        <v>264</v>
      </c>
      <c r="F182" t="s">
        <v>422</v>
      </c>
      <c r="G182" t="s">
        <v>292</v>
      </c>
      <c r="H182" t="s">
        <v>252</v>
      </c>
      <c r="I182" t="s">
        <v>264</v>
      </c>
      <c r="L182" t="str">
        <f t="shared" ca="1" si="4"/>
        <v/>
      </c>
      <c r="M182" t="str">
        <f t="shared" ca="1" si="5"/>
        <v/>
      </c>
    </row>
    <row r="183" spans="1:13" x14ac:dyDescent="0.2">
      <c r="A183" t="s">
        <v>130</v>
      </c>
      <c r="B183" t="s">
        <v>312</v>
      </c>
      <c r="C183" t="s">
        <v>369</v>
      </c>
      <c r="D183" t="s">
        <v>130</v>
      </c>
      <c r="E183" t="s">
        <v>284</v>
      </c>
      <c r="F183" t="s">
        <v>423</v>
      </c>
      <c r="G183" t="s">
        <v>293</v>
      </c>
      <c r="H183" t="s">
        <v>257</v>
      </c>
      <c r="I183" t="s">
        <v>284</v>
      </c>
      <c r="L183" t="str">
        <f t="shared" ca="1" si="4"/>
        <v/>
      </c>
      <c r="M183" t="str">
        <f t="shared" ca="1" si="5"/>
        <v/>
      </c>
    </row>
    <row r="184" spans="1:13" x14ac:dyDescent="0.2">
      <c r="A184" t="s">
        <v>130</v>
      </c>
      <c r="B184" t="s">
        <v>312</v>
      </c>
      <c r="C184" t="s">
        <v>369</v>
      </c>
      <c r="D184" t="s">
        <v>130</v>
      </c>
      <c r="E184" t="s">
        <v>284</v>
      </c>
      <c r="F184" t="s">
        <v>424</v>
      </c>
      <c r="G184" t="s">
        <v>294</v>
      </c>
      <c r="H184" t="s">
        <v>257</v>
      </c>
      <c r="I184" t="s">
        <v>284</v>
      </c>
      <c r="L184" t="str">
        <f t="shared" ca="1" si="4"/>
        <v/>
      </c>
      <c r="M184" t="str">
        <f t="shared" ca="1" si="5"/>
        <v/>
      </c>
    </row>
    <row r="185" spans="1:13" x14ac:dyDescent="0.2">
      <c r="A185" t="s">
        <v>130</v>
      </c>
      <c r="B185" t="s">
        <v>312</v>
      </c>
      <c r="C185" t="s">
        <v>369</v>
      </c>
      <c r="D185" t="s">
        <v>130</v>
      </c>
      <c r="E185" t="s">
        <v>284</v>
      </c>
      <c r="F185" t="s">
        <v>372</v>
      </c>
      <c r="G185" t="s">
        <v>295</v>
      </c>
      <c r="H185" t="s">
        <v>257</v>
      </c>
      <c r="I185" t="s">
        <v>284</v>
      </c>
      <c r="L185" t="str">
        <f t="shared" ca="1" si="4"/>
        <v/>
      </c>
      <c r="M185" t="str">
        <f t="shared" ca="1" si="5"/>
        <v/>
      </c>
    </row>
    <row r="186" spans="1:13" x14ac:dyDescent="0.2">
      <c r="A186" t="s">
        <v>130</v>
      </c>
      <c r="B186" t="s">
        <v>312</v>
      </c>
      <c r="C186" t="s">
        <v>369</v>
      </c>
      <c r="D186" t="s">
        <v>130</v>
      </c>
      <c r="E186" t="s">
        <v>284</v>
      </c>
      <c r="F186" t="s">
        <v>425</v>
      </c>
      <c r="G186" t="s">
        <v>296</v>
      </c>
      <c r="H186" t="s">
        <v>257</v>
      </c>
      <c r="I186" t="s">
        <v>284</v>
      </c>
      <c r="L186" t="str">
        <f t="shared" ca="1" si="4"/>
        <v/>
      </c>
      <c r="M186" t="str">
        <f t="shared" ca="1" si="5"/>
        <v/>
      </c>
    </row>
    <row r="187" spans="1:13" x14ac:dyDescent="0.2">
      <c r="A187" t="s">
        <v>130</v>
      </c>
      <c r="B187" t="s">
        <v>312</v>
      </c>
      <c r="C187" t="s">
        <v>369</v>
      </c>
      <c r="D187" t="s">
        <v>130</v>
      </c>
      <c r="E187" t="s">
        <v>284</v>
      </c>
      <c r="F187" t="s">
        <v>409</v>
      </c>
      <c r="G187" t="s">
        <v>297</v>
      </c>
      <c r="H187" t="s">
        <v>257</v>
      </c>
      <c r="I187" t="s">
        <v>284</v>
      </c>
      <c r="L187" t="str">
        <f t="shared" ca="1" si="4"/>
        <v/>
      </c>
      <c r="M187" t="str">
        <f t="shared" ca="1" si="5"/>
        <v/>
      </c>
    </row>
    <row r="188" spans="1:13" x14ac:dyDescent="0.2">
      <c r="A188" t="s">
        <v>130</v>
      </c>
      <c r="B188" t="s">
        <v>312</v>
      </c>
      <c r="C188" t="s">
        <v>369</v>
      </c>
      <c r="D188" t="s">
        <v>130</v>
      </c>
      <c r="E188" t="s">
        <v>284</v>
      </c>
      <c r="F188" t="s">
        <v>426</v>
      </c>
      <c r="G188" t="s">
        <v>298</v>
      </c>
      <c r="H188" t="s">
        <v>257</v>
      </c>
      <c r="I188" t="s">
        <v>284</v>
      </c>
      <c r="L188" t="str">
        <f t="shared" ca="1" si="4"/>
        <v/>
      </c>
      <c r="M188" t="str">
        <f t="shared" ca="1" si="5"/>
        <v/>
      </c>
    </row>
    <row r="189" spans="1:13" x14ac:dyDescent="0.2">
      <c r="A189" t="s">
        <v>130</v>
      </c>
      <c r="B189" t="s">
        <v>312</v>
      </c>
      <c r="C189" t="s">
        <v>369</v>
      </c>
      <c r="D189" t="s">
        <v>130</v>
      </c>
      <c r="E189" t="s">
        <v>284</v>
      </c>
      <c r="F189" t="s">
        <v>427</v>
      </c>
      <c r="G189" t="s">
        <v>299</v>
      </c>
      <c r="H189" t="s">
        <v>257</v>
      </c>
      <c r="I189" t="s">
        <v>284</v>
      </c>
      <c r="L189" t="str">
        <f t="shared" ca="1" si="4"/>
        <v/>
      </c>
      <c r="M189" t="str">
        <f t="shared" ca="1" si="5"/>
        <v/>
      </c>
    </row>
    <row r="190" spans="1:13" x14ac:dyDescent="0.2">
      <c r="A190" t="s">
        <v>130</v>
      </c>
      <c r="B190" t="s">
        <v>312</v>
      </c>
      <c r="C190" t="s">
        <v>369</v>
      </c>
      <c r="D190" t="s">
        <v>130</v>
      </c>
      <c r="E190" t="s">
        <v>284</v>
      </c>
      <c r="F190" t="s">
        <v>428</v>
      </c>
      <c r="G190" t="s">
        <v>300</v>
      </c>
      <c r="H190" t="s">
        <v>257</v>
      </c>
      <c r="I190" t="s">
        <v>284</v>
      </c>
      <c r="L190" t="str">
        <f t="shared" ca="1" si="4"/>
        <v/>
      </c>
      <c r="M190" t="str">
        <f t="shared" ca="1" si="5"/>
        <v/>
      </c>
    </row>
    <row r="191" spans="1:13" x14ac:dyDescent="0.2">
      <c r="A191" t="s">
        <v>130</v>
      </c>
      <c r="B191" t="s">
        <v>312</v>
      </c>
      <c r="C191" t="s">
        <v>369</v>
      </c>
      <c r="D191" t="s">
        <v>130</v>
      </c>
      <c r="E191" t="s">
        <v>284</v>
      </c>
      <c r="F191" t="s">
        <v>1182</v>
      </c>
      <c r="G191" t="s">
        <v>1152</v>
      </c>
      <c r="H191" t="s">
        <v>257</v>
      </c>
      <c r="I191" t="s">
        <v>284</v>
      </c>
      <c r="L191" t="str">
        <f t="shared" ca="1" si="4"/>
        <v/>
      </c>
      <c r="M191" t="str">
        <f t="shared" ca="1" si="5"/>
        <v/>
      </c>
    </row>
    <row r="192" spans="1:13" x14ac:dyDescent="0.2">
      <c r="A192" t="s">
        <v>130</v>
      </c>
      <c r="B192" t="s">
        <v>312</v>
      </c>
      <c r="C192" t="s">
        <v>369</v>
      </c>
      <c r="D192" t="s">
        <v>130</v>
      </c>
      <c r="E192" t="s">
        <v>284</v>
      </c>
      <c r="F192" t="s">
        <v>429</v>
      </c>
      <c r="G192" t="s">
        <v>301</v>
      </c>
      <c r="H192" t="s">
        <v>257</v>
      </c>
      <c r="I192" t="s">
        <v>284</v>
      </c>
      <c r="L192" t="str">
        <f t="shared" ca="1" si="4"/>
        <v/>
      </c>
      <c r="M192" t="str">
        <f t="shared" ca="1" si="5"/>
        <v/>
      </c>
    </row>
    <row r="193" spans="1:13" x14ac:dyDescent="0.2">
      <c r="A193" t="s">
        <v>130</v>
      </c>
      <c r="B193" t="s">
        <v>312</v>
      </c>
      <c r="C193" t="s">
        <v>369</v>
      </c>
      <c r="D193" t="s">
        <v>130</v>
      </c>
      <c r="E193" t="s">
        <v>284</v>
      </c>
      <c r="F193" t="s">
        <v>426</v>
      </c>
      <c r="G193" t="s">
        <v>302</v>
      </c>
      <c r="H193" t="s">
        <v>257</v>
      </c>
      <c r="I193" t="s">
        <v>284</v>
      </c>
      <c r="L193" t="str">
        <f t="shared" ca="1" si="4"/>
        <v/>
      </c>
      <c r="M193" t="str">
        <f t="shared" ca="1" si="5"/>
        <v/>
      </c>
    </row>
    <row r="194" spans="1:13" x14ac:dyDescent="0.2">
      <c r="A194" t="s">
        <v>130</v>
      </c>
      <c r="B194" t="s">
        <v>312</v>
      </c>
      <c r="C194" t="s">
        <v>369</v>
      </c>
      <c r="D194" t="s">
        <v>130</v>
      </c>
      <c r="E194" t="s">
        <v>284</v>
      </c>
      <c r="F194" t="s">
        <v>1183</v>
      </c>
      <c r="G194" t="s">
        <v>1153</v>
      </c>
      <c r="H194" t="s">
        <v>257</v>
      </c>
      <c r="I194" t="s">
        <v>284</v>
      </c>
      <c r="L194" t="str">
        <f t="shared" ref="L194:L257" ca="1" si="6">IFERROR(MATCH(OFFSET($G$1,ROW()-1,0,1,1),A:A,0),"")</f>
        <v/>
      </c>
      <c r="M194" t="str">
        <f t="shared" ref="M194:M257" ca="1" si="7">IFERROR(MATCH(OFFSET($G$1,ROW()-1,0,1,1),A:A,1)-L194+1,"")</f>
        <v/>
      </c>
    </row>
    <row r="195" spans="1:13" x14ac:dyDescent="0.2">
      <c r="A195" t="s">
        <v>95</v>
      </c>
      <c r="B195" t="s">
        <v>379</v>
      </c>
      <c r="C195" t="s">
        <v>430</v>
      </c>
      <c r="D195" t="s">
        <v>130</v>
      </c>
      <c r="E195" t="s">
        <v>263</v>
      </c>
      <c r="F195" t="s">
        <v>375</v>
      </c>
      <c r="G195" t="s">
        <v>303</v>
      </c>
      <c r="H195" t="s">
        <v>252</v>
      </c>
      <c r="I195" t="s">
        <v>263</v>
      </c>
      <c r="L195" t="str">
        <f t="shared" ca="1" si="6"/>
        <v/>
      </c>
      <c r="M195" t="str">
        <f t="shared" ca="1" si="7"/>
        <v/>
      </c>
    </row>
    <row r="196" spans="1:13" x14ac:dyDescent="0.2">
      <c r="A196" t="s">
        <v>95</v>
      </c>
      <c r="B196" t="s">
        <v>379</v>
      </c>
      <c r="C196" t="s">
        <v>430</v>
      </c>
      <c r="D196" t="s">
        <v>130</v>
      </c>
      <c r="E196" t="s">
        <v>263</v>
      </c>
      <c r="F196" t="s">
        <v>222</v>
      </c>
      <c r="G196" t="s">
        <v>303</v>
      </c>
      <c r="H196" t="s">
        <v>252</v>
      </c>
      <c r="I196" t="s">
        <v>263</v>
      </c>
      <c r="L196" t="str">
        <f t="shared" ca="1" si="6"/>
        <v/>
      </c>
      <c r="M196" t="str">
        <f t="shared" ca="1" si="7"/>
        <v/>
      </c>
    </row>
    <row r="197" spans="1:13" x14ac:dyDescent="0.2">
      <c r="A197" t="s">
        <v>98</v>
      </c>
      <c r="B197" t="s">
        <v>373</v>
      </c>
      <c r="C197" t="s">
        <v>374</v>
      </c>
      <c r="D197" t="s">
        <v>130</v>
      </c>
      <c r="E197" t="s">
        <v>263</v>
      </c>
      <c r="F197" t="s">
        <v>222</v>
      </c>
      <c r="G197" t="s">
        <v>304</v>
      </c>
      <c r="H197" t="s">
        <v>252</v>
      </c>
      <c r="I197" t="s">
        <v>263</v>
      </c>
      <c r="L197" t="str">
        <f t="shared" ca="1" si="6"/>
        <v/>
      </c>
      <c r="M197" t="str">
        <f t="shared" ca="1" si="7"/>
        <v/>
      </c>
    </row>
    <row r="198" spans="1:13" x14ac:dyDescent="0.2">
      <c r="A198" t="s">
        <v>130</v>
      </c>
      <c r="B198" t="s">
        <v>312</v>
      </c>
      <c r="C198" t="s">
        <v>369</v>
      </c>
      <c r="D198" t="s">
        <v>130</v>
      </c>
      <c r="E198" t="s">
        <v>284</v>
      </c>
      <c r="F198" t="s">
        <v>423</v>
      </c>
      <c r="G198" t="s">
        <v>305</v>
      </c>
      <c r="H198" t="s">
        <v>257</v>
      </c>
      <c r="I198" t="s">
        <v>284</v>
      </c>
      <c r="L198" t="str">
        <f t="shared" ca="1" si="6"/>
        <v/>
      </c>
      <c r="M198" t="str">
        <f t="shared" ca="1" si="7"/>
        <v/>
      </c>
    </row>
    <row r="199" spans="1:13" x14ac:dyDescent="0.2">
      <c r="A199" t="s">
        <v>130</v>
      </c>
      <c r="B199" t="s">
        <v>312</v>
      </c>
      <c r="C199" t="s">
        <v>369</v>
      </c>
      <c r="D199" t="s">
        <v>130</v>
      </c>
      <c r="E199" t="s">
        <v>284</v>
      </c>
      <c r="F199" t="s">
        <v>428</v>
      </c>
      <c r="G199" t="s">
        <v>306</v>
      </c>
      <c r="H199" t="s">
        <v>257</v>
      </c>
      <c r="I199" t="s">
        <v>284</v>
      </c>
      <c r="L199" t="str">
        <f t="shared" ca="1" si="6"/>
        <v/>
      </c>
      <c r="M199" t="str">
        <f t="shared" ca="1" si="7"/>
        <v/>
      </c>
    </row>
    <row r="200" spans="1:13" x14ac:dyDescent="0.2">
      <c r="A200" t="s">
        <v>102</v>
      </c>
      <c r="B200" t="s">
        <v>373</v>
      </c>
      <c r="C200" t="s">
        <v>431</v>
      </c>
      <c r="D200" t="s">
        <v>130</v>
      </c>
      <c r="E200" t="s">
        <v>377</v>
      </c>
      <c r="F200" t="s">
        <v>432</v>
      </c>
      <c r="G200" t="s">
        <v>307</v>
      </c>
      <c r="H200" t="s">
        <v>261</v>
      </c>
      <c r="I200" t="s">
        <v>261</v>
      </c>
      <c r="L200" t="str">
        <f t="shared" ca="1" si="6"/>
        <v/>
      </c>
      <c r="M200" t="str">
        <f t="shared" ca="1" si="7"/>
        <v/>
      </c>
    </row>
    <row r="201" spans="1:13" x14ac:dyDescent="0.2">
      <c r="A201" t="s">
        <v>104</v>
      </c>
      <c r="B201" t="s">
        <v>379</v>
      </c>
      <c r="C201" t="s">
        <v>433</v>
      </c>
      <c r="D201" t="s">
        <v>376</v>
      </c>
      <c r="E201" t="s">
        <v>263</v>
      </c>
      <c r="F201" t="s">
        <v>222</v>
      </c>
      <c r="G201" t="s">
        <v>103</v>
      </c>
      <c r="H201" t="s">
        <v>252</v>
      </c>
      <c r="I201" t="s">
        <v>263</v>
      </c>
      <c r="L201">
        <f t="shared" ca="1" si="6"/>
        <v>436</v>
      </c>
      <c r="M201">
        <f t="shared" ca="1" si="7"/>
        <v>-375</v>
      </c>
    </row>
    <row r="202" spans="1:13" x14ac:dyDescent="0.2">
      <c r="A202" t="s">
        <v>105</v>
      </c>
      <c r="B202" t="s">
        <v>379</v>
      </c>
      <c r="C202" t="s">
        <v>433</v>
      </c>
      <c r="D202" t="s">
        <v>130</v>
      </c>
      <c r="E202" t="s">
        <v>263</v>
      </c>
      <c r="F202" t="s">
        <v>222</v>
      </c>
      <c r="G202" t="s">
        <v>103</v>
      </c>
      <c r="H202" t="s">
        <v>252</v>
      </c>
      <c r="I202" t="s">
        <v>263</v>
      </c>
      <c r="L202">
        <f t="shared" ca="1" si="6"/>
        <v>436</v>
      </c>
      <c r="M202">
        <f t="shared" ca="1" si="7"/>
        <v>-375</v>
      </c>
    </row>
    <row r="203" spans="1:13" x14ac:dyDescent="0.2">
      <c r="A203" t="s">
        <v>130</v>
      </c>
      <c r="B203" t="s">
        <v>312</v>
      </c>
      <c r="C203" t="s">
        <v>369</v>
      </c>
      <c r="D203" t="s">
        <v>130</v>
      </c>
      <c r="E203" t="s">
        <v>284</v>
      </c>
      <c r="F203" t="s">
        <v>434</v>
      </c>
      <c r="G203" t="s">
        <v>308</v>
      </c>
      <c r="H203" t="s">
        <v>257</v>
      </c>
      <c r="I203" t="s">
        <v>284</v>
      </c>
      <c r="L203" t="str">
        <f t="shared" ca="1" si="6"/>
        <v/>
      </c>
      <c r="M203" t="str">
        <f t="shared" ca="1" si="7"/>
        <v/>
      </c>
    </row>
    <row r="204" spans="1:13" x14ac:dyDescent="0.2">
      <c r="A204" t="s">
        <v>1148</v>
      </c>
      <c r="B204" t="s">
        <v>373</v>
      </c>
      <c r="C204" t="s">
        <v>461</v>
      </c>
      <c r="D204" t="s">
        <v>130</v>
      </c>
      <c r="E204" t="s">
        <v>377</v>
      </c>
      <c r="F204" t="s">
        <v>1166</v>
      </c>
      <c r="G204" t="s">
        <v>1230</v>
      </c>
      <c r="H204" t="s">
        <v>261</v>
      </c>
      <c r="I204" t="s">
        <v>261</v>
      </c>
      <c r="L204" t="str">
        <f t="shared" ca="1" si="6"/>
        <v/>
      </c>
      <c r="M204" t="str">
        <f t="shared" ca="1" si="7"/>
        <v/>
      </c>
    </row>
    <row r="205" spans="1:13" x14ac:dyDescent="0.2">
      <c r="A205" t="s">
        <v>1184</v>
      </c>
      <c r="B205" t="s">
        <v>410</v>
      </c>
      <c r="C205" t="s">
        <v>435</v>
      </c>
      <c r="D205" t="s">
        <v>130</v>
      </c>
      <c r="E205" t="s">
        <v>255</v>
      </c>
      <c r="F205" t="s">
        <v>381</v>
      </c>
      <c r="G205" t="s">
        <v>309</v>
      </c>
      <c r="H205" t="s">
        <v>252</v>
      </c>
      <c r="I205" t="s">
        <v>255</v>
      </c>
      <c r="L205" t="str">
        <f t="shared" ca="1" si="6"/>
        <v/>
      </c>
      <c r="M205" t="str">
        <f t="shared" ca="1" si="7"/>
        <v/>
      </c>
    </row>
    <row r="206" spans="1:13" x14ac:dyDescent="0.2">
      <c r="A206" t="s">
        <v>1185</v>
      </c>
      <c r="B206" t="s">
        <v>410</v>
      </c>
      <c r="C206" t="s">
        <v>435</v>
      </c>
      <c r="D206" t="s">
        <v>130</v>
      </c>
      <c r="E206" t="s">
        <v>255</v>
      </c>
      <c r="F206" t="s">
        <v>381</v>
      </c>
      <c r="G206" t="s">
        <v>309</v>
      </c>
      <c r="H206" t="s">
        <v>252</v>
      </c>
      <c r="I206" t="s">
        <v>255</v>
      </c>
      <c r="L206" t="str">
        <f t="shared" ca="1" si="6"/>
        <v/>
      </c>
      <c r="M206" t="str">
        <f t="shared" ca="1" si="7"/>
        <v/>
      </c>
    </row>
    <row r="207" spans="1:13" x14ac:dyDescent="0.2">
      <c r="A207" t="s">
        <v>1186</v>
      </c>
      <c r="B207" t="s">
        <v>410</v>
      </c>
      <c r="C207" t="s">
        <v>435</v>
      </c>
      <c r="D207" t="s">
        <v>130</v>
      </c>
      <c r="E207" t="s">
        <v>255</v>
      </c>
      <c r="F207" t="s">
        <v>381</v>
      </c>
      <c r="G207" t="s">
        <v>309</v>
      </c>
      <c r="H207" t="s">
        <v>252</v>
      </c>
      <c r="I207" t="s">
        <v>255</v>
      </c>
      <c r="L207" t="str">
        <f t="shared" ca="1" si="6"/>
        <v/>
      </c>
      <c r="M207" t="str">
        <f t="shared" ca="1" si="7"/>
        <v/>
      </c>
    </row>
    <row r="208" spans="1:13" x14ac:dyDescent="0.2">
      <c r="A208" t="s">
        <v>1187</v>
      </c>
      <c r="B208" t="s">
        <v>410</v>
      </c>
      <c r="C208" t="s">
        <v>435</v>
      </c>
      <c r="D208" t="s">
        <v>130</v>
      </c>
      <c r="E208" t="s">
        <v>255</v>
      </c>
      <c r="F208" t="s">
        <v>381</v>
      </c>
      <c r="G208" t="s">
        <v>309</v>
      </c>
      <c r="H208" t="s">
        <v>252</v>
      </c>
      <c r="I208" t="s">
        <v>255</v>
      </c>
      <c r="L208" t="str">
        <f t="shared" ca="1" si="6"/>
        <v/>
      </c>
      <c r="M208" t="str">
        <f t="shared" ca="1" si="7"/>
        <v/>
      </c>
    </row>
    <row r="209" spans="1:13" x14ac:dyDescent="0.2">
      <c r="A209" t="s">
        <v>1188</v>
      </c>
      <c r="B209" t="s">
        <v>410</v>
      </c>
      <c r="C209" t="s">
        <v>435</v>
      </c>
      <c r="D209" t="s">
        <v>130</v>
      </c>
      <c r="E209" t="s">
        <v>255</v>
      </c>
      <c r="F209" t="s">
        <v>381</v>
      </c>
      <c r="G209" t="s">
        <v>309</v>
      </c>
      <c r="H209" t="s">
        <v>252</v>
      </c>
      <c r="I209" t="s">
        <v>255</v>
      </c>
      <c r="L209" t="str">
        <f t="shared" ca="1" si="6"/>
        <v/>
      </c>
      <c r="M209" t="str">
        <f t="shared" ca="1" si="7"/>
        <v/>
      </c>
    </row>
    <row r="210" spans="1:13" x14ac:dyDescent="0.2">
      <c r="A210" t="s">
        <v>1189</v>
      </c>
      <c r="B210" t="s">
        <v>410</v>
      </c>
      <c r="C210" t="s">
        <v>435</v>
      </c>
      <c r="D210" t="s">
        <v>130</v>
      </c>
      <c r="E210" t="s">
        <v>255</v>
      </c>
      <c r="F210" t="s">
        <v>381</v>
      </c>
      <c r="G210" t="s">
        <v>309</v>
      </c>
      <c r="H210" t="s">
        <v>252</v>
      </c>
      <c r="I210" t="s">
        <v>255</v>
      </c>
      <c r="L210" t="str">
        <f t="shared" ca="1" si="6"/>
        <v/>
      </c>
      <c r="M210" t="str">
        <f t="shared" ca="1" si="7"/>
        <v/>
      </c>
    </row>
    <row r="211" spans="1:13" x14ac:dyDescent="0.2">
      <c r="A211" t="s">
        <v>109</v>
      </c>
      <c r="B211" t="s">
        <v>410</v>
      </c>
      <c r="C211" t="s">
        <v>435</v>
      </c>
      <c r="D211" t="s">
        <v>130</v>
      </c>
      <c r="E211" t="s">
        <v>255</v>
      </c>
      <c r="F211" t="s">
        <v>381</v>
      </c>
      <c r="G211" t="s">
        <v>309</v>
      </c>
      <c r="H211" t="s">
        <v>252</v>
      </c>
      <c r="I211" t="s">
        <v>255</v>
      </c>
      <c r="L211" t="str">
        <f t="shared" ca="1" si="6"/>
        <v/>
      </c>
      <c r="M211" t="str">
        <f t="shared" ca="1" si="7"/>
        <v/>
      </c>
    </row>
    <row r="212" spans="1:13" x14ac:dyDescent="0.2">
      <c r="A212" t="s">
        <v>1278</v>
      </c>
      <c r="B212" t="s">
        <v>410</v>
      </c>
      <c r="C212" t="s">
        <v>435</v>
      </c>
      <c r="D212" t="s">
        <v>130</v>
      </c>
      <c r="E212" t="s">
        <v>255</v>
      </c>
      <c r="F212" t="s">
        <v>381</v>
      </c>
      <c r="G212" t="s">
        <v>309</v>
      </c>
      <c r="H212" t="s">
        <v>252</v>
      </c>
      <c r="I212" t="s">
        <v>255</v>
      </c>
      <c r="L212" t="str">
        <f t="shared" ca="1" si="6"/>
        <v/>
      </c>
      <c r="M212" t="str">
        <f t="shared" ca="1" si="7"/>
        <v/>
      </c>
    </row>
    <row r="213" spans="1:13" x14ac:dyDescent="0.2">
      <c r="A213" t="s">
        <v>113</v>
      </c>
      <c r="B213" t="s">
        <v>410</v>
      </c>
      <c r="C213" t="s">
        <v>436</v>
      </c>
      <c r="D213" t="s">
        <v>130</v>
      </c>
      <c r="E213" t="s">
        <v>255</v>
      </c>
      <c r="F213" t="s">
        <v>381</v>
      </c>
      <c r="G213" t="s">
        <v>310</v>
      </c>
      <c r="H213" t="s">
        <v>252</v>
      </c>
      <c r="I213" t="s">
        <v>255</v>
      </c>
      <c r="L213" t="str">
        <f t="shared" ca="1" si="6"/>
        <v/>
      </c>
      <c r="M213" t="str">
        <f t="shared" ca="1" si="7"/>
        <v/>
      </c>
    </row>
    <row r="214" spans="1:13" x14ac:dyDescent="0.2">
      <c r="A214" t="s">
        <v>114</v>
      </c>
      <c r="B214" t="s">
        <v>312</v>
      </c>
      <c r="C214" t="s">
        <v>369</v>
      </c>
      <c r="D214" t="s">
        <v>130</v>
      </c>
      <c r="E214" t="s">
        <v>438</v>
      </c>
      <c r="F214" t="s">
        <v>439</v>
      </c>
      <c r="G214" t="s">
        <v>311</v>
      </c>
      <c r="H214" t="s">
        <v>257</v>
      </c>
      <c r="I214" t="s">
        <v>312</v>
      </c>
      <c r="L214" t="str">
        <f t="shared" ca="1" si="6"/>
        <v/>
      </c>
      <c r="M214" t="str">
        <f t="shared" ca="1" si="7"/>
        <v/>
      </c>
    </row>
    <row r="215" spans="1:13" x14ac:dyDescent="0.2">
      <c r="A215" t="s">
        <v>126</v>
      </c>
      <c r="B215" t="s">
        <v>410</v>
      </c>
      <c r="C215" t="s">
        <v>437</v>
      </c>
      <c r="D215" t="s">
        <v>126</v>
      </c>
      <c r="E215" t="s">
        <v>255</v>
      </c>
      <c r="F215" t="s">
        <v>381</v>
      </c>
      <c r="G215" t="s">
        <v>313</v>
      </c>
      <c r="H215" t="s">
        <v>252</v>
      </c>
      <c r="I215" t="s">
        <v>255</v>
      </c>
      <c r="L215" t="str">
        <f t="shared" ca="1" si="6"/>
        <v/>
      </c>
      <c r="M215" t="str">
        <f t="shared" ca="1" si="7"/>
        <v/>
      </c>
    </row>
    <row r="216" spans="1:13" x14ac:dyDescent="0.2">
      <c r="A216" t="s">
        <v>219</v>
      </c>
      <c r="B216" t="s">
        <v>410</v>
      </c>
      <c r="C216" t="s">
        <v>437</v>
      </c>
      <c r="D216" t="s">
        <v>130</v>
      </c>
      <c r="E216" t="s">
        <v>255</v>
      </c>
      <c r="F216" t="s">
        <v>381</v>
      </c>
      <c r="G216" t="s">
        <v>313</v>
      </c>
      <c r="H216" t="s">
        <v>252</v>
      </c>
      <c r="I216" t="s">
        <v>255</v>
      </c>
      <c r="L216" t="str">
        <f t="shared" ca="1" si="6"/>
        <v/>
      </c>
      <c r="M216" t="str">
        <f t="shared" ca="1" si="7"/>
        <v/>
      </c>
    </row>
    <row r="217" spans="1:13" x14ac:dyDescent="0.2">
      <c r="A217" t="s">
        <v>30</v>
      </c>
      <c r="B217" t="s">
        <v>365</v>
      </c>
      <c r="C217" t="s">
        <v>366</v>
      </c>
      <c r="D217" t="s">
        <v>130</v>
      </c>
      <c r="E217" t="s">
        <v>377</v>
      </c>
      <c r="F217" t="s">
        <v>441</v>
      </c>
      <c r="G217" t="s">
        <v>314</v>
      </c>
      <c r="H217" t="s">
        <v>261</v>
      </c>
      <c r="I217" t="s">
        <v>261</v>
      </c>
      <c r="L217" t="str">
        <f t="shared" ca="1" si="6"/>
        <v/>
      </c>
      <c r="M217" t="str">
        <f t="shared" ca="1" si="7"/>
        <v/>
      </c>
    </row>
    <row r="218" spans="1:13" x14ac:dyDescent="0.2">
      <c r="A218" t="s">
        <v>31</v>
      </c>
      <c r="B218" t="s">
        <v>440</v>
      </c>
      <c r="C218" t="s">
        <v>314</v>
      </c>
      <c r="D218" t="s">
        <v>130</v>
      </c>
      <c r="E218" t="s">
        <v>377</v>
      </c>
      <c r="F218" t="s">
        <v>441</v>
      </c>
      <c r="G218" t="s">
        <v>314</v>
      </c>
      <c r="H218" t="s">
        <v>261</v>
      </c>
      <c r="I218" t="s">
        <v>261</v>
      </c>
      <c r="L218" t="str">
        <f t="shared" ca="1" si="6"/>
        <v/>
      </c>
      <c r="M218" t="str">
        <f t="shared" ca="1" si="7"/>
        <v/>
      </c>
    </row>
    <row r="219" spans="1:13" x14ac:dyDescent="0.2">
      <c r="A219" t="s">
        <v>31</v>
      </c>
      <c r="B219" t="s">
        <v>440</v>
      </c>
      <c r="C219" t="s">
        <v>314</v>
      </c>
      <c r="D219" t="s">
        <v>31</v>
      </c>
      <c r="E219" t="s">
        <v>377</v>
      </c>
      <c r="F219" t="s">
        <v>441</v>
      </c>
      <c r="G219" t="s">
        <v>314</v>
      </c>
      <c r="H219" t="s">
        <v>261</v>
      </c>
      <c r="I219" t="s">
        <v>261</v>
      </c>
      <c r="L219" t="str">
        <f t="shared" ca="1" si="6"/>
        <v/>
      </c>
      <c r="M219" t="str">
        <f t="shared" ca="1" si="7"/>
        <v/>
      </c>
    </row>
    <row r="220" spans="1:13" x14ac:dyDescent="0.2">
      <c r="A220" t="s">
        <v>67</v>
      </c>
      <c r="B220" t="s">
        <v>440</v>
      </c>
      <c r="C220" t="s">
        <v>314</v>
      </c>
      <c r="D220" t="s">
        <v>67</v>
      </c>
      <c r="E220" t="s">
        <v>377</v>
      </c>
      <c r="F220" t="s">
        <v>441</v>
      </c>
      <c r="G220" t="s">
        <v>314</v>
      </c>
      <c r="H220" t="s">
        <v>261</v>
      </c>
      <c r="I220" t="s">
        <v>261</v>
      </c>
      <c r="L220" t="str">
        <f t="shared" ca="1" si="6"/>
        <v/>
      </c>
      <c r="M220" t="str">
        <f t="shared" ca="1" si="7"/>
        <v/>
      </c>
    </row>
    <row r="221" spans="1:13" x14ac:dyDescent="0.2">
      <c r="A221" t="s">
        <v>1190</v>
      </c>
      <c r="B221" t="s">
        <v>440</v>
      </c>
      <c r="C221" t="s">
        <v>314</v>
      </c>
      <c r="D221" t="s">
        <v>130</v>
      </c>
      <c r="E221" t="s">
        <v>377</v>
      </c>
      <c r="F221" t="s">
        <v>441</v>
      </c>
      <c r="G221" t="s">
        <v>314</v>
      </c>
      <c r="H221" t="s">
        <v>261</v>
      </c>
      <c r="I221" t="s">
        <v>261</v>
      </c>
      <c r="L221" t="str">
        <f t="shared" ca="1" si="6"/>
        <v/>
      </c>
      <c r="M221" t="str">
        <f t="shared" ca="1" si="7"/>
        <v/>
      </c>
    </row>
    <row r="222" spans="1:13" x14ac:dyDescent="0.2">
      <c r="A222" t="s">
        <v>68</v>
      </c>
      <c r="B222" t="s">
        <v>440</v>
      </c>
      <c r="C222" t="s">
        <v>314</v>
      </c>
      <c r="D222" t="s">
        <v>130</v>
      </c>
      <c r="E222" t="s">
        <v>377</v>
      </c>
      <c r="F222" t="s">
        <v>441</v>
      </c>
      <c r="G222" t="s">
        <v>314</v>
      </c>
      <c r="H222" t="s">
        <v>261</v>
      </c>
      <c r="I222" t="s">
        <v>261</v>
      </c>
      <c r="L222" t="str">
        <f t="shared" ca="1" si="6"/>
        <v/>
      </c>
      <c r="M222" t="str">
        <f t="shared" ca="1" si="7"/>
        <v/>
      </c>
    </row>
    <row r="223" spans="1:13" x14ac:dyDescent="0.2">
      <c r="A223" t="s">
        <v>68</v>
      </c>
      <c r="B223" t="s">
        <v>440</v>
      </c>
      <c r="C223" t="s">
        <v>314</v>
      </c>
      <c r="D223" t="s">
        <v>65</v>
      </c>
      <c r="E223" t="s">
        <v>377</v>
      </c>
      <c r="F223" t="s">
        <v>441</v>
      </c>
      <c r="G223" t="s">
        <v>314</v>
      </c>
      <c r="H223" t="s">
        <v>261</v>
      </c>
      <c r="I223" t="s">
        <v>261</v>
      </c>
      <c r="L223" t="str">
        <f t="shared" ca="1" si="6"/>
        <v/>
      </c>
      <c r="M223" t="str">
        <f t="shared" ca="1" si="7"/>
        <v/>
      </c>
    </row>
    <row r="224" spans="1:13" x14ac:dyDescent="0.2">
      <c r="A224" t="s">
        <v>69</v>
      </c>
      <c r="B224" t="s">
        <v>440</v>
      </c>
      <c r="C224" t="s">
        <v>443</v>
      </c>
      <c r="D224" t="s">
        <v>130</v>
      </c>
      <c r="E224" t="s">
        <v>377</v>
      </c>
      <c r="F224" t="s">
        <v>441</v>
      </c>
      <c r="G224" t="s">
        <v>314</v>
      </c>
      <c r="H224" t="s">
        <v>261</v>
      </c>
      <c r="I224" t="s">
        <v>261</v>
      </c>
      <c r="L224" t="str">
        <f t="shared" ca="1" si="6"/>
        <v/>
      </c>
      <c r="M224" t="str">
        <f t="shared" ca="1" si="7"/>
        <v/>
      </c>
    </row>
    <row r="225" spans="1:13" x14ac:dyDescent="0.2">
      <c r="A225" t="s">
        <v>69</v>
      </c>
      <c r="B225" t="s">
        <v>406</v>
      </c>
      <c r="C225" t="s">
        <v>442</v>
      </c>
      <c r="D225" t="s">
        <v>130</v>
      </c>
      <c r="E225" t="s">
        <v>377</v>
      </c>
      <c r="F225" t="s">
        <v>441</v>
      </c>
      <c r="G225" t="s">
        <v>314</v>
      </c>
      <c r="H225" t="s">
        <v>261</v>
      </c>
      <c r="I225" t="s">
        <v>261</v>
      </c>
      <c r="L225" t="str">
        <f t="shared" ca="1" si="6"/>
        <v/>
      </c>
      <c r="M225" t="str">
        <f t="shared" ca="1" si="7"/>
        <v/>
      </c>
    </row>
    <row r="226" spans="1:13" x14ac:dyDescent="0.2">
      <c r="A226" t="s">
        <v>71</v>
      </c>
      <c r="B226" t="s">
        <v>440</v>
      </c>
      <c r="C226" t="s">
        <v>443</v>
      </c>
      <c r="D226" t="s">
        <v>130</v>
      </c>
      <c r="E226" t="s">
        <v>377</v>
      </c>
      <c r="F226" t="s">
        <v>441</v>
      </c>
      <c r="G226" t="s">
        <v>314</v>
      </c>
      <c r="H226" t="s">
        <v>261</v>
      </c>
      <c r="I226" t="s">
        <v>261</v>
      </c>
      <c r="L226" t="str">
        <f t="shared" ca="1" si="6"/>
        <v/>
      </c>
      <c r="M226" t="str">
        <f t="shared" ca="1" si="7"/>
        <v/>
      </c>
    </row>
    <row r="227" spans="1:13" x14ac:dyDescent="0.2">
      <c r="A227" t="s">
        <v>71</v>
      </c>
      <c r="B227" t="s">
        <v>440</v>
      </c>
      <c r="C227" t="s">
        <v>314</v>
      </c>
      <c r="D227" t="s">
        <v>130</v>
      </c>
      <c r="E227" t="s">
        <v>377</v>
      </c>
      <c r="F227" t="s">
        <v>441</v>
      </c>
      <c r="G227" t="s">
        <v>314</v>
      </c>
      <c r="H227" t="s">
        <v>261</v>
      </c>
      <c r="I227" t="s">
        <v>261</v>
      </c>
      <c r="L227" t="str">
        <f t="shared" ca="1" si="6"/>
        <v/>
      </c>
      <c r="M227" t="str">
        <f t="shared" ca="1" si="7"/>
        <v/>
      </c>
    </row>
    <row r="228" spans="1:13" x14ac:dyDescent="0.2">
      <c r="A228" t="s">
        <v>71</v>
      </c>
      <c r="B228" t="s">
        <v>440</v>
      </c>
      <c r="C228" t="s">
        <v>314</v>
      </c>
      <c r="D228" t="s">
        <v>71</v>
      </c>
      <c r="E228" t="s">
        <v>377</v>
      </c>
      <c r="F228" t="s">
        <v>441</v>
      </c>
      <c r="G228" t="s">
        <v>314</v>
      </c>
      <c r="H228" t="s">
        <v>261</v>
      </c>
      <c r="I228" t="s">
        <v>261</v>
      </c>
      <c r="L228" t="str">
        <f t="shared" ca="1" si="6"/>
        <v/>
      </c>
      <c r="M228" t="str">
        <f t="shared" ca="1" si="7"/>
        <v/>
      </c>
    </row>
    <row r="229" spans="1:13" x14ac:dyDescent="0.2">
      <c r="A229" t="s">
        <v>71</v>
      </c>
      <c r="B229" t="s">
        <v>440</v>
      </c>
      <c r="C229" t="s">
        <v>314</v>
      </c>
      <c r="D229" t="s">
        <v>65</v>
      </c>
      <c r="E229" t="s">
        <v>377</v>
      </c>
      <c r="F229" t="s">
        <v>441</v>
      </c>
      <c r="G229" t="s">
        <v>314</v>
      </c>
      <c r="H229" t="s">
        <v>261</v>
      </c>
      <c r="I229" t="s">
        <v>261</v>
      </c>
      <c r="L229" t="str">
        <f t="shared" ca="1" si="6"/>
        <v/>
      </c>
      <c r="M229" t="str">
        <f t="shared" ca="1" si="7"/>
        <v/>
      </c>
    </row>
    <row r="230" spans="1:13" x14ac:dyDescent="0.2">
      <c r="A230" t="s">
        <v>92</v>
      </c>
      <c r="B230" t="s">
        <v>440</v>
      </c>
      <c r="C230" t="s">
        <v>314</v>
      </c>
      <c r="D230" t="s">
        <v>92</v>
      </c>
      <c r="E230" t="s">
        <v>377</v>
      </c>
      <c r="F230" t="s">
        <v>441</v>
      </c>
      <c r="G230" t="s">
        <v>314</v>
      </c>
      <c r="H230" t="s">
        <v>261</v>
      </c>
      <c r="I230" t="s">
        <v>261</v>
      </c>
      <c r="L230" t="str">
        <f t="shared" ca="1" si="6"/>
        <v/>
      </c>
      <c r="M230" t="str">
        <f t="shared" ca="1" si="7"/>
        <v/>
      </c>
    </row>
    <row r="231" spans="1:13" x14ac:dyDescent="0.2">
      <c r="A231" t="s">
        <v>92</v>
      </c>
      <c r="B231" t="s">
        <v>440</v>
      </c>
      <c r="C231" t="s">
        <v>314</v>
      </c>
      <c r="D231" t="s">
        <v>130</v>
      </c>
      <c r="E231" t="s">
        <v>377</v>
      </c>
      <c r="F231" t="s">
        <v>441</v>
      </c>
      <c r="G231" t="s">
        <v>314</v>
      </c>
      <c r="H231" t="s">
        <v>261</v>
      </c>
      <c r="I231" t="s">
        <v>261</v>
      </c>
      <c r="L231" t="str">
        <f t="shared" ca="1" si="6"/>
        <v/>
      </c>
      <c r="M231" t="str">
        <f t="shared" ca="1" si="7"/>
        <v/>
      </c>
    </row>
    <row r="232" spans="1:13" x14ac:dyDescent="0.2">
      <c r="A232" t="s">
        <v>117</v>
      </c>
      <c r="B232" t="s">
        <v>440</v>
      </c>
      <c r="C232" t="s">
        <v>443</v>
      </c>
      <c r="D232" t="s">
        <v>130</v>
      </c>
      <c r="E232" t="s">
        <v>377</v>
      </c>
      <c r="F232" t="s">
        <v>441</v>
      </c>
      <c r="G232" t="s">
        <v>314</v>
      </c>
      <c r="H232" t="s">
        <v>261</v>
      </c>
      <c r="I232" t="s">
        <v>261</v>
      </c>
      <c r="L232" t="str">
        <f t="shared" ca="1" si="6"/>
        <v/>
      </c>
      <c r="M232" t="str">
        <f t="shared" ca="1" si="7"/>
        <v/>
      </c>
    </row>
    <row r="233" spans="1:13" x14ac:dyDescent="0.2">
      <c r="A233" t="s">
        <v>117</v>
      </c>
      <c r="B233" t="s">
        <v>440</v>
      </c>
      <c r="C233" t="s">
        <v>314</v>
      </c>
      <c r="D233" t="s">
        <v>130</v>
      </c>
      <c r="E233" t="s">
        <v>377</v>
      </c>
      <c r="F233" t="s">
        <v>441</v>
      </c>
      <c r="G233" t="s">
        <v>314</v>
      </c>
      <c r="H233" t="s">
        <v>261</v>
      </c>
      <c r="I233" t="s">
        <v>261</v>
      </c>
      <c r="L233" t="str">
        <f t="shared" ca="1" si="6"/>
        <v/>
      </c>
      <c r="M233" t="str">
        <f t="shared" ca="1" si="7"/>
        <v/>
      </c>
    </row>
    <row r="234" spans="1:13" x14ac:dyDescent="0.2">
      <c r="A234" t="s">
        <v>125</v>
      </c>
      <c r="B234" t="s">
        <v>440</v>
      </c>
      <c r="C234" t="s">
        <v>314</v>
      </c>
      <c r="D234" t="s">
        <v>125</v>
      </c>
      <c r="E234" t="s">
        <v>377</v>
      </c>
      <c r="F234" t="s">
        <v>441</v>
      </c>
      <c r="G234" t="s">
        <v>314</v>
      </c>
      <c r="H234" t="s">
        <v>261</v>
      </c>
      <c r="I234" t="s">
        <v>261</v>
      </c>
      <c r="L234" t="str">
        <f t="shared" ca="1" si="6"/>
        <v/>
      </c>
      <c r="M234" t="str">
        <f t="shared" ca="1" si="7"/>
        <v/>
      </c>
    </row>
    <row r="235" spans="1:13" x14ac:dyDescent="0.2">
      <c r="A235" t="s">
        <v>125</v>
      </c>
      <c r="B235" t="s">
        <v>440</v>
      </c>
      <c r="C235" t="s">
        <v>443</v>
      </c>
      <c r="D235" t="s">
        <v>130</v>
      </c>
      <c r="E235" t="s">
        <v>377</v>
      </c>
      <c r="F235" t="s">
        <v>441</v>
      </c>
      <c r="G235" t="s">
        <v>314</v>
      </c>
      <c r="H235" t="s">
        <v>261</v>
      </c>
      <c r="I235" t="s">
        <v>261</v>
      </c>
      <c r="L235" t="str">
        <f t="shared" ca="1" si="6"/>
        <v/>
      </c>
      <c r="M235" t="str">
        <f t="shared" ca="1" si="7"/>
        <v/>
      </c>
    </row>
    <row r="236" spans="1:13" x14ac:dyDescent="0.2">
      <c r="A236" t="s">
        <v>125</v>
      </c>
      <c r="B236" t="s">
        <v>440</v>
      </c>
      <c r="C236" t="s">
        <v>314</v>
      </c>
      <c r="D236" t="s">
        <v>130</v>
      </c>
      <c r="E236" t="s">
        <v>377</v>
      </c>
      <c r="F236" t="s">
        <v>441</v>
      </c>
      <c r="G236" t="s">
        <v>314</v>
      </c>
      <c r="H236" t="s">
        <v>261</v>
      </c>
      <c r="I236" t="s">
        <v>261</v>
      </c>
      <c r="L236" t="str">
        <f t="shared" ca="1" si="6"/>
        <v/>
      </c>
      <c r="M236" t="str">
        <f t="shared" ca="1" si="7"/>
        <v/>
      </c>
    </row>
    <row r="237" spans="1:13" x14ac:dyDescent="0.2">
      <c r="A237" t="s">
        <v>131</v>
      </c>
      <c r="B237" t="s">
        <v>440</v>
      </c>
      <c r="C237" t="s">
        <v>314</v>
      </c>
      <c r="D237" t="s">
        <v>130</v>
      </c>
      <c r="E237" t="s">
        <v>377</v>
      </c>
      <c r="F237" t="s">
        <v>441</v>
      </c>
      <c r="G237" t="s">
        <v>314</v>
      </c>
      <c r="H237" t="s">
        <v>261</v>
      </c>
      <c r="I237" t="s">
        <v>261</v>
      </c>
      <c r="L237" t="str">
        <f t="shared" ca="1" si="6"/>
        <v/>
      </c>
      <c r="M237" t="str">
        <f t="shared" ca="1" si="7"/>
        <v/>
      </c>
    </row>
    <row r="238" spans="1:13" x14ac:dyDescent="0.2">
      <c r="A238" t="s">
        <v>131</v>
      </c>
      <c r="B238" t="s">
        <v>440</v>
      </c>
      <c r="C238" t="s">
        <v>314</v>
      </c>
      <c r="D238" t="s">
        <v>131</v>
      </c>
      <c r="E238" t="s">
        <v>377</v>
      </c>
      <c r="F238" t="s">
        <v>441</v>
      </c>
      <c r="G238" t="s">
        <v>314</v>
      </c>
      <c r="H238" t="s">
        <v>261</v>
      </c>
      <c r="I238" t="s">
        <v>261</v>
      </c>
      <c r="L238" t="str">
        <f t="shared" ca="1" si="6"/>
        <v/>
      </c>
      <c r="M238" t="str">
        <f t="shared" ca="1" si="7"/>
        <v/>
      </c>
    </row>
    <row r="239" spans="1:13" x14ac:dyDescent="0.2">
      <c r="A239" t="s">
        <v>131</v>
      </c>
      <c r="B239" t="s">
        <v>440</v>
      </c>
      <c r="C239" t="s">
        <v>443</v>
      </c>
      <c r="D239" t="s">
        <v>130</v>
      </c>
      <c r="E239" t="s">
        <v>377</v>
      </c>
      <c r="F239" t="s">
        <v>441</v>
      </c>
      <c r="G239" t="s">
        <v>314</v>
      </c>
      <c r="H239" t="s">
        <v>261</v>
      </c>
      <c r="I239" t="s">
        <v>261</v>
      </c>
      <c r="L239" t="str">
        <f t="shared" ca="1" si="6"/>
        <v/>
      </c>
      <c r="M239" t="str">
        <f t="shared" ca="1" si="7"/>
        <v/>
      </c>
    </row>
    <row r="240" spans="1:13" x14ac:dyDescent="0.2">
      <c r="A240" t="s">
        <v>133</v>
      </c>
      <c r="B240" t="s">
        <v>440</v>
      </c>
      <c r="C240" t="s">
        <v>443</v>
      </c>
      <c r="D240" t="s">
        <v>130</v>
      </c>
      <c r="E240" t="s">
        <v>377</v>
      </c>
      <c r="F240" t="s">
        <v>441</v>
      </c>
      <c r="G240" t="s">
        <v>314</v>
      </c>
      <c r="H240" t="s">
        <v>261</v>
      </c>
      <c r="I240" t="s">
        <v>261</v>
      </c>
      <c r="L240" t="str">
        <f t="shared" ca="1" si="6"/>
        <v/>
      </c>
      <c r="M240" t="str">
        <f t="shared" ca="1" si="7"/>
        <v/>
      </c>
    </row>
    <row r="241" spans="1:13" x14ac:dyDescent="0.2">
      <c r="A241" t="s">
        <v>173</v>
      </c>
      <c r="B241" t="s">
        <v>365</v>
      </c>
      <c r="C241" t="s">
        <v>451</v>
      </c>
      <c r="D241" t="s">
        <v>130</v>
      </c>
      <c r="E241" t="s">
        <v>377</v>
      </c>
      <c r="F241" t="s">
        <v>441</v>
      </c>
      <c r="G241" t="s">
        <v>314</v>
      </c>
      <c r="H241" t="s">
        <v>261</v>
      </c>
      <c r="I241" t="s">
        <v>261</v>
      </c>
      <c r="L241" t="str">
        <f t="shared" ca="1" si="6"/>
        <v/>
      </c>
      <c r="M241" t="str">
        <f t="shared" ca="1" si="7"/>
        <v/>
      </c>
    </row>
    <row r="242" spans="1:13" x14ac:dyDescent="0.2">
      <c r="A242" t="s">
        <v>238</v>
      </c>
      <c r="B242" t="s">
        <v>440</v>
      </c>
      <c r="C242" t="s">
        <v>314</v>
      </c>
      <c r="D242" t="s">
        <v>130</v>
      </c>
      <c r="E242" t="s">
        <v>377</v>
      </c>
      <c r="F242" t="s">
        <v>441</v>
      </c>
      <c r="G242" t="s">
        <v>314</v>
      </c>
      <c r="H242" t="s">
        <v>261</v>
      </c>
      <c r="I242" t="s">
        <v>261</v>
      </c>
      <c r="L242" t="str">
        <f t="shared" ca="1" si="6"/>
        <v/>
      </c>
      <c r="M242" t="str">
        <f t="shared" ca="1" si="7"/>
        <v/>
      </c>
    </row>
    <row r="243" spans="1:13" x14ac:dyDescent="0.2">
      <c r="A243" t="s">
        <v>238</v>
      </c>
      <c r="B243" t="s">
        <v>440</v>
      </c>
      <c r="C243" t="s">
        <v>314</v>
      </c>
      <c r="D243" t="s">
        <v>65</v>
      </c>
      <c r="E243" t="s">
        <v>377</v>
      </c>
      <c r="F243" t="s">
        <v>441</v>
      </c>
      <c r="G243" t="s">
        <v>314</v>
      </c>
      <c r="H243" t="s">
        <v>261</v>
      </c>
      <c r="I243" t="s">
        <v>261</v>
      </c>
      <c r="L243" t="str">
        <f t="shared" ca="1" si="6"/>
        <v/>
      </c>
      <c r="M243" t="str">
        <f t="shared" ca="1" si="7"/>
        <v/>
      </c>
    </row>
    <row r="244" spans="1:13" x14ac:dyDescent="0.2">
      <c r="A244" t="s">
        <v>126</v>
      </c>
      <c r="B244" t="s">
        <v>410</v>
      </c>
      <c r="C244" t="s">
        <v>437</v>
      </c>
      <c r="D244" t="s">
        <v>126</v>
      </c>
      <c r="E244" t="s">
        <v>255</v>
      </c>
      <c r="F244" t="s">
        <v>381</v>
      </c>
      <c r="G244" t="s">
        <v>315</v>
      </c>
      <c r="H244" t="s">
        <v>252</v>
      </c>
      <c r="I244" t="s">
        <v>255</v>
      </c>
      <c r="L244" t="str">
        <f t="shared" ca="1" si="6"/>
        <v/>
      </c>
      <c r="M244" t="str">
        <f t="shared" ca="1" si="7"/>
        <v/>
      </c>
    </row>
    <row r="245" spans="1:13" x14ac:dyDescent="0.2">
      <c r="A245" t="s">
        <v>219</v>
      </c>
      <c r="B245" t="s">
        <v>410</v>
      </c>
      <c r="C245" t="s">
        <v>437</v>
      </c>
      <c r="D245" t="s">
        <v>130</v>
      </c>
      <c r="E245" t="s">
        <v>255</v>
      </c>
      <c r="F245" t="s">
        <v>381</v>
      </c>
      <c r="G245" t="s">
        <v>315</v>
      </c>
      <c r="H245" t="s">
        <v>252</v>
      </c>
      <c r="I245" t="s">
        <v>255</v>
      </c>
      <c r="L245" t="str">
        <f t="shared" ca="1" si="6"/>
        <v/>
      </c>
      <c r="M245" t="str">
        <f t="shared" ca="1" si="7"/>
        <v/>
      </c>
    </row>
    <row r="246" spans="1:13" x14ac:dyDescent="0.2">
      <c r="A246" t="s">
        <v>119</v>
      </c>
      <c r="B246" t="s">
        <v>361</v>
      </c>
      <c r="C246" t="s">
        <v>444</v>
      </c>
      <c r="D246" t="s">
        <v>130</v>
      </c>
      <c r="E246" t="s">
        <v>363</v>
      </c>
      <c r="F246" t="s">
        <v>316</v>
      </c>
      <c r="G246" t="s">
        <v>316</v>
      </c>
      <c r="H246" t="s">
        <v>252</v>
      </c>
      <c r="I246" t="s">
        <v>316</v>
      </c>
      <c r="L246" t="str">
        <f t="shared" ca="1" si="6"/>
        <v/>
      </c>
      <c r="M246" t="str">
        <f t="shared" ca="1" si="7"/>
        <v/>
      </c>
    </row>
    <row r="247" spans="1:13" x14ac:dyDescent="0.2">
      <c r="A247" t="s">
        <v>75</v>
      </c>
      <c r="B247" t="s">
        <v>445</v>
      </c>
      <c r="C247" t="s">
        <v>121</v>
      </c>
      <c r="D247" t="s">
        <v>130</v>
      </c>
      <c r="E247" t="s">
        <v>377</v>
      </c>
      <c r="F247" t="s">
        <v>432</v>
      </c>
      <c r="G247" t="s">
        <v>121</v>
      </c>
      <c r="H247" t="s">
        <v>121</v>
      </c>
      <c r="I247" t="s">
        <v>75</v>
      </c>
      <c r="L247">
        <f t="shared" ca="1" si="6"/>
        <v>248</v>
      </c>
      <c r="M247">
        <f t="shared" ca="1" si="7"/>
        <v>-180</v>
      </c>
    </row>
    <row r="248" spans="1:13" x14ac:dyDescent="0.2">
      <c r="A248" t="s">
        <v>121</v>
      </c>
      <c r="B248" t="s">
        <v>445</v>
      </c>
      <c r="C248" t="s">
        <v>121</v>
      </c>
      <c r="D248" t="s">
        <v>130</v>
      </c>
      <c r="E248" t="s">
        <v>121</v>
      </c>
      <c r="F248" t="s">
        <v>75</v>
      </c>
      <c r="G248" t="s">
        <v>121</v>
      </c>
      <c r="H248" t="s">
        <v>121</v>
      </c>
      <c r="I248" t="s">
        <v>257</v>
      </c>
      <c r="L248">
        <f t="shared" ca="1" si="6"/>
        <v>248</v>
      </c>
      <c r="M248">
        <f t="shared" ca="1" si="7"/>
        <v>-180</v>
      </c>
    </row>
    <row r="249" spans="1:13" x14ac:dyDescent="0.2">
      <c r="A249" t="s">
        <v>121</v>
      </c>
      <c r="B249" t="s">
        <v>445</v>
      </c>
      <c r="C249" t="s">
        <v>121</v>
      </c>
      <c r="D249" t="s">
        <v>130</v>
      </c>
      <c r="E249" t="s">
        <v>121</v>
      </c>
      <c r="F249" t="s">
        <v>121</v>
      </c>
      <c r="G249" t="s">
        <v>121</v>
      </c>
      <c r="H249" t="s">
        <v>121</v>
      </c>
      <c r="I249" t="s">
        <v>257</v>
      </c>
      <c r="L249">
        <f t="shared" ca="1" si="6"/>
        <v>248</v>
      </c>
      <c r="M249">
        <f t="shared" ca="1" si="7"/>
        <v>-180</v>
      </c>
    </row>
    <row r="250" spans="1:13" x14ac:dyDescent="0.2">
      <c r="A250" t="s">
        <v>127</v>
      </c>
      <c r="B250" t="s">
        <v>312</v>
      </c>
      <c r="C250" t="s">
        <v>369</v>
      </c>
      <c r="D250" t="s">
        <v>130</v>
      </c>
      <c r="E250" t="s">
        <v>438</v>
      </c>
      <c r="F250" t="s">
        <v>439</v>
      </c>
      <c r="G250" t="s">
        <v>317</v>
      </c>
      <c r="H250" t="s">
        <v>257</v>
      </c>
      <c r="I250" t="s">
        <v>312</v>
      </c>
      <c r="L250" t="str">
        <f t="shared" ca="1" si="6"/>
        <v/>
      </c>
      <c r="M250" t="str">
        <f t="shared" ca="1" si="7"/>
        <v/>
      </c>
    </row>
    <row r="251" spans="1:13" x14ac:dyDescent="0.2">
      <c r="A251" t="s">
        <v>49</v>
      </c>
      <c r="B251" t="s">
        <v>379</v>
      </c>
      <c r="C251" t="s">
        <v>403</v>
      </c>
      <c r="D251" t="s">
        <v>130</v>
      </c>
      <c r="E251" t="s">
        <v>264</v>
      </c>
      <c r="F251" t="s">
        <v>404</v>
      </c>
      <c r="G251" t="s">
        <v>318</v>
      </c>
      <c r="H251" t="s">
        <v>252</v>
      </c>
      <c r="I251" t="s">
        <v>264</v>
      </c>
      <c r="L251" t="str">
        <f t="shared" ca="1" si="6"/>
        <v/>
      </c>
      <c r="M251" t="str">
        <f t="shared" ca="1" si="7"/>
        <v/>
      </c>
    </row>
    <row r="252" spans="1:13" x14ac:dyDescent="0.2">
      <c r="A252" t="s">
        <v>63</v>
      </c>
      <c r="B252" t="s">
        <v>379</v>
      </c>
      <c r="C252" t="s">
        <v>403</v>
      </c>
      <c r="D252" t="s">
        <v>130</v>
      </c>
      <c r="E252" t="s">
        <v>264</v>
      </c>
      <c r="F252" t="s">
        <v>404</v>
      </c>
      <c r="G252" t="s">
        <v>318</v>
      </c>
      <c r="H252" t="s">
        <v>252</v>
      </c>
      <c r="I252" t="s">
        <v>264</v>
      </c>
      <c r="L252" t="str">
        <f t="shared" ca="1" si="6"/>
        <v/>
      </c>
      <c r="M252" t="str">
        <f t="shared" ca="1" si="7"/>
        <v/>
      </c>
    </row>
    <row r="253" spans="1:13" x14ac:dyDescent="0.2">
      <c r="A253" t="s">
        <v>118</v>
      </c>
      <c r="B253" t="s">
        <v>379</v>
      </c>
      <c r="C253" t="s">
        <v>403</v>
      </c>
      <c r="D253" t="s">
        <v>376</v>
      </c>
      <c r="E253" t="s">
        <v>264</v>
      </c>
      <c r="F253" t="s">
        <v>404</v>
      </c>
      <c r="G253" t="s">
        <v>318</v>
      </c>
      <c r="H253" t="s">
        <v>252</v>
      </c>
      <c r="I253" t="s">
        <v>264</v>
      </c>
      <c r="L253" t="str">
        <f t="shared" ca="1" si="6"/>
        <v/>
      </c>
      <c r="M253" t="str">
        <f t="shared" ca="1" si="7"/>
        <v/>
      </c>
    </row>
    <row r="254" spans="1:13" x14ac:dyDescent="0.2">
      <c r="A254" t="s">
        <v>163</v>
      </c>
      <c r="B254" t="s">
        <v>379</v>
      </c>
      <c r="C254" t="s">
        <v>403</v>
      </c>
      <c r="D254" t="s">
        <v>130</v>
      </c>
      <c r="E254" t="s">
        <v>264</v>
      </c>
      <c r="F254" t="s">
        <v>404</v>
      </c>
      <c r="G254" t="s">
        <v>318</v>
      </c>
      <c r="H254" t="s">
        <v>252</v>
      </c>
      <c r="I254" t="s">
        <v>264</v>
      </c>
      <c r="L254" t="str">
        <f t="shared" ca="1" si="6"/>
        <v/>
      </c>
      <c r="M254" t="str">
        <f t="shared" ca="1" si="7"/>
        <v/>
      </c>
    </row>
    <row r="255" spans="1:13" x14ac:dyDescent="0.2">
      <c r="A255" t="s">
        <v>169</v>
      </c>
      <c r="B255" t="s">
        <v>379</v>
      </c>
      <c r="C255" t="s">
        <v>403</v>
      </c>
      <c r="D255" t="s">
        <v>405</v>
      </c>
      <c r="E255" t="s">
        <v>264</v>
      </c>
      <c r="F255" t="s">
        <v>404</v>
      </c>
      <c r="G255" t="s">
        <v>318</v>
      </c>
      <c r="H255" t="s">
        <v>252</v>
      </c>
      <c r="I255" t="s">
        <v>264</v>
      </c>
      <c r="L255" t="str">
        <f t="shared" ca="1" si="6"/>
        <v/>
      </c>
      <c r="M255" t="str">
        <f t="shared" ca="1" si="7"/>
        <v/>
      </c>
    </row>
    <row r="256" spans="1:13" x14ac:dyDescent="0.2">
      <c r="A256" t="s">
        <v>170</v>
      </c>
      <c r="B256" t="s">
        <v>379</v>
      </c>
      <c r="C256" t="s">
        <v>403</v>
      </c>
      <c r="D256" t="s">
        <v>130</v>
      </c>
      <c r="E256" t="s">
        <v>264</v>
      </c>
      <c r="F256" t="s">
        <v>404</v>
      </c>
      <c r="G256" t="s">
        <v>318</v>
      </c>
      <c r="H256" t="s">
        <v>252</v>
      </c>
      <c r="I256" t="s">
        <v>264</v>
      </c>
      <c r="L256" t="str">
        <f t="shared" ca="1" si="6"/>
        <v/>
      </c>
      <c r="M256" t="str">
        <f t="shared" ca="1" si="7"/>
        <v/>
      </c>
    </row>
    <row r="257" spans="1:13" x14ac:dyDescent="0.2">
      <c r="A257" t="s">
        <v>170</v>
      </c>
      <c r="B257" t="s">
        <v>379</v>
      </c>
      <c r="C257" t="s">
        <v>403</v>
      </c>
      <c r="D257" t="s">
        <v>129</v>
      </c>
      <c r="E257" t="s">
        <v>264</v>
      </c>
      <c r="F257" t="s">
        <v>404</v>
      </c>
      <c r="G257" t="s">
        <v>318</v>
      </c>
      <c r="H257" t="s">
        <v>252</v>
      </c>
      <c r="I257" t="s">
        <v>264</v>
      </c>
      <c r="L257" t="str">
        <f t="shared" ca="1" si="6"/>
        <v/>
      </c>
      <c r="M257" t="str">
        <f t="shared" ca="1" si="7"/>
        <v/>
      </c>
    </row>
    <row r="258" spans="1:13" x14ac:dyDescent="0.2">
      <c r="A258" t="s">
        <v>175</v>
      </c>
      <c r="B258" t="s">
        <v>379</v>
      </c>
      <c r="C258" t="s">
        <v>403</v>
      </c>
      <c r="D258" t="s">
        <v>376</v>
      </c>
      <c r="E258" t="s">
        <v>264</v>
      </c>
      <c r="F258" t="s">
        <v>404</v>
      </c>
      <c r="G258" t="s">
        <v>318</v>
      </c>
      <c r="H258" t="s">
        <v>252</v>
      </c>
      <c r="I258" t="s">
        <v>264</v>
      </c>
      <c r="L258" t="str">
        <f t="shared" ref="L258:L321" ca="1" si="8">IFERROR(MATCH(OFFSET($G$1,ROW()-1,0,1,1),A:A,0),"")</f>
        <v/>
      </c>
      <c r="M258" t="str">
        <f t="shared" ref="M258:M321" ca="1" si="9">IFERROR(MATCH(OFFSET($G$1,ROW()-1,0,1,1),A:A,1)-L258+1,"")</f>
        <v/>
      </c>
    </row>
    <row r="259" spans="1:13" x14ac:dyDescent="0.2">
      <c r="A259" t="s">
        <v>182</v>
      </c>
      <c r="B259" t="s">
        <v>379</v>
      </c>
      <c r="C259" t="s">
        <v>403</v>
      </c>
      <c r="D259" t="s">
        <v>405</v>
      </c>
      <c r="E259" t="s">
        <v>264</v>
      </c>
      <c r="F259" t="s">
        <v>404</v>
      </c>
      <c r="G259" t="s">
        <v>318</v>
      </c>
      <c r="H259" t="s">
        <v>252</v>
      </c>
      <c r="I259" t="s">
        <v>264</v>
      </c>
      <c r="L259" t="str">
        <f t="shared" ca="1" si="8"/>
        <v/>
      </c>
      <c r="M259" t="str">
        <f t="shared" ca="1" si="9"/>
        <v/>
      </c>
    </row>
    <row r="260" spans="1:13" x14ac:dyDescent="0.2">
      <c r="A260" t="s">
        <v>183</v>
      </c>
      <c r="B260" t="s">
        <v>379</v>
      </c>
      <c r="C260" t="s">
        <v>403</v>
      </c>
      <c r="D260" t="s">
        <v>129</v>
      </c>
      <c r="E260" t="s">
        <v>264</v>
      </c>
      <c r="F260" t="s">
        <v>404</v>
      </c>
      <c r="G260" t="s">
        <v>318</v>
      </c>
      <c r="H260" t="s">
        <v>252</v>
      </c>
      <c r="I260" t="s">
        <v>264</v>
      </c>
      <c r="L260" t="str">
        <f t="shared" ca="1" si="8"/>
        <v/>
      </c>
      <c r="M260" t="str">
        <f t="shared" ca="1" si="9"/>
        <v/>
      </c>
    </row>
    <row r="261" spans="1:13" x14ac:dyDescent="0.2">
      <c r="A261" t="s">
        <v>1279</v>
      </c>
      <c r="B261" t="s">
        <v>379</v>
      </c>
      <c r="C261" t="s">
        <v>403</v>
      </c>
      <c r="D261" t="s">
        <v>129</v>
      </c>
      <c r="E261" t="s">
        <v>264</v>
      </c>
      <c r="F261" t="s">
        <v>404</v>
      </c>
      <c r="G261" t="s">
        <v>318</v>
      </c>
      <c r="H261" t="s">
        <v>252</v>
      </c>
      <c r="I261" t="s">
        <v>264</v>
      </c>
      <c r="L261" t="str">
        <f t="shared" ca="1" si="8"/>
        <v/>
      </c>
      <c r="M261" t="str">
        <f t="shared" ca="1" si="9"/>
        <v/>
      </c>
    </row>
    <row r="262" spans="1:13" x14ac:dyDescent="0.2">
      <c r="A262" t="s">
        <v>1270</v>
      </c>
      <c r="B262" t="s">
        <v>379</v>
      </c>
      <c r="C262" t="s">
        <v>403</v>
      </c>
      <c r="D262" t="s">
        <v>130</v>
      </c>
      <c r="E262" t="s">
        <v>264</v>
      </c>
      <c r="F262" t="s">
        <v>404</v>
      </c>
      <c r="G262" t="s">
        <v>318</v>
      </c>
      <c r="H262" t="s">
        <v>252</v>
      </c>
      <c r="I262" t="s">
        <v>264</v>
      </c>
      <c r="L262" t="str">
        <f t="shared" ca="1" si="8"/>
        <v/>
      </c>
      <c r="M262" t="str">
        <f t="shared" ca="1" si="9"/>
        <v/>
      </c>
    </row>
    <row r="263" spans="1:13" x14ac:dyDescent="0.2">
      <c r="A263" t="s">
        <v>129</v>
      </c>
      <c r="B263" t="s">
        <v>379</v>
      </c>
      <c r="C263" t="s">
        <v>403</v>
      </c>
      <c r="D263" t="s">
        <v>129</v>
      </c>
      <c r="E263" t="s">
        <v>264</v>
      </c>
      <c r="F263" t="s">
        <v>404</v>
      </c>
      <c r="G263" t="s">
        <v>1154</v>
      </c>
      <c r="H263" t="s">
        <v>252</v>
      </c>
      <c r="I263" t="s">
        <v>264</v>
      </c>
      <c r="L263" t="str">
        <f t="shared" ca="1" si="8"/>
        <v/>
      </c>
      <c r="M263" t="str">
        <f t="shared" ca="1" si="9"/>
        <v/>
      </c>
    </row>
    <row r="264" spans="1:13" x14ac:dyDescent="0.2">
      <c r="A264" t="s">
        <v>157</v>
      </c>
      <c r="B264" t="s">
        <v>410</v>
      </c>
      <c r="C264" t="s">
        <v>413</v>
      </c>
      <c r="D264" t="s">
        <v>130</v>
      </c>
      <c r="E264" t="s">
        <v>255</v>
      </c>
      <c r="F264" t="s">
        <v>381</v>
      </c>
      <c r="G264" t="s">
        <v>319</v>
      </c>
      <c r="H264" t="s">
        <v>252</v>
      </c>
      <c r="I264" t="s">
        <v>255</v>
      </c>
      <c r="L264" t="str">
        <f t="shared" ca="1" si="8"/>
        <v/>
      </c>
      <c r="M264" t="str">
        <f t="shared" ca="1" si="9"/>
        <v/>
      </c>
    </row>
    <row r="265" spans="1:13" x14ac:dyDescent="0.2">
      <c r="A265" t="s">
        <v>405</v>
      </c>
      <c r="B265" t="s">
        <v>379</v>
      </c>
      <c r="C265" t="s">
        <v>403</v>
      </c>
      <c r="D265" t="s">
        <v>405</v>
      </c>
      <c r="E265" t="s">
        <v>264</v>
      </c>
      <c r="F265" t="s">
        <v>404</v>
      </c>
      <c r="G265" t="s">
        <v>129</v>
      </c>
      <c r="H265" t="s">
        <v>252</v>
      </c>
      <c r="I265" t="s">
        <v>264</v>
      </c>
      <c r="L265">
        <f t="shared" ca="1" si="8"/>
        <v>263</v>
      </c>
      <c r="M265">
        <f t="shared" ca="1" si="9"/>
        <v>-195</v>
      </c>
    </row>
    <row r="266" spans="1:13" x14ac:dyDescent="0.2">
      <c r="A266" t="s">
        <v>49</v>
      </c>
      <c r="B266" t="s">
        <v>379</v>
      </c>
      <c r="C266" t="s">
        <v>403</v>
      </c>
      <c r="D266" t="s">
        <v>130</v>
      </c>
      <c r="E266" t="s">
        <v>264</v>
      </c>
      <c r="F266" t="s">
        <v>404</v>
      </c>
      <c r="G266" t="s">
        <v>129</v>
      </c>
      <c r="H266" t="s">
        <v>252</v>
      </c>
      <c r="I266" t="s">
        <v>264</v>
      </c>
      <c r="L266">
        <f t="shared" ca="1" si="8"/>
        <v>263</v>
      </c>
      <c r="M266">
        <f t="shared" ca="1" si="9"/>
        <v>-195</v>
      </c>
    </row>
    <row r="267" spans="1:13" x14ac:dyDescent="0.2">
      <c r="A267" t="s">
        <v>129</v>
      </c>
      <c r="B267" t="s">
        <v>379</v>
      </c>
      <c r="C267" t="s">
        <v>403</v>
      </c>
      <c r="D267" t="s">
        <v>129</v>
      </c>
      <c r="E267" t="s">
        <v>264</v>
      </c>
      <c r="F267" t="s">
        <v>404</v>
      </c>
      <c r="G267" t="s">
        <v>129</v>
      </c>
      <c r="H267" t="s">
        <v>252</v>
      </c>
      <c r="I267" t="s">
        <v>264</v>
      </c>
      <c r="L267">
        <f t="shared" ca="1" si="8"/>
        <v>263</v>
      </c>
      <c r="M267">
        <f t="shared" ca="1" si="9"/>
        <v>-195</v>
      </c>
    </row>
    <row r="268" spans="1:13" x14ac:dyDescent="0.2">
      <c r="A268" t="s">
        <v>163</v>
      </c>
      <c r="B268" t="s">
        <v>379</v>
      </c>
      <c r="C268" t="s">
        <v>403</v>
      </c>
      <c r="D268" t="s">
        <v>130</v>
      </c>
      <c r="E268" t="s">
        <v>264</v>
      </c>
      <c r="F268" t="s">
        <v>404</v>
      </c>
      <c r="G268" t="s">
        <v>129</v>
      </c>
      <c r="H268" t="s">
        <v>252</v>
      </c>
      <c r="I268" t="s">
        <v>264</v>
      </c>
      <c r="L268">
        <f t="shared" ca="1" si="8"/>
        <v>263</v>
      </c>
      <c r="M268">
        <f t="shared" ca="1" si="9"/>
        <v>-195</v>
      </c>
    </row>
    <row r="269" spans="1:13" x14ac:dyDescent="0.2">
      <c r="A269" t="s">
        <v>169</v>
      </c>
      <c r="B269" t="s">
        <v>379</v>
      </c>
      <c r="C269" t="s">
        <v>403</v>
      </c>
      <c r="D269" t="s">
        <v>405</v>
      </c>
      <c r="E269" t="s">
        <v>264</v>
      </c>
      <c r="F269" t="s">
        <v>404</v>
      </c>
      <c r="G269" t="s">
        <v>129</v>
      </c>
      <c r="H269" t="s">
        <v>252</v>
      </c>
      <c r="I269" t="s">
        <v>264</v>
      </c>
      <c r="L269">
        <f t="shared" ca="1" si="8"/>
        <v>263</v>
      </c>
      <c r="M269">
        <f t="shared" ca="1" si="9"/>
        <v>-195</v>
      </c>
    </row>
    <row r="270" spans="1:13" x14ac:dyDescent="0.2">
      <c r="A270" t="s">
        <v>170</v>
      </c>
      <c r="B270" t="s">
        <v>379</v>
      </c>
      <c r="C270" t="s">
        <v>403</v>
      </c>
      <c r="D270" t="s">
        <v>129</v>
      </c>
      <c r="E270" t="s">
        <v>264</v>
      </c>
      <c r="F270" t="s">
        <v>404</v>
      </c>
      <c r="G270" t="s">
        <v>129</v>
      </c>
      <c r="H270" t="s">
        <v>252</v>
      </c>
      <c r="I270" t="s">
        <v>264</v>
      </c>
      <c r="L270">
        <f t="shared" ca="1" si="8"/>
        <v>263</v>
      </c>
      <c r="M270">
        <f t="shared" ca="1" si="9"/>
        <v>-195</v>
      </c>
    </row>
    <row r="271" spans="1:13" x14ac:dyDescent="0.2">
      <c r="A271" t="s">
        <v>170</v>
      </c>
      <c r="B271" t="s">
        <v>379</v>
      </c>
      <c r="C271" t="s">
        <v>403</v>
      </c>
      <c r="D271" t="s">
        <v>130</v>
      </c>
      <c r="E271" t="s">
        <v>264</v>
      </c>
      <c r="F271" t="s">
        <v>404</v>
      </c>
      <c r="G271" t="s">
        <v>129</v>
      </c>
      <c r="H271" t="s">
        <v>252</v>
      </c>
      <c r="I271" t="s">
        <v>264</v>
      </c>
      <c r="L271">
        <f t="shared" ca="1" si="8"/>
        <v>263</v>
      </c>
      <c r="M271">
        <f t="shared" ca="1" si="9"/>
        <v>-195</v>
      </c>
    </row>
    <row r="272" spans="1:13" x14ac:dyDescent="0.2">
      <c r="A272" t="s">
        <v>170</v>
      </c>
      <c r="B272" t="s">
        <v>379</v>
      </c>
      <c r="C272" t="s">
        <v>403</v>
      </c>
      <c r="D272" t="s">
        <v>129</v>
      </c>
      <c r="E272" t="s">
        <v>264</v>
      </c>
      <c r="F272" t="s">
        <v>404</v>
      </c>
      <c r="G272" t="s">
        <v>129</v>
      </c>
      <c r="H272" t="s">
        <v>252</v>
      </c>
      <c r="I272" t="s">
        <v>289</v>
      </c>
      <c r="L272">
        <f t="shared" ca="1" si="8"/>
        <v>263</v>
      </c>
      <c r="M272">
        <f t="shared" ca="1" si="9"/>
        <v>-195</v>
      </c>
    </row>
    <row r="273" spans="1:13" x14ac:dyDescent="0.2">
      <c r="A273" t="s">
        <v>183</v>
      </c>
      <c r="B273" t="s">
        <v>379</v>
      </c>
      <c r="C273" t="s">
        <v>403</v>
      </c>
      <c r="D273" t="s">
        <v>129</v>
      </c>
      <c r="E273" t="s">
        <v>264</v>
      </c>
      <c r="F273" t="s">
        <v>404</v>
      </c>
      <c r="G273" t="s">
        <v>129</v>
      </c>
      <c r="H273" t="s">
        <v>252</v>
      </c>
      <c r="I273" t="s">
        <v>264</v>
      </c>
      <c r="L273">
        <f t="shared" ca="1" si="8"/>
        <v>263</v>
      </c>
      <c r="M273">
        <f t="shared" ca="1" si="9"/>
        <v>-195</v>
      </c>
    </row>
    <row r="274" spans="1:13" x14ac:dyDescent="0.2">
      <c r="A274" t="s">
        <v>132</v>
      </c>
      <c r="B274" t="s">
        <v>312</v>
      </c>
      <c r="C274" t="s">
        <v>369</v>
      </c>
      <c r="D274" t="s">
        <v>130</v>
      </c>
      <c r="E274" t="s">
        <v>438</v>
      </c>
      <c r="F274" t="s">
        <v>448</v>
      </c>
      <c r="G274" t="s">
        <v>320</v>
      </c>
      <c r="H274" t="s">
        <v>257</v>
      </c>
      <c r="I274" t="s">
        <v>312</v>
      </c>
      <c r="L274" t="str">
        <f t="shared" ca="1" si="8"/>
        <v/>
      </c>
      <c r="M274" t="str">
        <f t="shared" ca="1" si="9"/>
        <v/>
      </c>
    </row>
    <row r="275" spans="1:13" x14ac:dyDescent="0.2">
      <c r="A275" t="s">
        <v>135</v>
      </c>
      <c r="B275" t="s">
        <v>365</v>
      </c>
      <c r="C275" t="s">
        <v>449</v>
      </c>
      <c r="D275" t="s">
        <v>130</v>
      </c>
      <c r="E275" t="s">
        <v>377</v>
      </c>
      <c r="F275" t="s">
        <v>441</v>
      </c>
      <c r="G275" t="s">
        <v>321</v>
      </c>
      <c r="H275" t="s">
        <v>252</v>
      </c>
      <c r="I275" t="s">
        <v>255</v>
      </c>
      <c r="L275" t="str">
        <f t="shared" ca="1" si="8"/>
        <v/>
      </c>
      <c r="M275" t="str">
        <f t="shared" ca="1" si="9"/>
        <v/>
      </c>
    </row>
    <row r="276" spans="1:13" x14ac:dyDescent="0.2">
      <c r="A276" t="s">
        <v>135</v>
      </c>
      <c r="B276" t="s">
        <v>365</v>
      </c>
      <c r="C276" t="s">
        <v>449</v>
      </c>
      <c r="D276" t="s">
        <v>130</v>
      </c>
      <c r="E276" t="s">
        <v>377</v>
      </c>
      <c r="F276" t="s">
        <v>441</v>
      </c>
      <c r="G276" t="s">
        <v>321</v>
      </c>
      <c r="H276" t="s">
        <v>261</v>
      </c>
      <c r="I276" t="s">
        <v>261</v>
      </c>
      <c r="L276" t="str">
        <f t="shared" ca="1" si="8"/>
        <v/>
      </c>
      <c r="M276" t="str">
        <f t="shared" ca="1" si="9"/>
        <v/>
      </c>
    </row>
    <row r="277" spans="1:13" x14ac:dyDescent="0.2">
      <c r="A277" t="s">
        <v>1191</v>
      </c>
      <c r="B277" t="s">
        <v>406</v>
      </c>
      <c r="C277" t="s">
        <v>450</v>
      </c>
      <c r="D277" t="s">
        <v>130</v>
      </c>
      <c r="E277" t="s">
        <v>264</v>
      </c>
      <c r="F277" t="s">
        <v>422</v>
      </c>
      <c r="G277" t="s">
        <v>322</v>
      </c>
      <c r="H277" t="s">
        <v>252</v>
      </c>
      <c r="I277" t="s">
        <v>264</v>
      </c>
      <c r="L277" t="str">
        <f t="shared" ca="1" si="8"/>
        <v/>
      </c>
      <c r="M277" t="str">
        <f t="shared" ca="1" si="9"/>
        <v/>
      </c>
    </row>
    <row r="278" spans="1:13" x14ac:dyDescent="0.2">
      <c r="A278" t="s">
        <v>2</v>
      </c>
      <c r="B278" t="s">
        <v>406</v>
      </c>
      <c r="C278" t="s">
        <v>450</v>
      </c>
      <c r="D278" t="s">
        <v>130</v>
      </c>
      <c r="E278" t="s">
        <v>264</v>
      </c>
      <c r="F278" t="s">
        <v>422</v>
      </c>
      <c r="G278" t="s">
        <v>322</v>
      </c>
      <c r="H278" t="s">
        <v>252</v>
      </c>
      <c r="I278" t="s">
        <v>264</v>
      </c>
      <c r="L278" t="str">
        <f t="shared" ca="1" si="8"/>
        <v/>
      </c>
      <c r="M278" t="str">
        <f t="shared" ca="1" si="9"/>
        <v/>
      </c>
    </row>
    <row r="279" spans="1:13" x14ac:dyDescent="0.2">
      <c r="A279" t="s">
        <v>65</v>
      </c>
      <c r="B279" t="s">
        <v>406</v>
      </c>
      <c r="C279" t="s">
        <v>450</v>
      </c>
      <c r="D279" t="s">
        <v>376</v>
      </c>
      <c r="E279" t="s">
        <v>264</v>
      </c>
      <c r="F279" t="s">
        <v>422</v>
      </c>
      <c r="G279" t="s">
        <v>322</v>
      </c>
      <c r="H279" t="s">
        <v>252</v>
      </c>
      <c r="I279" t="s">
        <v>264</v>
      </c>
      <c r="L279" t="str">
        <f t="shared" ca="1" si="8"/>
        <v/>
      </c>
      <c r="M279" t="str">
        <f t="shared" ca="1" si="9"/>
        <v/>
      </c>
    </row>
    <row r="280" spans="1:13" x14ac:dyDescent="0.2">
      <c r="A280" t="s">
        <v>136</v>
      </c>
      <c r="B280" t="s">
        <v>312</v>
      </c>
      <c r="C280" t="s">
        <v>369</v>
      </c>
      <c r="D280" t="s">
        <v>130</v>
      </c>
      <c r="E280" t="s">
        <v>438</v>
      </c>
      <c r="F280" t="s">
        <v>448</v>
      </c>
      <c r="G280" t="s">
        <v>323</v>
      </c>
      <c r="H280" t="s">
        <v>257</v>
      </c>
      <c r="I280" t="s">
        <v>312</v>
      </c>
      <c r="L280" t="str">
        <f t="shared" ca="1" si="8"/>
        <v/>
      </c>
      <c r="M280" t="str">
        <f t="shared" ca="1" si="9"/>
        <v/>
      </c>
    </row>
    <row r="281" spans="1:13" x14ac:dyDescent="0.2">
      <c r="A281" t="s">
        <v>137</v>
      </c>
      <c r="B281" t="s">
        <v>312</v>
      </c>
      <c r="C281" t="s">
        <v>369</v>
      </c>
      <c r="D281" t="s">
        <v>130</v>
      </c>
      <c r="E281" t="s">
        <v>438</v>
      </c>
      <c r="F281" t="s">
        <v>448</v>
      </c>
      <c r="G281" t="s">
        <v>324</v>
      </c>
      <c r="H281" t="s">
        <v>257</v>
      </c>
      <c r="I281" t="s">
        <v>312</v>
      </c>
      <c r="L281" t="str">
        <f t="shared" ca="1" si="8"/>
        <v/>
      </c>
      <c r="M281" t="str">
        <f t="shared" ca="1" si="9"/>
        <v/>
      </c>
    </row>
    <row r="282" spans="1:13" x14ac:dyDescent="0.2">
      <c r="A282" t="s">
        <v>1167</v>
      </c>
      <c r="B282" t="s">
        <v>373</v>
      </c>
      <c r="C282" t="s">
        <v>461</v>
      </c>
      <c r="D282" t="s">
        <v>130</v>
      </c>
      <c r="E282" t="s">
        <v>377</v>
      </c>
      <c r="F282" t="s">
        <v>1166</v>
      </c>
      <c r="G282" t="s">
        <v>1155</v>
      </c>
      <c r="H282" t="s">
        <v>261</v>
      </c>
      <c r="I282" t="s">
        <v>261</v>
      </c>
      <c r="L282" t="str">
        <f t="shared" ca="1" si="8"/>
        <v/>
      </c>
      <c r="M282" t="str">
        <f t="shared" ca="1" si="9"/>
        <v/>
      </c>
    </row>
    <row r="283" spans="1:13" x14ac:dyDescent="0.2">
      <c r="A283" t="s">
        <v>1168</v>
      </c>
      <c r="B283" t="s">
        <v>373</v>
      </c>
      <c r="C283" t="s">
        <v>461</v>
      </c>
      <c r="D283" t="s">
        <v>130</v>
      </c>
      <c r="E283" t="s">
        <v>377</v>
      </c>
      <c r="F283" t="s">
        <v>1166</v>
      </c>
      <c r="G283" t="s">
        <v>1155</v>
      </c>
      <c r="H283" t="s">
        <v>261</v>
      </c>
      <c r="I283" t="s">
        <v>261</v>
      </c>
      <c r="L283" t="str">
        <f t="shared" ca="1" si="8"/>
        <v/>
      </c>
      <c r="M283" t="str">
        <f t="shared" ca="1" si="9"/>
        <v/>
      </c>
    </row>
    <row r="284" spans="1:13" x14ac:dyDescent="0.2">
      <c r="A284" t="s">
        <v>1169</v>
      </c>
      <c r="B284" t="s">
        <v>373</v>
      </c>
      <c r="C284" t="s">
        <v>461</v>
      </c>
      <c r="D284" t="s">
        <v>130</v>
      </c>
      <c r="E284" t="s">
        <v>377</v>
      </c>
      <c r="F284" t="s">
        <v>1166</v>
      </c>
      <c r="G284" t="s">
        <v>1155</v>
      </c>
      <c r="H284" t="s">
        <v>261</v>
      </c>
      <c r="I284" t="s">
        <v>261</v>
      </c>
      <c r="L284" t="str">
        <f t="shared" ca="1" si="8"/>
        <v/>
      </c>
      <c r="M284" t="str">
        <f t="shared" ca="1" si="9"/>
        <v/>
      </c>
    </row>
    <row r="285" spans="1:13" x14ac:dyDescent="0.2">
      <c r="A285" t="s">
        <v>1167</v>
      </c>
      <c r="B285" t="s">
        <v>373</v>
      </c>
      <c r="C285" t="s">
        <v>461</v>
      </c>
      <c r="D285" t="s">
        <v>130</v>
      </c>
      <c r="E285" t="s">
        <v>377</v>
      </c>
      <c r="F285" t="s">
        <v>1166</v>
      </c>
      <c r="G285" t="s">
        <v>871</v>
      </c>
      <c r="H285" t="s">
        <v>261</v>
      </c>
      <c r="I285" t="s">
        <v>261</v>
      </c>
      <c r="L285" t="str">
        <f t="shared" ca="1" si="8"/>
        <v/>
      </c>
      <c r="M285" t="str">
        <f t="shared" ca="1" si="9"/>
        <v/>
      </c>
    </row>
    <row r="286" spans="1:13" x14ac:dyDescent="0.2">
      <c r="A286" t="s">
        <v>1168</v>
      </c>
      <c r="B286" t="s">
        <v>373</v>
      </c>
      <c r="C286" t="s">
        <v>461</v>
      </c>
      <c r="D286" t="s">
        <v>130</v>
      </c>
      <c r="E286" t="s">
        <v>377</v>
      </c>
      <c r="F286" t="s">
        <v>1166</v>
      </c>
      <c r="G286" t="s">
        <v>871</v>
      </c>
      <c r="H286" t="s">
        <v>261</v>
      </c>
      <c r="I286" t="s">
        <v>261</v>
      </c>
      <c r="L286" t="str">
        <f t="shared" ca="1" si="8"/>
        <v/>
      </c>
      <c r="M286" t="str">
        <f t="shared" ca="1" si="9"/>
        <v/>
      </c>
    </row>
    <row r="287" spans="1:13" x14ac:dyDescent="0.2">
      <c r="A287" t="s">
        <v>1169</v>
      </c>
      <c r="B287" t="s">
        <v>373</v>
      </c>
      <c r="C287" t="s">
        <v>461</v>
      </c>
      <c r="D287" t="s">
        <v>130</v>
      </c>
      <c r="E287" t="s">
        <v>377</v>
      </c>
      <c r="F287" t="s">
        <v>1166</v>
      </c>
      <c r="G287" t="s">
        <v>871</v>
      </c>
      <c r="H287" t="s">
        <v>261</v>
      </c>
      <c r="I287" t="s">
        <v>261</v>
      </c>
      <c r="L287" t="str">
        <f t="shared" ca="1" si="8"/>
        <v/>
      </c>
      <c r="M287" t="str">
        <f t="shared" ca="1" si="9"/>
        <v/>
      </c>
    </row>
    <row r="288" spans="1:13" x14ac:dyDescent="0.2">
      <c r="A288" t="s">
        <v>130</v>
      </c>
      <c r="B288" t="s">
        <v>312</v>
      </c>
      <c r="C288" t="s">
        <v>369</v>
      </c>
      <c r="D288" t="s">
        <v>130</v>
      </c>
      <c r="E288" t="s">
        <v>284</v>
      </c>
      <c r="F288" t="s">
        <v>427</v>
      </c>
      <c r="G288" t="s">
        <v>325</v>
      </c>
      <c r="H288" t="s">
        <v>257</v>
      </c>
      <c r="I288" t="s">
        <v>284</v>
      </c>
      <c r="L288" t="str">
        <f t="shared" ca="1" si="8"/>
        <v/>
      </c>
      <c r="M288" t="str">
        <f t="shared" ca="1" si="9"/>
        <v/>
      </c>
    </row>
    <row r="289" spans="1:14" x14ac:dyDescent="0.2">
      <c r="A289" t="s">
        <v>1185</v>
      </c>
      <c r="B289" t="s">
        <v>410</v>
      </c>
      <c r="C289" t="s">
        <v>435</v>
      </c>
      <c r="D289" t="s">
        <v>130</v>
      </c>
      <c r="E289" t="s">
        <v>255</v>
      </c>
      <c r="F289" t="s">
        <v>381</v>
      </c>
      <c r="G289" t="s">
        <v>326</v>
      </c>
      <c r="H289" t="s">
        <v>252</v>
      </c>
      <c r="I289" t="s">
        <v>255</v>
      </c>
      <c r="L289" t="str">
        <f t="shared" ca="1" si="8"/>
        <v/>
      </c>
      <c r="M289" t="str">
        <f t="shared" ca="1" si="9"/>
        <v/>
      </c>
    </row>
    <row r="290" spans="1:14" x14ac:dyDescent="0.2">
      <c r="A290" t="s">
        <v>1189</v>
      </c>
      <c r="B290" t="s">
        <v>410</v>
      </c>
      <c r="C290" t="s">
        <v>435</v>
      </c>
      <c r="D290" t="s">
        <v>130</v>
      </c>
      <c r="E290" t="s">
        <v>255</v>
      </c>
      <c r="F290" t="s">
        <v>381</v>
      </c>
      <c r="G290" t="s">
        <v>326</v>
      </c>
      <c r="H290" t="s">
        <v>252</v>
      </c>
      <c r="I290" t="s">
        <v>255</v>
      </c>
      <c r="L290" t="str">
        <f t="shared" ca="1" si="8"/>
        <v/>
      </c>
      <c r="M290" t="str">
        <f t="shared" ca="1" si="9"/>
        <v/>
      </c>
    </row>
    <row r="291" spans="1:14" x14ac:dyDescent="0.2">
      <c r="A291" t="s">
        <v>109</v>
      </c>
      <c r="B291" t="s">
        <v>410</v>
      </c>
      <c r="C291" t="s">
        <v>435</v>
      </c>
      <c r="D291" t="s">
        <v>130</v>
      </c>
      <c r="E291" t="s">
        <v>255</v>
      </c>
      <c r="F291" t="s">
        <v>381</v>
      </c>
      <c r="G291" t="s">
        <v>326</v>
      </c>
      <c r="H291" t="s">
        <v>252</v>
      </c>
      <c r="I291" t="s">
        <v>255</v>
      </c>
      <c r="L291" t="str">
        <f t="shared" ca="1" si="8"/>
        <v/>
      </c>
      <c r="M291" t="str">
        <f t="shared" ca="1" si="9"/>
        <v/>
      </c>
    </row>
    <row r="292" spans="1:14" x14ac:dyDescent="0.2">
      <c r="A292" t="s">
        <v>113</v>
      </c>
      <c r="B292" t="s">
        <v>410</v>
      </c>
      <c r="C292" t="s">
        <v>436</v>
      </c>
      <c r="D292" t="s">
        <v>130</v>
      </c>
      <c r="E292" t="s">
        <v>255</v>
      </c>
      <c r="F292" t="s">
        <v>381</v>
      </c>
      <c r="G292" t="s">
        <v>326</v>
      </c>
      <c r="H292" t="s">
        <v>252</v>
      </c>
      <c r="I292" t="s">
        <v>255</v>
      </c>
      <c r="L292" t="str">
        <f t="shared" ca="1" si="8"/>
        <v/>
      </c>
      <c r="M292" t="str">
        <f t="shared" ca="1" si="9"/>
        <v/>
      </c>
    </row>
    <row r="293" spans="1:14" x14ac:dyDescent="0.2">
      <c r="A293" t="s">
        <v>1192</v>
      </c>
      <c r="B293" t="s">
        <v>446</v>
      </c>
      <c r="C293" t="s">
        <v>1193</v>
      </c>
      <c r="D293" t="s">
        <v>130</v>
      </c>
      <c r="E293" t="s">
        <v>255</v>
      </c>
      <c r="F293" t="s">
        <v>367</v>
      </c>
      <c r="G293" t="s">
        <v>326</v>
      </c>
      <c r="H293" t="s">
        <v>252</v>
      </c>
      <c r="I293" t="s">
        <v>255</v>
      </c>
      <c r="L293" t="str">
        <f t="shared" ca="1" si="8"/>
        <v/>
      </c>
      <c r="M293" t="str">
        <f t="shared" ca="1" si="9"/>
        <v/>
      </c>
    </row>
    <row r="294" spans="1:14" x14ac:dyDescent="0.2">
      <c r="A294" t="s">
        <v>1192</v>
      </c>
      <c r="B294" t="s">
        <v>365</v>
      </c>
      <c r="C294" t="s">
        <v>1194</v>
      </c>
      <c r="D294" t="s">
        <v>130</v>
      </c>
      <c r="E294" t="s">
        <v>255</v>
      </c>
      <c r="F294" t="s">
        <v>1195</v>
      </c>
      <c r="G294" t="s">
        <v>326</v>
      </c>
      <c r="H294" t="s">
        <v>252</v>
      </c>
      <c r="I294" t="s">
        <v>255</v>
      </c>
      <c r="L294" t="str">
        <f t="shared" ca="1" si="8"/>
        <v/>
      </c>
      <c r="M294" t="str">
        <f t="shared" ca="1" si="9"/>
        <v/>
      </c>
    </row>
    <row r="295" spans="1:14" x14ac:dyDescent="0.2">
      <c r="A295" t="s">
        <v>1196</v>
      </c>
      <c r="B295" t="s">
        <v>446</v>
      </c>
      <c r="C295" t="s">
        <v>1197</v>
      </c>
      <c r="D295" t="s">
        <v>130</v>
      </c>
      <c r="E295" t="s">
        <v>255</v>
      </c>
      <c r="F295" t="s">
        <v>367</v>
      </c>
      <c r="G295" t="s">
        <v>326</v>
      </c>
      <c r="H295" t="s">
        <v>252</v>
      </c>
      <c r="I295" t="s">
        <v>255</v>
      </c>
      <c r="L295" t="str">
        <f t="shared" ca="1" si="8"/>
        <v/>
      </c>
      <c r="M295" t="str">
        <f t="shared" ca="1" si="9"/>
        <v/>
      </c>
    </row>
    <row r="296" spans="1:14" x14ac:dyDescent="0.2">
      <c r="A296" t="s">
        <v>1198</v>
      </c>
      <c r="B296" t="s">
        <v>365</v>
      </c>
      <c r="C296" t="s">
        <v>1194</v>
      </c>
      <c r="D296" t="s">
        <v>130</v>
      </c>
      <c r="E296" t="s">
        <v>255</v>
      </c>
      <c r="F296" t="s">
        <v>1195</v>
      </c>
      <c r="G296" t="s">
        <v>326</v>
      </c>
      <c r="H296" t="s">
        <v>252</v>
      </c>
      <c r="I296" t="s">
        <v>255</v>
      </c>
      <c r="L296" t="str">
        <f t="shared" ca="1" si="8"/>
        <v/>
      </c>
      <c r="M296" t="str">
        <f t="shared" ca="1" si="9"/>
        <v/>
      </c>
    </row>
    <row r="297" spans="1:14" x14ac:dyDescent="0.2">
      <c r="A297" t="s">
        <v>1198</v>
      </c>
      <c r="B297" t="s">
        <v>365</v>
      </c>
      <c r="C297" t="s">
        <v>1194</v>
      </c>
      <c r="D297" t="s">
        <v>130</v>
      </c>
      <c r="E297" t="s">
        <v>255</v>
      </c>
      <c r="F297" t="s">
        <v>456</v>
      </c>
      <c r="G297" t="s">
        <v>326</v>
      </c>
      <c r="H297" t="s">
        <v>252</v>
      </c>
      <c r="I297" t="s">
        <v>255</v>
      </c>
      <c r="L297" t="str">
        <f t="shared" ca="1" si="8"/>
        <v/>
      </c>
      <c r="M297" t="str">
        <f t="shared" ca="1" si="9"/>
        <v/>
      </c>
      <c r="N297" t="str">
        <f t="shared" ref="N297:N360" ca="1" si="10">IFERROR(MATCH(OFFSET($G$1,ROW()-1,0,1,1),A:A,1)-M297+1,"")</f>
        <v/>
      </c>
    </row>
    <row r="298" spans="1:14" x14ac:dyDescent="0.2">
      <c r="A298" t="s">
        <v>158</v>
      </c>
      <c r="B298" t="s">
        <v>365</v>
      </c>
      <c r="C298" t="s">
        <v>1194</v>
      </c>
      <c r="D298" t="s">
        <v>130</v>
      </c>
      <c r="E298" t="s">
        <v>255</v>
      </c>
      <c r="F298" t="s">
        <v>456</v>
      </c>
      <c r="G298" t="s">
        <v>326</v>
      </c>
      <c r="H298" t="s">
        <v>252</v>
      </c>
      <c r="I298" t="s">
        <v>255</v>
      </c>
      <c r="L298" t="str">
        <f t="shared" ca="1" si="8"/>
        <v/>
      </c>
      <c r="M298" t="str">
        <f t="shared" ca="1" si="9"/>
        <v/>
      </c>
      <c r="N298" t="str">
        <f t="shared" ca="1" si="10"/>
        <v/>
      </c>
    </row>
    <row r="299" spans="1:14" x14ac:dyDescent="0.2">
      <c r="A299" t="s">
        <v>173</v>
      </c>
      <c r="B299" t="s">
        <v>410</v>
      </c>
      <c r="C299" t="s">
        <v>1199</v>
      </c>
      <c r="D299" t="s">
        <v>130</v>
      </c>
      <c r="E299" t="s">
        <v>255</v>
      </c>
      <c r="F299" t="s">
        <v>381</v>
      </c>
      <c r="G299" t="s">
        <v>326</v>
      </c>
      <c r="H299" t="s">
        <v>252</v>
      </c>
      <c r="I299" t="s">
        <v>255</v>
      </c>
      <c r="L299" t="str">
        <f t="shared" ca="1" si="8"/>
        <v/>
      </c>
      <c r="M299" t="str">
        <f t="shared" ca="1" si="9"/>
        <v/>
      </c>
      <c r="N299" t="str">
        <f t="shared" ca="1" si="10"/>
        <v/>
      </c>
    </row>
    <row r="300" spans="1:14" x14ac:dyDescent="0.2">
      <c r="A300" t="s">
        <v>173</v>
      </c>
      <c r="B300" t="s">
        <v>365</v>
      </c>
      <c r="C300" t="s">
        <v>451</v>
      </c>
      <c r="D300" t="s">
        <v>130</v>
      </c>
      <c r="E300" t="s">
        <v>255</v>
      </c>
      <c r="F300" t="s">
        <v>381</v>
      </c>
      <c r="G300" t="s">
        <v>326</v>
      </c>
      <c r="H300" t="s">
        <v>252</v>
      </c>
      <c r="I300" t="s">
        <v>255</v>
      </c>
      <c r="L300" t="str">
        <f t="shared" ca="1" si="8"/>
        <v/>
      </c>
      <c r="M300" t="str">
        <f t="shared" ca="1" si="9"/>
        <v/>
      </c>
      <c r="N300" t="str">
        <f t="shared" ca="1" si="10"/>
        <v/>
      </c>
    </row>
    <row r="301" spans="1:14" x14ac:dyDescent="0.2">
      <c r="A301" t="s">
        <v>173</v>
      </c>
      <c r="B301" t="s">
        <v>446</v>
      </c>
      <c r="C301" t="s">
        <v>1193</v>
      </c>
      <c r="D301" t="s">
        <v>130</v>
      </c>
      <c r="E301" t="s">
        <v>255</v>
      </c>
      <c r="F301" t="s">
        <v>367</v>
      </c>
      <c r="G301" t="s">
        <v>326</v>
      </c>
      <c r="H301" t="s">
        <v>252</v>
      </c>
      <c r="I301" t="s">
        <v>255</v>
      </c>
      <c r="L301" t="str">
        <f t="shared" ca="1" si="8"/>
        <v/>
      </c>
      <c r="M301" t="str">
        <f t="shared" ca="1" si="9"/>
        <v/>
      </c>
      <c r="N301" t="str">
        <f t="shared" ca="1" si="10"/>
        <v/>
      </c>
    </row>
    <row r="302" spans="1:14" x14ac:dyDescent="0.2">
      <c r="A302" t="s">
        <v>174</v>
      </c>
      <c r="B302" t="s">
        <v>410</v>
      </c>
      <c r="C302" t="s">
        <v>1199</v>
      </c>
      <c r="D302" t="s">
        <v>130</v>
      </c>
      <c r="E302" t="s">
        <v>255</v>
      </c>
      <c r="F302" t="s">
        <v>381</v>
      </c>
      <c r="G302" t="s">
        <v>326</v>
      </c>
      <c r="H302" t="s">
        <v>252</v>
      </c>
      <c r="I302" t="s">
        <v>255</v>
      </c>
      <c r="L302" t="str">
        <f t="shared" ca="1" si="8"/>
        <v/>
      </c>
      <c r="M302" t="str">
        <f t="shared" ca="1" si="9"/>
        <v/>
      </c>
      <c r="N302" t="str">
        <f t="shared" ca="1" si="10"/>
        <v/>
      </c>
    </row>
    <row r="303" spans="1:14" x14ac:dyDescent="0.2">
      <c r="A303" t="s">
        <v>174</v>
      </c>
      <c r="B303" t="s">
        <v>446</v>
      </c>
      <c r="C303" t="s">
        <v>452</v>
      </c>
      <c r="D303" t="s">
        <v>130</v>
      </c>
      <c r="E303" t="s">
        <v>255</v>
      </c>
      <c r="F303" t="s">
        <v>367</v>
      </c>
      <c r="G303" t="s">
        <v>326</v>
      </c>
      <c r="H303" t="s">
        <v>252</v>
      </c>
      <c r="I303" t="s">
        <v>255</v>
      </c>
      <c r="L303" t="str">
        <f t="shared" ca="1" si="8"/>
        <v/>
      </c>
      <c r="M303" t="str">
        <f t="shared" ca="1" si="9"/>
        <v/>
      </c>
      <c r="N303" t="str">
        <f t="shared" ca="1" si="10"/>
        <v/>
      </c>
    </row>
    <row r="304" spans="1:14" x14ac:dyDescent="0.2">
      <c r="A304" t="s">
        <v>1200</v>
      </c>
      <c r="B304" t="s">
        <v>365</v>
      </c>
      <c r="C304" t="s">
        <v>1194</v>
      </c>
      <c r="D304" t="s">
        <v>130</v>
      </c>
      <c r="E304" t="s">
        <v>255</v>
      </c>
      <c r="F304" t="s">
        <v>456</v>
      </c>
      <c r="G304" t="s">
        <v>326</v>
      </c>
      <c r="H304" t="s">
        <v>252</v>
      </c>
      <c r="I304" t="s">
        <v>255</v>
      </c>
      <c r="L304" t="str">
        <f t="shared" ca="1" si="8"/>
        <v/>
      </c>
      <c r="M304" t="str">
        <f t="shared" ca="1" si="9"/>
        <v/>
      </c>
      <c r="N304" t="str">
        <f t="shared" ca="1" si="10"/>
        <v/>
      </c>
    </row>
    <row r="305" spans="1:14" x14ac:dyDescent="0.2">
      <c r="A305" t="s">
        <v>1200</v>
      </c>
      <c r="B305" t="s">
        <v>365</v>
      </c>
      <c r="C305" t="s">
        <v>1194</v>
      </c>
      <c r="D305" t="s">
        <v>130</v>
      </c>
      <c r="E305" t="s">
        <v>255</v>
      </c>
      <c r="F305" t="s">
        <v>1195</v>
      </c>
      <c r="G305" t="s">
        <v>326</v>
      </c>
      <c r="H305" t="s">
        <v>252</v>
      </c>
      <c r="I305" t="s">
        <v>255</v>
      </c>
      <c r="L305" t="str">
        <f t="shared" ca="1" si="8"/>
        <v/>
      </c>
      <c r="M305" t="str">
        <f t="shared" ca="1" si="9"/>
        <v/>
      </c>
      <c r="N305" t="str">
        <f t="shared" ca="1" si="10"/>
        <v/>
      </c>
    </row>
    <row r="306" spans="1:14" x14ac:dyDescent="0.2">
      <c r="A306" t="s">
        <v>1280</v>
      </c>
      <c r="B306" t="s">
        <v>365</v>
      </c>
      <c r="C306" t="s">
        <v>1281</v>
      </c>
      <c r="D306" t="s">
        <v>130</v>
      </c>
      <c r="E306" t="s">
        <v>255</v>
      </c>
      <c r="F306" t="s">
        <v>381</v>
      </c>
      <c r="G306" t="s">
        <v>326</v>
      </c>
      <c r="H306" t="s">
        <v>252</v>
      </c>
      <c r="I306" t="s">
        <v>255</v>
      </c>
      <c r="L306" t="str">
        <f t="shared" ca="1" si="8"/>
        <v/>
      </c>
      <c r="M306" t="str">
        <f t="shared" ca="1" si="9"/>
        <v/>
      </c>
      <c r="N306" t="str">
        <f t="shared" ca="1" si="10"/>
        <v/>
      </c>
    </row>
    <row r="307" spans="1:14" x14ac:dyDescent="0.2">
      <c r="A307" t="s">
        <v>1280</v>
      </c>
      <c r="B307" t="s">
        <v>446</v>
      </c>
      <c r="C307" t="s">
        <v>1193</v>
      </c>
      <c r="D307" t="s">
        <v>130</v>
      </c>
      <c r="E307" t="s">
        <v>255</v>
      </c>
      <c r="F307" t="s">
        <v>367</v>
      </c>
      <c r="G307" t="s">
        <v>326</v>
      </c>
      <c r="H307" t="s">
        <v>252</v>
      </c>
      <c r="I307" t="s">
        <v>255</v>
      </c>
      <c r="L307" t="str">
        <f t="shared" ca="1" si="8"/>
        <v/>
      </c>
      <c r="M307" t="str">
        <f t="shared" ca="1" si="9"/>
        <v/>
      </c>
      <c r="N307" t="str">
        <f t="shared" ca="1" si="10"/>
        <v/>
      </c>
    </row>
    <row r="308" spans="1:14" x14ac:dyDescent="0.2">
      <c r="A308" t="s">
        <v>1282</v>
      </c>
      <c r="B308" t="s">
        <v>365</v>
      </c>
      <c r="C308" t="s">
        <v>1194</v>
      </c>
      <c r="D308" t="s">
        <v>130</v>
      </c>
      <c r="E308" t="s">
        <v>255</v>
      </c>
      <c r="F308" t="s">
        <v>456</v>
      </c>
      <c r="G308" t="s">
        <v>326</v>
      </c>
      <c r="H308" t="s">
        <v>252</v>
      </c>
      <c r="I308" t="s">
        <v>255</v>
      </c>
      <c r="L308" t="str">
        <f t="shared" ca="1" si="8"/>
        <v/>
      </c>
      <c r="M308" t="str">
        <f t="shared" ca="1" si="9"/>
        <v/>
      </c>
      <c r="N308" t="str">
        <f t="shared" ca="1" si="10"/>
        <v/>
      </c>
    </row>
    <row r="309" spans="1:14" x14ac:dyDescent="0.2">
      <c r="A309" t="s">
        <v>1283</v>
      </c>
      <c r="B309" t="s">
        <v>365</v>
      </c>
      <c r="C309" t="s">
        <v>1194</v>
      </c>
      <c r="D309" t="s">
        <v>130</v>
      </c>
      <c r="E309" t="s">
        <v>255</v>
      </c>
      <c r="F309" t="s">
        <v>456</v>
      </c>
      <c r="G309" t="s">
        <v>326</v>
      </c>
      <c r="H309" t="s">
        <v>252</v>
      </c>
      <c r="I309" t="s">
        <v>255</v>
      </c>
      <c r="L309" t="str">
        <f t="shared" ca="1" si="8"/>
        <v/>
      </c>
      <c r="M309" t="str">
        <f t="shared" ca="1" si="9"/>
        <v/>
      </c>
      <c r="N309" t="str">
        <f t="shared" ca="1" si="10"/>
        <v/>
      </c>
    </row>
    <row r="310" spans="1:14" x14ac:dyDescent="0.2">
      <c r="A310" t="s">
        <v>1284</v>
      </c>
      <c r="B310" t="s">
        <v>373</v>
      </c>
      <c r="C310" t="s">
        <v>1285</v>
      </c>
      <c r="D310" t="s">
        <v>130</v>
      </c>
      <c r="E310" t="s">
        <v>255</v>
      </c>
      <c r="F310" t="s">
        <v>367</v>
      </c>
      <c r="G310" t="s">
        <v>326</v>
      </c>
      <c r="H310" t="s">
        <v>252</v>
      </c>
      <c r="I310" t="s">
        <v>255</v>
      </c>
      <c r="L310" t="str">
        <f t="shared" ca="1" si="8"/>
        <v/>
      </c>
      <c r="M310" t="str">
        <f t="shared" ca="1" si="9"/>
        <v/>
      </c>
      <c r="N310" t="str">
        <f t="shared" ca="1" si="10"/>
        <v/>
      </c>
    </row>
    <row r="311" spans="1:14" x14ac:dyDescent="0.2">
      <c r="A311" t="s">
        <v>144</v>
      </c>
      <c r="B311" t="s">
        <v>410</v>
      </c>
      <c r="C311" t="s">
        <v>411</v>
      </c>
      <c r="D311" t="s">
        <v>130</v>
      </c>
      <c r="E311" t="s">
        <v>255</v>
      </c>
      <c r="F311" t="s">
        <v>381</v>
      </c>
      <c r="G311" t="s">
        <v>327</v>
      </c>
      <c r="H311" t="s">
        <v>252</v>
      </c>
      <c r="I311" t="s">
        <v>255</v>
      </c>
      <c r="L311" t="str">
        <f t="shared" ca="1" si="8"/>
        <v/>
      </c>
      <c r="M311" t="str">
        <f t="shared" ca="1" si="9"/>
        <v/>
      </c>
      <c r="N311" t="str">
        <f t="shared" ca="1" si="10"/>
        <v/>
      </c>
    </row>
    <row r="312" spans="1:14" x14ac:dyDescent="0.2">
      <c r="A312" t="s">
        <v>145</v>
      </c>
      <c r="B312" t="s">
        <v>410</v>
      </c>
      <c r="C312" t="s">
        <v>411</v>
      </c>
      <c r="D312" t="s">
        <v>130</v>
      </c>
      <c r="E312" t="s">
        <v>255</v>
      </c>
      <c r="F312" t="s">
        <v>381</v>
      </c>
      <c r="G312" t="s">
        <v>327</v>
      </c>
      <c r="H312" t="s">
        <v>252</v>
      </c>
      <c r="I312" t="s">
        <v>255</v>
      </c>
      <c r="L312" t="str">
        <f t="shared" ca="1" si="8"/>
        <v/>
      </c>
      <c r="M312" t="str">
        <f t="shared" ca="1" si="9"/>
        <v/>
      </c>
      <c r="N312" t="str">
        <f t="shared" ca="1" si="10"/>
        <v/>
      </c>
    </row>
    <row r="313" spans="1:14" x14ac:dyDescent="0.2">
      <c r="A313" t="s">
        <v>1201</v>
      </c>
      <c r="B313" t="s">
        <v>406</v>
      </c>
      <c r="C313" t="s">
        <v>421</v>
      </c>
      <c r="D313" t="s">
        <v>130</v>
      </c>
      <c r="E313" t="s">
        <v>264</v>
      </c>
      <c r="F313" t="s">
        <v>422</v>
      </c>
      <c r="G313" t="s">
        <v>779</v>
      </c>
      <c r="H313" t="s">
        <v>252</v>
      </c>
      <c r="I313" t="s">
        <v>264</v>
      </c>
      <c r="L313" t="str">
        <f t="shared" ca="1" si="8"/>
        <v/>
      </c>
      <c r="M313" t="str">
        <f t="shared" ca="1" si="9"/>
        <v/>
      </c>
      <c r="N313" t="str">
        <f t="shared" ca="1" si="10"/>
        <v/>
      </c>
    </row>
    <row r="314" spans="1:14" x14ac:dyDescent="0.2">
      <c r="A314" t="s">
        <v>43</v>
      </c>
      <c r="B314" t="s">
        <v>379</v>
      </c>
      <c r="C314" t="s">
        <v>328</v>
      </c>
      <c r="D314" t="s">
        <v>130</v>
      </c>
      <c r="E314" t="s">
        <v>263</v>
      </c>
      <c r="F314" t="s">
        <v>328</v>
      </c>
      <c r="G314" t="s">
        <v>328</v>
      </c>
      <c r="H314" t="s">
        <v>252</v>
      </c>
      <c r="I314" t="s">
        <v>263</v>
      </c>
      <c r="L314" t="str">
        <f t="shared" ca="1" si="8"/>
        <v/>
      </c>
      <c r="M314" t="str">
        <f t="shared" ca="1" si="9"/>
        <v/>
      </c>
      <c r="N314" t="str">
        <f t="shared" ca="1" si="10"/>
        <v/>
      </c>
    </row>
    <row r="315" spans="1:14" x14ac:dyDescent="0.2">
      <c r="A315" t="s">
        <v>59</v>
      </c>
      <c r="B315" t="s">
        <v>379</v>
      </c>
      <c r="C315" t="s">
        <v>328</v>
      </c>
      <c r="D315" t="s">
        <v>376</v>
      </c>
      <c r="E315" t="s">
        <v>263</v>
      </c>
      <c r="F315" t="s">
        <v>328</v>
      </c>
      <c r="G315" t="s">
        <v>328</v>
      </c>
      <c r="H315" t="s">
        <v>252</v>
      </c>
      <c r="I315" t="s">
        <v>263</v>
      </c>
      <c r="L315" t="str">
        <f t="shared" ca="1" si="8"/>
        <v/>
      </c>
      <c r="M315" t="str">
        <f t="shared" ca="1" si="9"/>
        <v/>
      </c>
      <c r="N315" t="str">
        <f t="shared" ca="1" si="10"/>
        <v/>
      </c>
    </row>
    <row r="316" spans="1:14" x14ac:dyDescent="0.2">
      <c r="A316" t="s">
        <v>60</v>
      </c>
      <c r="B316" t="s">
        <v>379</v>
      </c>
      <c r="C316" t="s">
        <v>328</v>
      </c>
      <c r="D316" t="s">
        <v>376</v>
      </c>
      <c r="E316" t="s">
        <v>263</v>
      </c>
      <c r="F316" t="s">
        <v>328</v>
      </c>
      <c r="G316" t="s">
        <v>328</v>
      </c>
      <c r="H316" t="s">
        <v>252</v>
      </c>
      <c r="I316" t="s">
        <v>263</v>
      </c>
      <c r="L316" t="str">
        <f t="shared" ca="1" si="8"/>
        <v/>
      </c>
      <c r="M316" t="str">
        <f t="shared" ca="1" si="9"/>
        <v/>
      </c>
      <c r="N316" t="str">
        <f t="shared" ca="1" si="10"/>
        <v/>
      </c>
    </row>
    <row r="317" spans="1:14" x14ac:dyDescent="0.2">
      <c r="A317" t="s">
        <v>61</v>
      </c>
      <c r="B317" t="s">
        <v>379</v>
      </c>
      <c r="C317" t="s">
        <v>328</v>
      </c>
      <c r="D317" t="s">
        <v>130</v>
      </c>
      <c r="E317" t="s">
        <v>263</v>
      </c>
      <c r="F317" t="s">
        <v>328</v>
      </c>
      <c r="G317" t="s">
        <v>328</v>
      </c>
      <c r="H317" t="s">
        <v>252</v>
      </c>
      <c r="I317" t="s">
        <v>263</v>
      </c>
      <c r="L317" t="str">
        <f t="shared" ca="1" si="8"/>
        <v/>
      </c>
      <c r="M317" t="str">
        <f t="shared" ca="1" si="9"/>
        <v/>
      </c>
      <c r="N317" t="str">
        <f t="shared" ca="1" si="10"/>
        <v/>
      </c>
    </row>
    <row r="318" spans="1:14" x14ac:dyDescent="0.2">
      <c r="A318" t="s">
        <v>147</v>
      </c>
      <c r="B318" t="s">
        <v>379</v>
      </c>
      <c r="C318" t="s">
        <v>328</v>
      </c>
      <c r="D318" t="s">
        <v>130</v>
      </c>
      <c r="E318" t="s">
        <v>263</v>
      </c>
      <c r="F318" t="s">
        <v>328</v>
      </c>
      <c r="G318" t="s">
        <v>328</v>
      </c>
      <c r="H318" t="s">
        <v>252</v>
      </c>
      <c r="I318" t="s">
        <v>263</v>
      </c>
      <c r="L318" t="str">
        <f t="shared" ca="1" si="8"/>
        <v/>
      </c>
      <c r="M318" t="str">
        <f t="shared" ca="1" si="9"/>
        <v/>
      </c>
      <c r="N318" t="str">
        <f t="shared" ca="1" si="10"/>
        <v/>
      </c>
    </row>
    <row r="319" spans="1:14" x14ac:dyDescent="0.2">
      <c r="A319" t="s">
        <v>163</v>
      </c>
      <c r="B319" t="s">
        <v>379</v>
      </c>
      <c r="C319" t="s">
        <v>328</v>
      </c>
      <c r="D319" t="s">
        <v>130</v>
      </c>
      <c r="E319" t="s">
        <v>263</v>
      </c>
      <c r="F319" t="s">
        <v>328</v>
      </c>
      <c r="G319" t="s">
        <v>328</v>
      </c>
      <c r="H319" t="s">
        <v>252</v>
      </c>
      <c r="I319" t="s">
        <v>263</v>
      </c>
      <c r="L319" t="str">
        <f t="shared" ca="1" si="8"/>
        <v/>
      </c>
      <c r="M319" t="str">
        <f t="shared" ca="1" si="9"/>
        <v/>
      </c>
      <c r="N319" t="str">
        <f t="shared" ca="1" si="10"/>
        <v/>
      </c>
    </row>
    <row r="320" spans="1:14" x14ac:dyDescent="0.2">
      <c r="A320" t="s">
        <v>185</v>
      </c>
      <c r="B320" t="s">
        <v>379</v>
      </c>
      <c r="C320" t="s">
        <v>328</v>
      </c>
      <c r="D320" t="s">
        <v>376</v>
      </c>
      <c r="E320" t="s">
        <v>263</v>
      </c>
      <c r="F320" t="s">
        <v>328</v>
      </c>
      <c r="G320" t="s">
        <v>328</v>
      </c>
      <c r="H320" t="s">
        <v>252</v>
      </c>
      <c r="I320" t="s">
        <v>263</v>
      </c>
      <c r="L320" t="str">
        <f t="shared" ca="1" si="8"/>
        <v/>
      </c>
      <c r="M320" t="str">
        <f t="shared" ca="1" si="9"/>
        <v/>
      </c>
      <c r="N320" t="str">
        <f t="shared" ca="1" si="10"/>
        <v/>
      </c>
    </row>
    <row r="321" spans="1:14" x14ac:dyDescent="0.2">
      <c r="A321" t="s">
        <v>100</v>
      </c>
      <c r="B321" t="s">
        <v>361</v>
      </c>
      <c r="C321" t="s">
        <v>362</v>
      </c>
      <c r="D321" t="s">
        <v>1202</v>
      </c>
      <c r="E321" t="s">
        <v>363</v>
      </c>
      <c r="F321" t="s">
        <v>339</v>
      </c>
      <c r="G321" t="s">
        <v>329</v>
      </c>
      <c r="H321" t="s">
        <v>252</v>
      </c>
      <c r="I321" t="s">
        <v>253</v>
      </c>
      <c r="L321" t="str">
        <f t="shared" ca="1" si="8"/>
        <v/>
      </c>
      <c r="M321" t="str">
        <f t="shared" ca="1" si="9"/>
        <v/>
      </c>
      <c r="N321" t="str">
        <f t="shared" ca="1" si="10"/>
        <v/>
      </c>
    </row>
    <row r="322" spans="1:14" x14ac:dyDescent="0.2">
      <c r="A322" t="s">
        <v>100</v>
      </c>
      <c r="B322" t="s">
        <v>361</v>
      </c>
      <c r="C322" t="s">
        <v>362</v>
      </c>
      <c r="D322" t="s">
        <v>1202</v>
      </c>
      <c r="E322" t="s">
        <v>363</v>
      </c>
      <c r="F322" t="s">
        <v>364</v>
      </c>
      <c r="G322" t="s">
        <v>329</v>
      </c>
      <c r="H322" t="s">
        <v>252</v>
      </c>
      <c r="I322" t="s">
        <v>253</v>
      </c>
      <c r="L322" t="str">
        <f t="shared" ref="L322:L385" ca="1" si="11">IFERROR(MATCH(OFFSET($G$1,ROW()-1,0,1,1),A:A,0),"")</f>
        <v/>
      </c>
      <c r="M322" t="str">
        <f t="shared" ref="M322:M385" ca="1" si="12">IFERROR(MATCH(OFFSET($G$1,ROW()-1,0,1,1),A:A,1)-L322+1,"")</f>
        <v/>
      </c>
      <c r="N322" t="str">
        <f t="shared" ca="1" si="10"/>
        <v/>
      </c>
    </row>
    <row r="323" spans="1:14" x14ac:dyDescent="0.2">
      <c r="A323" t="s">
        <v>150</v>
      </c>
      <c r="B323" t="s">
        <v>361</v>
      </c>
      <c r="C323" t="s">
        <v>362</v>
      </c>
      <c r="D323" t="s">
        <v>1143</v>
      </c>
      <c r="E323" t="s">
        <v>363</v>
      </c>
      <c r="F323" t="s">
        <v>364</v>
      </c>
      <c r="G323" t="s">
        <v>329</v>
      </c>
      <c r="H323" t="s">
        <v>252</v>
      </c>
      <c r="I323" t="s">
        <v>253</v>
      </c>
      <c r="L323" t="str">
        <f t="shared" ca="1" si="11"/>
        <v/>
      </c>
      <c r="M323" t="str">
        <f t="shared" ca="1" si="12"/>
        <v/>
      </c>
      <c r="N323" t="str">
        <f t="shared" ca="1" si="10"/>
        <v/>
      </c>
    </row>
    <row r="324" spans="1:14" x14ac:dyDescent="0.2">
      <c r="A324" t="s">
        <v>150</v>
      </c>
      <c r="B324" t="s">
        <v>361</v>
      </c>
      <c r="C324" t="s">
        <v>362</v>
      </c>
      <c r="D324" t="s">
        <v>1143</v>
      </c>
      <c r="E324" t="s">
        <v>363</v>
      </c>
      <c r="F324" t="s">
        <v>339</v>
      </c>
      <c r="G324" t="s">
        <v>329</v>
      </c>
      <c r="H324" t="s">
        <v>252</v>
      </c>
      <c r="I324" t="s">
        <v>253</v>
      </c>
      <c r="L324" t="str">
        <f t="shared" ca="1" si="11"/>
        <v/>
      </c>
      <c r="M324" t="str">
        <f t="shared" ca="1" si="12"/>
        <v/>
      </c>
      <c r="N324" t="str">
        <f t="shared" ca="1" si="10"/>
        <v/>
      </c>
    </row>
    <row r="325" spans="1:14" x14ac:dyDescent="0.2">
      <c r="A325" t="s">
        <v>226</v>
      </c>
      <c r="B325" t="s">
        <v>361</v>
      </c>
      <c r="C325" t="s">
        <v>362</v>
      </c>
      <c r="D325" t="s">
        <v>1142</v>
      </c>
      <c r="E325" t="s">
        <v>363</v>
      </c>
      <c r="F325" t="s">
        <v>364</v>
      </c>
      <c r="G325" t="s">
        <v>329</v>
      </c>
      <c r="H325" t="s">
        <v>252</v>
      </c>
      <c r="I325" t="s">
        <v>253</v>
      </c>
      <c r="L325" t="str">
        <f t="shared" ca="1" si="11"/>
        <v/>
      </c>
      <c r="M325" t="str">
        <f t="shared" ca="1" si="12"/>
        <v/>
      </c>
      <c r="N325" t="str">
        <f t="shared" ca="1" si="10"/>
        <v/>
      </c>
    </row>
    <row r="326" spans="1:14" x14ac:dyDescent="0.2">
      <c r="A326" t="s">
        <v>226</v>
      </c>
      <c r="B326" t="s">
        <v>361</v>
      </c>
      <c r="C326" t="s">
        <v>362</v>
      </c>
      <c r="D326" t="s">
        <v>1142</v>
      </c>
      <c r="E326" t="s">
        <v>363</v>
      </c>
      <c r="F326" t="s">
        <v>339</v>
      </c>
      <c r="G326" t="s">
        <v>329</v>
      </c>
      <c r="H326" t="s">
        <v>252</v>
      </c>
      <c r="I326" t="s">
        <v>253</v>
      </c>
      <c r="L326" t="str">
        <f t="shared" ca="1" si="11"/>
        <v/>
      </c>
      <c r="M326" t="str">
        <f t="shared" ca="1" si="12"/>
        <v/>
      </c>
      <c r="N326" t="str">
        <f t="shared" ca="1" si="10"/>
        <v/>
      </c>
    </row>
    <row r="327" spans="1:14" x14ac:dyDescent="0.2">
      <c r="A327" t="s">
        <v>1142</v>
      </c>
      <c r="B327" t="s">
        <v>408</v>
      </c>
      <c r="C327" t="s">
        <v>282</v>
      </c>
      <c r="D327" t="s">
        <v>1142</v>
      </c>
      <c r="E327" t="s">
        <v>363</v>
      </c>
      <c r="F327" t="s">
        <v>339</v>
      </c>
      <c r="G327" t="s">
        <v>1156</v>
      </c>
      <c r="H327" t="s">
        <v>252</v>
      </c>
      <c r="I327" t="s">
        <v>282</v>
      </c>
      <c r="L327" t="str">
        <f t="shared" ca="1" si="11"/>
        <v/>
      </c>
      <c r="M327" t="str">
        <f t="shared" ca="1" si="12"/>
        <v/>
      </c>
      <c r="N327" t="str">
        <f t="shared" ca="1" si="10"/>
        <v/>
      </c>
    </row>
    <row r="328" spans="1:14" x14ac:dyDescent="0.2">
      <c r="A328" t="s">
        <v>1145</v>
      </c>
      <c r="B328" t="s">
        <v>408</v>
      </c>
      <c r="C328" t="s">
        <v>282</v>
      </c>
      <c r="D328" t="s">
        <v>1145</v>
      </c>
      <c r="E328" t="s">
        <v>363</v>
      </c>
      <c r="F328" t="s">
        <v>339</v>
      </c>
      <c r="G328" t="s">
        <v>1156</v>
      </c>
      <c r="H328" t="s">
        <v>252</v>
      </c>
      <c r="I328" t="s">
        <v>282</v>
      </c>
      <c r="L328" t="str">
        <f t="shared" ca="1" si="11"/>
        <v/>
      </c>
      <c r="M328" t="str">
        <f t="shared" ca="1" si="12"/>
        <v/>
      </c>
      <c r="N328" t="str">
        <f t="shared" ca="1" si="10"/>
        <v/>
      </c>
    </row>
    <row r="329" spans="1:14" x14ac:dyDescent="0.2">
      <c r="A329" t="s">
        <v>149</v>
      </c>
      <c r="B329" t="s">
        <v>408</v>
      </c>
      <c r="C329" t="s">
        <v>453</v>
      </c>
      <c r="D329" t="s">
        <v>130</v>
      </c>
      <c r="E329" t="s">
        <v>263</v>
      </c>
      <c r="F329" t="s">
        <v>454</v>
      </c>
      <c r="G329" t="s">
        <v>330</v>
      </c>
      <c r="H329" t="s">
        <v>252</v>
      </c>
      <c r="I329" t="s">
        <v>331</v>
      </c>
      <c r="L329" t="str">
        <f t="shared" ca="1" si="11"/>
        <v/>
      </c>
      <c r="M329" t="str">
        <f t="shared" ca="1" si="12"/>
        <v/>
      </c>
      <c r="N329" t="str">
        <f t="shared" ca="1" si="10"/>
        <v/>
      </c>
    </row>
    <row r="330" spans="1:14" x14ac:dyDescent="0.2">
      <c r="A330" t="s">
        <v>151</v>
      </c>
      <c r="B330" t="s">
        <v>406</v>
      </c>
      <c r="C330" t="s">
        <v>407</v>
      </c>
      <c r="D330" t="s">
        <v>130</v>
      </c>
      <c r="E330" t="s">
        <v>264</v>
      </c>
      <c r="F330" t="s">
        <v>420</v>
      </c>
      <c r="G330" t="s">
        <v>151</v>
      </c>
      <c r="H330" t="s">
        <v>252</v>
      </c>
      <c r="I330" t="s">
        <v>264</v>
      </c>
      <c r="L330">
        <f t="shared" ca="1" si="11"/>
        <v>330</v>
      </c>
      <c r="M330">
        <f t="shared" ca="1" si="12"/>
        <v>-76</v>
      </c>
      <c r="N330">
        <f t="shared" ca="1" si="10"/>
        <v>330</v>
      </c>
    </row>
    <row r="331" spans="1:14" x14ac:dyDescent="0.2">
      <c r="A331" t="s">
        <v>1203</v>
      </c>
      <c r="B331" t="s">
        <v>373</v>
      </c>
      <c r="C331" t="s">
        <v>461</v>
      </c>
      <c r="D331" t="s">
        <v>130</v>
      </c>
      <c r="E331" t="s">
        <v>377</v>
      </c>
      <c r="F331" t="s">
        <v>1166</v>
      </c>
      <c r="G331" t="s">
        <v>1157</v>
      </c>
      <c r="H331" t="s">
        <v>261</v>
      </c>
      <c r="I331" t="s">
        <v>261</v>
      </c>
      <c r="L331" t="str">
        <f t="shared" ca="1" si="11"/>
        <v/>
      </c>
      <c r="M331" t="str">
        <f t="shared" ca="1" si="12"/>
        <v/>
      </c>
      <c r="N331" t="str">
        <f t="shared" ca="1" si="10"/>
        <v/>
      </c>
    </row>
    <row r="332" spans="1:14" x14ac:dyDescent="0.2">
      <c r="A332" t="s">
        <v>152</v>
      </c>
      <c r="B332" t="s">
        <v>373</v>
      </c>
      <c r="C332" t="s">
        <v>374</v>
      </c>
      <c r="D332" t="s">
        <v>130</v>
      </c>
      <c r="E332" t="s">
        <v>263</v>
      </c>
      <c r="F332" t="s">
        <v>375</v>
      </c>
      <c r="G332" t="s">
        <v>332</v>
      </c>
      <c r="H332" t="s">
        <v>252</v>
      </c>
      <c r="I332" t="s">
        <v>263</v>
      </c>
      <c r="L332" t="str">
        <f t="shared" ca="1" si="11"/>
        <v/>
      </c>
      <c r="M332" t="str">
        <f t="shared" ca="1" si="12"/>
        <v/>
      </c>
      <c r="N332" t="str">
        <f t="shared" ca="1" si="10"/>
        <v/>
      </c>
    </row>
    <row r="333" spans="1:14" x14ac:dyDescent="0.2">
      <c r="A333" t="s">
        <v>157</v>
      </c>
      <c r="B333" t="s">
        <v>446</v>
      </c>
      <c r="C333" t="s">
        <v>447</v>
      </c>
      <c r="D333" t="s">
        <v>130</v>
      </c>
      <c r="E333" t="s">
        <v>255</v>
      </c>
      <c r="F333" t="s">
        <v>367</v>
      </c>
      <c r="G333" t="s">
        <v>333</v>
      </c>
      <c r="H333" t="s">
        <v>252</v>
      </c>
      <c r="I333" t="s">
        <v>255</v>
      </c>
      <c r="L333" t="str">
        <f t="shared" ca="1" si="11"/>
        <v/>
      </c>
      <c r="M333" t="str">
        <f t="shared" ca="1" si="12"/>
        <v/>
      </c>
      <c r="N333" t="str">
        <f t="shared" ca="1" si="10"/>
        <v/>
      </c>
    </row>
    <row r="334" spans="1:14" x14ac:dyDescent="0.2">
      <c r="A334" t="s">
        <v>157</v>
      </c>
      <c r="B334" t="s">
        <v>365</v>
      </c>
      <c r="C334" t="s">
        <v>1204</v>
      </c>
      <c r="D334" t="s">
        <v>130</v>
      </c>
      <c r="E334" t="s">
        <v>255</v>
      </c>
      <c r="F334" t="s">
        <v>1195</v>
      </c>
      <c r="G334" t="s">
        <v>333</v>
      </c>
      <c r="H334" t="s">
        <v>252</v>
      </c>
      <c r="I334" t="s">
        <v>255</v>
      </c>
      <c r="L334" t="str">
        <f t="shared" ca="1" si="11"/>
        <v/>
      </c>
      <c r="M334" t="str">
        <f t="shared" ca="1" si="12"/>
        <v/>
      </c>
      <c r="N334" t="str">
        <f t="shared" ca="1" si="10"/>
        <v/>
      </c>
    </row>
    <row r="335" spans="1:14" x14ac:dyDescent="0.2">
      <c r="A335" t="s">
        <v>157</v>
      </c>
      <c r="B335" t="s">
        <v>365</v>
      </c>
      <c r="C335" t="s">
        <v>449</v>
      </c>
      <c r="D335" t="s">
        <v>130</v>
      </c>
      <c r="E335" t="s">
        <v>255</v>
      </c>
      <c r="F335" t="s">
        <v>456</v>
      </c>
      <c r="G335" t="s">
        <v>333</v>
      </c>
      <c r="H335" t="s">
        <v>252</v>
      </c>
      <c r="I335" t="s">
        <v>255</v>
      </c>
      <c r="L335" t="str">
        <f t="shared" ca="1" si="11"/>
        <v/>
      </c>
      <c r="M335" t="str">
        <f t="shared" ca="1" si="12"/>
        <v/>
      </c>
      <c r="N335" t="str">
        <f t="shared" ca="1" si="10"/>
        <v/>
      </c>
    </row>
    <row r="336" spans="1:14" x14ac:dyDescent="0.2">
      <c r="A336" t="s">
        <v>157</v>
      </c>
      <c r="B336" t="s">
        <v>410</v>
      </c>
      <c r="C336" t="s">
        <v>413</v>
      </c>
      <c r="D336" t="s">
        <v>130</v>
      </c>
      <c r="E336" t="s">
        <v>255</v>
      </c>
      <c r="F336" t="s">
        <v>381</v>
      </c>
      <c r="G336" t="s">
        <v>333</v>
      </c>
      <c r="H336" t="s">
        <v>252</v>
      </c>
      <c r="I336" t="s">
        <v>255</v>
      </c>
      <c r="L336" t="str">
        <f t="shared" ca="1" si="11"/>
        <v/>
      </c>
      <c r="M336" t="str">
        <f t="shared" ca="1" si="12"/>
        <v/>
      </c>
      <c r="N336" t="str">
        <f t="shared" ca="1" si="10"/>
        <v/>
      </c>
    </row>
    <row r="337" spans="1:14" x14ac:dyDescent="0.2">
      <c r="A337" t="s">
        <v>157</v>
      </c>
      <c r="B337" t="s">
        <v>365</v>
      </c>
      <c r="C337" t="s">
        <v>1204</v>
      </c>
      <c r="D337" t="s">
        <v>130</v>
      </c>
      <c r="E337" t="s">
        <v>255</v>
      </c>
      <c r="F337" t="s">
        <v>456</v>
      </c>
      <c r="G337" t="s">
        <v>333</v>
      </c>
      <c r="H337" t="s">
        <v>252</v>
      </c>
      <c r="I337" t="s">
        <v>255</v>
      </c>
      <c r="L337" t="str">
        <f t="shared" ca="1" si="11"/>
        <v/>
      </c>
      <c r="M337" t="str">
        <f t="shared" ca="1" si="12"/>
        <v/>
      </c>
      <c r="N337" t="str">
        <f t="shared" ca="1" si="10"/>
        <v/>
      </c>
    </row>
    <row r="338" spans="1:14" x14ac:dyDescent="0.2">
      <c r="A338" t="s">
        <v>179</v>
      </c>
      <c r="B338" t="s">
        <v>446</v>
      </c>
      <c r="C338" t="s">
        <v>447</v>
      </c>
      <c r="D338" t="s">
        <v>130</v>
      </c>
      <c r="E338" t="s">
        <v>255</v>
      </c>
      <c r="F338" t="s">
        <v>367</v>
      </c>
      <c r="G338" t="s">
        <v>333</v>
      </c>
      <c r="H338" t="s">
        <v>252</v>
      </c>
      <c r="I338" t="s">
        <v>255</v>
      </c>
      <c r="L338" t="str">
        <f t="shared" ca="1" si="11"/>
        <v/>
      </c>
      <c r="M338" t="str">
        <f t="shared" ca="1" si="12"/>
        <v/>
      </c>
      <c r="N338" t="str">
        <f t="shared" ca="1" si="10"/>
        <v/>
      </c>
    </row>
    <row r="339" spans="1:14" x14ac:dyDescent="0.2">
      <c r="A339" t="s">
        <v>184</v>
      </c>
      <c r="B339" t="s">
        <v>446</v>
      </c>
      <c r="C339" t="s">
        <v>447</v>
      </c>
      <c r="D339" t="s">
        <v>130</v>
      </c>
      <c r="E339" t="s">
        <v>255</v>
      </c>
      <c r="F339" t="s">
        <v>367</v>
      </c>
      <c r="G339" t="s">
        <v>333</v>
      </c>
      <c r="H339" t="s">
        <v>252</v>
      </c>
      <c r="I339" t="s">
        <v>255</v>
      </c>
      <c r="L339" t="str">
        <f t="shared" ca="1" si="11"/>
        <v/>
      </c>
      <c r="M339" t="str">
        <f t="shared" ca="1" si="12"/>
        <v/>
      </c>
      <c r="N339" t="str">
        <f t="shared" ca="1" si="10"/>
        <v/>
      </c>
    </row>
    <row r="340" spans="1:14" x14ac:dyDescent="0.2">
      <c r="A340" t="s">
        <v>218</v>
      </c>
      <c r="B340" t="s">
        <v>410</v>
      </c>
      <c r="C340" t="s">
        <v>413</v>
      </c>
      <c r="D340" t="s">
        <v>126</v>
      </c>
      <c r="E340" t="s">
        <v>255</v>
      </c>
      <c r="F340" t="s">
        <v>381</v>
      </c>
      <c r="G340" t="s">
        <v>333</v>
      </c>
      <c r="H340" t="s">
        <v>252</v>
      </c>
      <c r="I340" t="s">
        <v>255</v>
      </c>
      <c r="L340" t="str">
        <f t="shared" ca="1" si="11"/>
        <v/>
      </c>
      <c r="M340" t="str">
        <f t="shared" ca="1" si="12"/>
        <v/>
      </c>
      <c r="N340" t="str">
        <f t="shared" ca="1" si="10"/>
        <v/>
      </c>
    </row>
    <row r="341" spans="1:14" x14ac:dyDescent="0.2">
      <c r="A341" t="s">
        <v>218</v>
      </c>
      <c r="B341" t="s">
        <v>410</v>
      </c>
      <c r="C341" t="s">
        <v>413</v>
      </c>
      <c r="D341" t="s">
        <v>130</v>
      </c>
      <c r="E341" t="s">
        <v>255</v>
      </c>
      <c r="F341" t="s">
        <v>381</v>
      </c>
      <c r="G341" t="s">
        <v>333</v>
      </c>
      <c r="H341" t="s">
        <v>252</v>
      </c>
      <c r="I341" t="s">
        <v>255</v>
      </c>
      <c r="L341" t="str">
        <f t="shared" ca="1" si="11"/>
        <v/>
      </c>
      <c r="M341" t="str">
        <f t="shared" ca="1" si="12"/>
        <v/>
      </c>
      <c r="N341" t="str">
        <f t="shared" ca="1" si="10"/>
        <v/>
      </c>
    </row>
    <row r="342" spans="1:14" x14ac:dyDescent="0.2">
      <c r="A342" t="s">
        <v>130</v>
      </c>
      <c r="B342" t="s">
        <v>406</v>
      </c>
      <c r="C342" t="s">
        <v>457</v>
      </c>
      <c r="D342" t="s">
        <v>130</v>
      </c>
      <c r="E342" t="s">
        <v>264</v>
      </c>
      <c r="F342" t="s">
        <v>422</v>
      </c>
      <c r="G342" t="s">
        <v>334</v>
      </c>
      <c r="H342" t="s">
        <v>252</v>
      </c>
      <c r="I342" t="s">
        <v>264</v>
      </c>
      <c r="L342" t="str">
        <f t="shared" ca="1" si="11"/>
        <v/>
      </c>
      <c r="M342" t="str">
        <f t="shared" ca="1" si="12"/>
        <v/>
      </c>
      <c r="N342" t="str">
        <f t="shared" ca="1" si="10"/>
        <v/>
      </c>
    </row>
    <row r="343" spans="1:14" x14ac:dyDescent="0.2">
      <c r="A343" t="s">
        <v>158</v>
      </c>
      <c r="B343" t="s">
        <v>361</v>
      </c>
      <c r="C343" t="s">
        <v>416</v>
      </c>
      <c r="D343" t="s">
        <v>130</v>
      </c>
      <c r="E343" t="s">
        <v>363</v>
      </c>
      <c r="F343" t="s">
        <v>289</v>
      </c>
      <c r="G343" t="s">
        <v>334</v>
      </c>
      <c r="H343" t="s">
        <v>252</v>
      </c>
      <c r="I343" t="s">
        <v>289</v>
      </c>
      <c r="L343" t="str">
        <f t="shared" ca="1" si="11"/>
        <v/>
      </c>
      <c r="M343" t="str">
        <f t="shared" ca="1" si="12"/>
        <v/>
      </c>
      <c r="N343" t="str">
        <f t="shared" ca="1" si="10"/>
        <v/>
      </c>
    </row>
    <row r="344" spans="1:14" x14ac:dyDescent="0.2">
      <c r="A344" t="s">
        <v>158</v>
      </c>
      <c r="B344" t="s">
        <v>406</v>
      </c>
      <c r="C344" t="s">
        <v>457</v>
      </c>
      <c r="D344" t="s">
        <v>130</v>
      </c>
      <c r="E344" t="s">
        <v>264</v>
      </c>
      <c r="F344" t="s">
        <v>422</v>
      </c>
      <c r="G344" t="s">
        <v>334</v>
      </c>
      <c r="H344" t="s">
        <v>252</v>
      </c>
      <c r="I344" t="s">
        <v>264</v>
      </c>
      <c r="L344" t="str">
        <f t="shared" ca="1" si="11"/>
        <v/>
      </c>
      <c r="M344" t="str">
        <f t="shared" ca="1" si="12"/>
        <v/>
      </c>
      <c r="N344" t="str">
        <f t="shared" ca="1" si="10"/>
        <v/>
      </c>
    </row>
    <row r="345" spans="1:14" x14ac:dyDescent="0.2">
      <c r="A345" t="s">
        <v>158</v>
      </c>
      <c r="B345" t="s">
        <v>406</v>
      </c>
      <c r="C345" t="s">
        <v>457</v>
      </c>
      <c r="D345" t="s">
        <v>130</v>
      </c>
      <c r="E345" t="s">
        <v>363</v>
      </c>
      <c r="F345" t="s">
        <v>289</v>
      </c>
      <c r="G345" t="s">
        <v>334</v>
      </c>
      <c r="H345" t="s">
        <v>252</v>
      </c>
      <c r="I345" t="s">
        <v>289</v>
      </c>
      <c r="L345" t="str">
        <f t="shared" ca="1" si="11"/>
        <v/>
      </c>
      <c r="M345" t="str">
        <f t="shared" ca="1" si="12"/>
        <v/>
      </c>
      <c r="N345" t="str">
        <f t="shared" ca="1" si="10"/>
        <v/>
      </c>
    </row>
    <row r="346" spans="1:14" x14ac:dyDescent="0.2">
      <c r="A346" t="s">
        <v>162</v>
      </c>
      <c r="B346" t="s">
        <v>406</v>
      </c>
      <c r="C346" t="s">
        <v>457</v>
      </c>
      <c r="D346" t="s">
        <v>130</v>
      </c>
      <c r="E346" t="s">
        <v>264</v>
      </c>
      <c r="F346" t="s">
        <v>422</v>
      </c>
      <c r="G346" t="s">
        <v>334</v>
      </c>
      <c r="H346" t="s">
        <v>252</v>
      </c>
      <c r="I346" t="s">
        <v>264</v>
      </c>
      <c r="L346" t="str">
        <f t="shared" ca="1" si="11"/>
        <v/>
      </c>
      <c r="M346" t="str">
        <f t="shared" ca="1" si="12"/>
        <v/>
      </c>
      <c r="N346" t="str">
        <f t="shared" ca="1" si="10"/>
        <v/>
      </c>
    </row>
    <row r="347" spans="1:14" x14ac:dyDescent="0.2">
      <c r="A347" t="s">
        <v>160</v>
      </c>
      <c r="B347" t="s">
        <v>373</v>
      </c>
      <c r="C347" t="s">
        <v>374</v>
      </c>
      <c r="D347" t="s">
        <v>130</v>
      </c>
      <c r="E347" t="s">
        <v>263</v>
      </c>
      <c r="F347" t="s">
        <v>375</v>
      </c>
      <c r="G347" t="s">
        <v>335</v>
      </c>
      <c r="H347" t="s">
        <v>252</v>
      </c>
      <c r="I347" t="s">
        <v>263</v>
      </c>
      <c r="L347" t="str">
        <f t="shared" ca="1" si="11"/>
        <v/>
      </c>
      <c r="M347" t="str">
        <f t="shared" ca="1" si="12"/>
        <v/>
      </c>
      <c r="N347" t="str">
        <f t="shared" ca="1" si="10"/>
        <v/>
      </c>
    </row>
    <row r="348" spans="1:14" x14ac:dyDescent="0.2">
      <c r="A348" t="s">
        <v>188</v>
      </c>
      <c r="B348" t="s">
        <v>370</v>
      </c>
      <c r="C348" t="s">
        <v>458</v>
      </c>
      <c r="D348" t="s">
        <v>459</v>
      </c>
      <c r="E348" t="s">
        <v>377</v>
      </c>
      <c r="F348" t="s">
        <v>460</v>
      </c>
      <c r="G348" t="s">
        <v>336</v>
      </c>
      <c r="H348" t="s">
        <v>261</v>
      </c>
      <c r="I348" t="s">
        <v>261</v>
      </c>
      <c r="L348" t="str">
        <f t="shared" ca="1" si="11"/>
        <v/>
      </c>
      <c r="M348" t="str">
        <f t="shared" ca="1" si="12"/>
        <v/>
      </c>
      <c r="N348" t="str">
        <f t="shared" ca="1" si="10"/>
        <v/>
      </c>
    </row>
    <row r="349" spans="1:14" x14ac:dyDescent="0.2">
      <c r="A349" t="s">
        <v>188</v>
      </c>
      <c r="B349" t="s">
        <v>370</v>
      </c>
      <c r="C349" t="s">
        <v>458</v>
      </c>
      <c r="D349" t="s">
        <v>130</v>
      </c>
      <c r="E349" t="s">
        <v>263</v>
      </c>
      <c r="F349" t="s">
        <v>460</v>
      </c>
      <c r="G349" t="s">
        <v>336</v>
      </c>
      <c r="H349" t="s">
        <v>261</v>
      </c>
      <c r="I349" t="s">
        <v>261</v>
      </c>
      <c r="L349" t="str">
        <f t="shared" ca="1" si="11"/>
        <v/>
      </c>
      <c r="M349" t="str">
        <f t="shared" ca="1" si="12"/>
        <v/>
      </c>
      <c r="N349" t="str">
        <f t="shared" ca="1" si="10"/>
        <v/>
      </c>
    </row>
    <row r="350" spans="1:14" x14ac:dyDescent="0.2">
      <c r="A350" t="s">
        <v>93</v>
      </c>
      <c r="B350" t="s">
        <v>370</v>
      </c>
      <c r="C350" t="s">
        <v>455</v>
      </c>
      <c r="D350" t="s">
        <v>130</v>
      </c>
      <c r="E350" t="s">
        <v>377</v>
      </c>
      <c r="F350" t="s">
        <v>460</v>
      </c>
      <c r="G350" t="s">
        <v>337</v>
      </c>
      <c r="H350" t="s">
        <v>261</v>
      </c>
      <c r="I350" t="s">
        <v>261</v>
      </c>
      <c r="L350" t="str">
        <f t="shared" ca="1" si="11"/>
        <v/>
      </c>
      <c r="M350" t="str">
        <f t="shared" ca="1" si="12"/>
        <v/>
      </c>
      <c r="N350" t="str">
        <f t="shared" ca="1" si="10"/>
        <v/>
      </c>
    </row>
    <row r="351" spans="1:14" x14ac:dyDescent="0.2">
      <c r="A351" t="s">
        <v>161</v>
      </c>
      <c r="B351" t="s">
        <v>370</v>
      </c>
      <c r="C351" t="s">
        <v>455</v>
      </c>
      <c r="D351" t="s">
        <v>130</v>
      </c>
      <c r="E351" t="s">
        <v>377</v>
      </c>
      <c r="F351" t="s">
        <v>460</v>
      </c>
      <c r="G351" t="s">
        <v>337</v>
      </c>
      <c r="H351" t="s">
        <v>261</v>
      </c>
      <c r="I351" t="s">
        <v>261</v>
      </c>
      <c r="L351" t="str">
        <f t="shared" ca="1" si="11"/>
        <v/>
      </c>
      <c r="M351" t="str">
        <f t="shared" ca="1" si="12"/>
        <v/>
      </c>
      <c r="N351" t="str">
        <f t="shared" ca="1" si="10"/>
        <v/>
      </c>
    </row>
    <row r="352" spans="1:14" x14ac:dyDescent="0.2">
      <c r="A352" t="s">
        <v>1158</v>
      </c>
      <c r="B352" t="s">
        <v>406</v>
      </c>
      <c r="C352" t="s">
        <v>450</v>
      </c>
      <c r="D352" t="s">
        <v>130</v>
      </c>
      <c r="E352" t="s">
        <v>264</v>
      </c>
      <c r="F352" t="s">
        <v>422</v>
      </c>
      <c r="G352" t="s">
        <v>1158</v>
      </c>
      <c r="H352" t="s">
        <v>252</v>
      </c>
      <c r="I352" t="s">
        <v>264</v>
      </c>
      <c r="L352">
        <f t="shared" ca="1" si="11"/>
        <v>352</v>
      </c>
      <c r="M352">
        <f t="shared" ca="1" si="12"/>
        <v>-97</v>
      </c>
      <c r="N352">
        <f t="shared" ca="1" si="10"/>
        <v>352</v>
      </c>
    </row>
    <row r="353" spans="1:14" x14ac:dyDescent="0.2">
      <c r="A353" t="s">
        <v>166</v>
      </c>
      <c r="B353" t="s">
        <v>406</v>
      </c>
      <c r="C353" t="s">
        <v>450</v>
      </c>
      <c r="D353" t="s">
        <v>130</v>
      </c>
      <c r="E353" t="s">
        <v>264</v>
      </c>
      <c r="F353" t="s">
        <v>422</v>
      </c>
      <c r="G353" t="s">
        <v>1158</v>
      </c>
      <c r="H353" t="s">
        <v>252</v>
      </c>
      <c r="I353" t="s">
        <v>264</v>
      </c>
      <c r="L353">
        <f t="shared" ca="1" si="11"/>
        <v>352</v>
      </c>
      <c r="M353">
        <f t="shared" ca="1" si="12"/>
        <v>-97</v>
      </c>
      <c r="N353">
        <f t="shared" ca="1" si="10"/>
        <v>352</v>
      </c>
    </row>
    <row r="354" spans="1:14" x14ac:dyDescent="0.2">
      <c r="A354" t="s">
        <v>176</v>
      </c>
      <c r="B354" t="s">
        <v>379</v>
      </c>
      <c r="C354" t="s">
        <v>417</v>
      </c>
      <c r="D354" t="s">
        <v>130</v>
      </c>
      <c r="E354" t="s">
        <v>263</v>
      </c>
      <c r="F354" t="s">
        <v>222</v>
      </c>
      <c r="G354" t="s">
        <v>338</v>
      </c>
      <c r="H354" t="s">
        <v>252</v>
      </c>
      <c r="I354" t="s">
        <v>263</v>
      </c>
      <c r="L354" t="str">
        <f t="shared" ca="1" si="11"/>
        <v/>
      </c>
      <c r="M354" t="str">
        <f t="shared" ca="1" si="12"/>
        <v/>
      </c>
      <c r="N354" t="str">
        <f t="shared" ca="1" si="10"/>
        <v/>
      </c>
    </row>
    <row r="355" spans="1:14" x14ac:dyDescent="0.2">
      <c r="A355" t="s">
        <v>176</v>
      </c>
      <c r="B355" t="s">
        <v>379</v>
      </c>
      <c r="C355" t="s">
        <v>417</v>
      </c>
      <c r="D355" t="s">
        <v>130</v>
      </c>
      <c r="E355" t="s">
        <v>1205</v>
      </c>
      <c r="F355" t="s">
        <v>1205</v>
      </c>
      <c r="G355" t="s">
        <v>338</v>
      </c>
      <c r="H355" t="s">
        <v>252</v>
      </c>
      <c r="I355" t="s">
        <v>263</v>
      </c>
      <c r="L355" t="str">
        <f t="shared" ca="1" si="11"/>
        <v/>
      </c>
      <c r="M355" t="str">
        <f t="shared" ca="1" si="12"/>
        <v/>
      </c>
      <c r="N355" t="str">
        <f t="shared" ca="1" si="10"/>
        <v/>
      </c>
    </row>
    <row r="356" spans="1:14" x14ac:dyDescent="0.2">
      <c r="A356" t="s">
        <v>1142</v>
      </c>
      <c r="B356" t="s">
        <v>408</v>
      </c>
      <c r="C356" t="s">
        <v>282</v>
      </c>
      <c r="D356" t="s">
        <v>1142</v>
      </c>
      <c r="E356" t="s">
        <v>363</v>
      </c>
      <c r="F356" t="s">
        <v>339</v>
      </c>
      <c r="G356" t="s">
        <v>339</v>
      </c>
      <c r="H356" t="s">
        <v>252</v>
      </c>
      <c r="I356" t="s">
        <v>282</v>
      </c>
      <c r="L356" t="str">
        <f t="shared" ca="1" si="11"/>
        <v/>
      </c>
      <c r="M356" t="str">
        <f t="shared" ca="1" si="12"/>
        <v/>
      </c>
      <c r="N356" t="str">
        <f t="shared" ca="1" si="10"/>
        <v/>
      </c>
    </row>
    <row r="357" spans="1:14" x14ac:dyDescent="0.2">
      <c r="A357" t="s">
        <v>1143</v>
      </c>
      <c r="B357" t="s">
        <v>408</v>
      </c>
      <c r="C357" t="s">
        <v>282</v>
      </c>
      <c r="D357" t="s">
        <v>1143</v>
      </c>
      <c r="E357" t="s">
        <v>363</v>
      </c>
      <c r="F357" t="s">
        <v>339</v>
      </c>
      <c r="G357" t="s">
        <v>339</v>
      </c>
      <c r="H357" t="s">
        <v>252</v>
      </c>
      <c r="I357" t="s">
        <v>282</v>
      </c>
      <c r="L357" t="str">
        <f t="shared" ca="1" si="11"/>
        <v/>
      </c>
      <c r="M357" t="str">
        <f t="shared" ca="1" si="12"/>
        <v/>
      </c>
      <c r="N357" t="str">
        <f t="shared" ca="1" si="10"/>
        <v/>
      </c>
    </row>
    <row r="358" spans="1:14" x14ac:dyDescent="0.2">
      <c r="A358" t="s">
        <v>1145</v>
      </c>
      <c r="B358" t="s">
        <v>408</v>
      </c>
      <c r="C358" t="s">
        <v>282</v>
      </c>
      <c r="D358" t="s">
        <v>1145</v>
      </c>
      <c r="E358" t="s">
        <v>363</v>
      </c>
      <c r="F358" t="s">
        <v>339</v>
      </c>
      <c r="G358" t="s">
        <v>339</v>
      </c>
      <c r="H358" t="s">
        <v>252</v>
      </c>
      <c r="I358" t="s">
        <v>282</v>
      </c>
      <c r="L358" t="str">
        <f t="shared" ca="1" si="11"/>
        <v/>
      </c>
      <c r="M358" t="str">
        <f t="shared" ca="1" si="12"/>
        <v/>
      </c>
      <c r="N358" t="str">
        <f t="shared" ca="1" si="10"/>
        <v/>
      </c>
    </row>
    <row r="359" spans="1:14" x14ac:dyDescent="0.2">
      <c r="A359" t="s">
        <v>1142</v>
      </c>
      <c r="B359" t="s">
        <v>408</v>
      </c>
      <c r="C359" t="s">
        <v>282</v>
      </c>
      <c r="D359" t="s">
        <v>1142</v>
      </c>
      <c r="E359" t="s">
        <v>363</v>
      </c>
      <c r="F359" t="s">
        <v>339</v>
      </c>
      <c r="G359" t="s">
        <v>1159</v>
      </c>
      <c r="H359" t="s">
        <v>252</v>
      </c>
      <c r="I359" t="s">
        <v>282</v>
      </c>
      <c r="L359" t="str">
        <f t="shared" ca="1" si="11"/>
        <v/>
      </c>
      <c r="M359" t="str">
        <f t="shared" ca="1" si="12"/>
        <v/>
      </c>
      <c r="N359" t="str">
        <f t="shared" ca="1" si="10"/>
        <v/>
      </c>
    </row>
    <row r="360" spans="1:14" x14ac:dyDescent="0.2">
      <c r="A360" t="s">
        <v>1143</v>
      </c>
      <c r="B360" t="s">
        <v>408</v>
      </c>
      <c r="C360" t="s">
        <v>282</v>
      </c>
      <c r="D360" t="s">
        <v>1143</v>
      </c>
      <c r="E360" t="s">
        <v>363</v>
      </c>
      <c r="F360" t="s">
        <v>339</v>
      </c>
      <c r="G360" t="s">
        <v>1159</v>
      </c>
      <c r="H360" t="s">
        <v>252</v>
      </c>
      <c r="I360" t="s">
        <v>282</v>
      </c>
      <c r="L360" t="str">
        <f t="shared" ca="1" si="11"/>
        <v/>
      </c>
      <c r="M360" t="str">
        <f t="shared" ca="1" si="12"/>
        <v/>
      </c>
      <c r="N360" t="str">
        <f t="shared" ca="1" si="10"/>
        <v/>
      </c>
    </row>
    <row r="361" spans="1:14" x14ac:dyDescent="0.2">
      <c r="A361" t="s">
        <v>1145</v>
      </c>
      <c r="B361" t="s">
        <v>408</v>
      </c>
      <c r="C361" t="s">
        <v>282</v>
      </c>
      <c r="D361" t="s">
        <v>1145</v>
      </c>
      <c r="E361" t="s">
        <v>363</v>
      </c>
      <c r="F361" t="s">
        <v>339</v>
      </c>
      <c r="G361" t="s">
        <v>1159</v>
      </c>
      <c r="H361" t="s">
        <v>252</v>
      </c>
      <c r="I361" t="s">
        <v>282</v>
      </c>
      <c r="L361" t="str">
        <f t="shared" ca="1" si="11"/>
        <v/>
      </c>
      <c r="M361" t="str">
        <f t="shared" ca="1" si="12"/>
        <v/>
      </c>
      <c r="N361" t="str">
        <f t="shared" ref="N361:N424" ca="1" si="13">IFERROR(MATCH(OFFSET($G$1,ROW()-1,0,1,1),A:A,1)-M361+1,"")</f>
        <v/>
      </c>
    </row>
    <row r="362" spans="1:14" x14ac:dyDescent="0.2">
      <c r="A362" t="s">
        <v>1202</v>
      </c>
      <c r="B362" t="s">
        <v>408</v>
      </c>
      <c r="C362" t="s">
        <v>282</v>
      </c>
      <c r="D362" t="s">
        <v>1202</v>
      </c>
      <c r="E362" t="s">
        <v>363</v>
      </c>
      <c r="F362" t="s">
        <v>339</v>
      </c>
      <c r="G362" t="s">
        <v>1159</v>
      </c>
      <c r="H362" t="s">
        <v>252</v>
      </c>
      <c r="I362" t="s">
        <v>282</v>
      </c>
      <c r="L362" t="str">
        <f t="shared" ca="1" si="11"/>
        <v/>
      </c>
      <c r="M362" t="str">
        <f t="shared" ca="1" si="12"/>
        <v/>
      </c>
      <c r="N362" t="str">
        <f t="shared" ca="1" si="13"/>
        <v/>
      </c>
    </row>
    <row r="363" spans="1:14" x14ac:dyDescent="0.2">
      <c r="A363" t="s">
        <v>1142</v>
      </c>
      <c r="B363" t="s">
        <v>408</v>
      </c>
      <c r="C363" t="s">
        <v>282</v>
      </c>
      <c r="D363" t="s">
        <v>1142</v>
      </c>
      <c r="E363" t="s">
        <v>363</v>
      </c>
      <c r="F363" t="s">
        <v>339</v>
      </c>
      <c r="G363" t="s">
        <v>1160</v>
      </c>
      <c r="H363" t="s">
        <v>252</v>
      </c>
      <c r="I363" t="s">
        <v>282</v>
      </c>
      <c r="L363" t="str">
        <f t="shared" ca="1" si="11"/>
        <v/>
      </c>
      <c r="M363" t="str">
        <f t="shared" ca="1" si="12"/>
        <v/>
      </c>
      <c r="N363" t="str">
        <f t="shared" ca="1" si="13"/>
        <v/>
      </c>
    </row>
    <row r="364" spans="1:14" x14ac:dyDescent="0.2">
      <c r="A364" t="s">
        <v>1143</v>
      </c>
      <c r="B364" t="s">
        <v>408</v>
      </c>
      <c r="C364" t="s">
        <v>282</v>
      </c>
      <c r="D364" t="s">
        <v>1143</v>
      </c>
      <c r="E364" t="s">
        <v>363</v>
      </c>
      <c r="F364" t="s">
        <v>339</v>
      </c>
      <c r="G364" t="s">
        <v>1160</v>
      </c>
      <c r="H364" t="s">
        <v>252</v>
      </c>
      <c r="I364" t="s">
        <v>282</v>
      </c>
      <c r="L364" t="str">
        <f t="shared" ca="1" si="11"/>
        <v/>
      </c>
      <c r="M364" t="str">
        <f t="shared" ca="1" si="12"/>
        <v/>
      </c>
      <c r="N364" t="str">
        <f t="shared" ca="1" si="13"/>
        <v/>
      </c>
    </row>
    <row r="365" spans="1:14" x14ac:dyDescent="0.2">
      <c r="A365" t="s">
        <v>1145</v>
      </c>
      <c r="B365" t="s">
        <v>408</v>
      </c>
      <c r="C365" t="s">
        <v>282</v>
      </c>
      <c r="D365" t="s">
        <v>1145</v>
      </c>
      <c r="E365" t="s">
        <v>363</v>
      </c>
      <c r="F365" t="s">
        <v>339</v>
      </c>
      <c r="G365" t="s">
        <v>1160</v>
      </c>
      <c r="H365" t="s">
        <v>252</v>
      </c>
      <c r="I365" t="s">
        <v>282</v>
      </c>
      <c r="L365" t="str">
        <f t="shared" ca="1" si="11"/>
        <v/>
      </c>
      <c r="M365" t="str">
        <f t="shared" ca="1" si="12"/>
        <v/>
      </c>
      <c r="N365" t="str">
        <f t="shared" ca="1" si="13"/>
        <v/>
      </c>
    </row>
    <row r="366" spans="1:14" x14ac:dyDescent="0.2">
      <c r="A366" t="s">
        <v>1202</v>
      </c>
      <c r="B366" t="s">
        <v>408</v>
      </c>
      <c r="C366" t="s">
        <v>282</v>
      </c>
      <c r="D366" t="s">
        <v>1202</v>
      </c>
      <c r="E366" t="s">
        <v>363</v>
      </c>
      <c r="F366" t="s">
        <v>339</v>
      </c>
      <c r="G366" t="s">
        <v>1160</v>
      </c>
      <c r="H366" t="s">
        <v>252</v>
      </c>
      <c r="I366" t="s">
        <v>282</v>
      </c>
      <c r="L366" t="str">
        <f t="shared" ca="1" si="11"/>
        <v/>
      </c>
      <c r="M366" t="str">
        <f t="shared" ca="1" si="12"/>
        <v/>
      </c>
      <c r="N366" t="str">
        <f t="shared" ca="1" si="13"/>
        <v/>
      </c>
    </row>
    <row r="367" spans="1:14" x14ac:dyDescent="0.2">
      <c r="A367" t="s">
        <v>1142</v>
      </c>
      <c r="B367" t="s">
        <v>408</v>
      </c>
      <c r="C367" t="s">
        <v>282</v>
      </c>
      <c r="D367" t="s">
        <v>1142</v>
      </c>
      <c r="E367" t="s">
        <v>363</v>
      </c>
      <c r="F367" t="s">
        <v>339</v>
      </c>
      <c r="G367" t="s">
        <v>1161</v>
      </c>
      <c r="H367" t="s">
        <v>252</v>
      </c>
      <c r="I367" t="s">
        <v>282</v>
      </c>
      <c r="L367" t="str">
        <f t="shared" ca="1" si="11"/>
        <v/>
      </c>
      <c r="M367" t="str">
        <f t="shared" ca="1" si="12"/>
        <v/>
      </c>
      <c r="N367" t="str">
        <f t="shared" ca="1" si="13"/>
        <v/>
      </c>
    </row>
    <row r="368" spans="1:14" x14ac:dyDescent="0.2">
      <c r="A368" t="s">
        <v>99</v>
      </c>
      <c r="B368" t="s">
        <v>361</v>
      </c>
      <c r="C368" t="s">
        <v>362</v>
      </c>
      <c r="D368" t="s">
        <v>130</v>
      </c>
      <c r="E368" t="s">
        <v>363</v>
      </c>
      <c r="F368" t="s">
        <v>364</v>
      </c>
      <c r="G368" t="s">
        <v>340</v>
      </c>
      <c r="H368" t="s">
        <v>252</v>
      </c>
      <c r="I368" t="s">
        <v>253</v>
      </c>
      <c r="L368" t="str">
        <f t="shared" ca="1" si="11"/>
        <v/>
      </c>
      <c r="M368" t="str">
        <f t="shared" ca="1" si="12"/>
        <v/>
      </c>
      <c r="N368" t="str">
        <f t="shared" ca="1" si="13"/>
        <v/>
      </c>
    </row>
    <row r="369" spans="1:14" x14ac:dyDescent="0.2">
      <c r="A369" t="s">
        <v>100</v>
      </c>
      <c r="B369" t="s">
        <v>361</v>
      </c>
      <c r="C369" t="s">
        <v>362</v>
      </c>
      <c r="D369" t="s">
        <v>1202</v>
      </c>
      <c r="E369" t="s">
        <v>363</v>
      </c>
      <c r="F369" t="s">
        <v>364</v>
      </c>
      <c r="G369" t="s">
        <v>340</v>
      </c>
      <c r="H369" t="s">
        <v>252</v>
      </c>
      <c r="I369" t="s">
        <v>253</v>
      </c>
      <c r="L369" t="str">
        <f t="shared" ca="1" si="11"/>
        <v/>
      </c>
      <c r="M369" t="str">
        <f t="shared" ca="1" si="12"/>
        <v/>
      </c>
      <c r="N369" t="str">
        <f t="shared" ca="1" si="13"/>
        <v/>
      </c>
    </row>
    <row r="370" spans="1:14" x14ac:dyDescent="0.2">
      <c r="A370" t="s">
        <v>150</v>
      </c>
      <c r="B370" t="s">
        <v>361</v>
      </c>
      <c r="C370" t="s">
        <v>362</v>
      </c>
      <c r="D370" t="s">
        <v>1143</v>
      </c>
      <c r="E370" t="s">
        <v>363</v>
      </c>
      <c r="F370" t="s">
        <v>364</v>
      </c>
      <c r="G370" t="s">
        <v>340</v>
      </c>
      <c r="H370" t="s">
        <v>252</v>
      </c>
      <c r="I370" t="s">
        <v>253</v>
      </c>
      <c r="L370" t="str">
        <f t="shared" ca="1" si="11"/>
        <v/>
      </c>
      <c r="M370" t="str">
        <f t="shared" ca="1" si="12"/>
        <v/>
      </c>
      <c r="N370" t="str">
        <f t="shared" ca="1" si="13"/>
        <v/>
      </c>
    </row>
    <row r="371" spans="1:14" x14ac:dyDescent="0.2">
      <c r="A371" t="s">
        <v>226</v>
      </c>
      <c r="B371" t="s">
        <v>361</v>
      </c>
      <c r="C371" t="s">
        <v>362</v>
      </c>
      <c r="D371" t="s">
        <v>1142</v>
      </c>
      <c r="E371" t="s">
        <v>363</v>
      </c>
      <c r="F371" t="s">
        <v>364</v>
      </c>
      <c r="G371" t="s">
        <v>340</v>
      </c>
      <c r="H371" t="s">
        <v>252</v>
      </c>
      <c r="I371" t="s">
        <v>253</v>
      </c>
      <c r="L371" t="str">
        <f t="shared" ca="1" si="11"/>
        <v/>
      </c>
      <c r="M371" t="str">
        <f t="shared" ca="1" si="12"/>
        <v/>
      </c>
      <c r="N371" t="str">
        <f t="shared" ca="1" si="13"/>
        <v/>
      </c>
    </row>
    <row r="372" spans="1:14" x14ac:dyDescent="0.2">
      <c r="A372" t="s">
        <v>180</v>
      </c>
      <c r="B372" t="s">
        <v>373</v>
      </c>
      <c r="C372" t="s">
        <v>374</v>
      </c>
      <c r="D372" t="s">
        <v>130</v>
      </c>
      <c r="E372" t="s">
        <v>263</v>
      </c>
      <c r="F372" t="s">
        <v>375</v>
      </c>
      <c r="G372" t="s">
        <v>341</v>
      </c>
      <c r="H372" t="s">
        <v>252</v>
      </c>
      <c r="I372" t="s">
        <v>263</v>
      </c>
      <c r="L372" t="str">
        <f t="shared" ca="1" si="11"/>
        <v/>
      </c>
      <c r="M372" t="str">
        <f t="shared" ca="1" si="12"/>
        <v/>
      </c>
      <c r="N372" t="str">
        <f t="shared" ca="1" si="13"/>
        <v/>
      </c>
    </row>
    <row r="373" spans="1:14" x14ac:dyDescent="0.2">
      <c r="A373" t="s">
        <v>55</v>
      </c>
      <c r="B373" t="s">
        <v>406</v>
      </c>
      <c r="C373" t="s">
        <v>407</v>
      </c>
      <c r="D373" t="s">
        <v>130</v>
      </c>
      <c r="E373" t="s">
        <v>264</v>
      </c>
      <c r="F373" t="s">
        <v>51</v>
      </c>
      <c r="G373" t="s">
        <v>342</v>
      </c>
      <c r="H373" t="s">
        <v>252</v>
      </c>
      <c r="I373" t="s">
        <v>264</v>
      </c>
      <c r="L373" t="str">
        <f t="shared" ca="1" si="11"/>
        <v/>
      </c>
      <c r="M373" t="str">
        <f t="shared" ca="1" si="12"/>
        <v/>
      </c>
      <c r="N373" t="str">
        <f t="shared" ca="1" si="13"/>
        <v/>
      </c>
    </row>
    <row r="374" spans="1:14" x14ac:dyDescent="0.2">
      <c r="A374" t="s">
        <v>1206</v>
      </c>
      <c r="B374" t="s">
        <v>373</v>
      </c>
      <c r="C374" t="s">
        <v>461</v>
      </c>
      <c r="D374" t="s">
        <v>130</v>
      </c>
      <c r="E374" t="s">
        <v>377</v>
      </c>
      <c r="F374" t="s">
        <v>1166</v>
      </c>
      <c r="G374" t="s">
        <v>1162</v>
      </c>
      <c r="H374" t="s">
        <v>261</v>
      </c>
      <c r="I374" t="s">
        <v>261</v>
      </c>
      <c r="L374" t="str">
        <f t="shared" ca="1" si="11"/>
        <v/>
      </c>
      <c r="M374" t="str">
        <f t="shared" ca="1" si="12"/>
        <v/>
      </c>
      <c r="N374" t="str">
        <f t="shared" ca="1" si="13"/>
        <v/>
      </c>
    </row>
    <row r="375" spans="1:14" x14ac:dyDescent="0.2">
      <c r="A375" t="s">
        <v>137</v>
      </c>
      <c r="B375" t="s">
        <v>312</v>
      </c>
      <c r="C375" t="s">
        <v>369</v>
      </c>
      <c r="D375" t="s">
        <v>130</v>
      </c>
      <c r="E375" t="s">
        <v>438</v>
      </c>
      <c r="F375" t="s">
        <v>448</v>
      </c>
      <c r="G375" t="s">
        <v>1163</v>
      </c>
      <c r="H375" t="s">
        <v>257</v>
      </c>
      <c r="I375" t="s">
        <v>312</v>
      </c>
      <c r="L375" t="str">
        <f t="shared" ca="1" si="11"/>
        <v/>
      </c>
      <c r="M375" t="str">
        <f t="shared" ca="1" si="12"/>
        <v/>
      </c>
      <c r="N375" t="str">
        <f t="shared" ca="1" si="13"/>
        <v/>
      </c>
    </row>
    <row r="376" spans="1:14" x14ac:dyDescent="0.2">
      <c r="A376" t="s">
        <v>186</v>
      </c>
      <c r="B376" t="s">
        <v>406</v>
      </c>
      <c r="C376" t="s">
        <v>393</v>
      </c>
      <c r="D376" t="s">
        <v>130</v>
      </c>
      <c r="E376" t="s">
        <v>263</v>
      </c>
      <c r="F376" t="s">
        <v>1207</v>
      </c>
      <c r="G376" t="s">
        <v>187</v>
      </c>
      <c r="H376" t="s">
        <v>252</v>
      </c>
      <c r="I376" t="s">
        <v>263</v>
      </c>
      <c r="L376">
        <f t="shared" ca="1" si="11"/>
        <v>377</v>
      </c>
      <c r="M376">
        <f t="shared" ca="1" si="12"/>
        <v>72</v>
      </c>
      <c r="N376">
        <f t="shared" ca="1" si="13"/>
        <v>377</v>
      </c>
    </row>
    <row r="377" spans="1:14" x14ac:dyDescent="0.2">
      <c r="A377" t="s">
        <v>187</v>
      </c>
      <c r="B377" t="s">
        <v>406</v>
      </c>
      <c r="C377" t="s">
        <v>393</v>
      </c>
      <c r="D377" t="s">
        <v>130</v>
      </c>
      <c r="E377" t="s">
        <v>263</v>
      </c>
      <c r="F377" t="s">
        <v>1207</v>
      </c>
      <c r="G377" t="s">
        <v>187</v>
      </c>
      <c r="H377" t="s">
        <v>252</v>
      </c>
      <c r="I377" t="s">
        <v>263</v>
      </c>
      <c r="L377">
        <f t="shared" ca="1" si="11"/>
        <v>377</v>
      </c>
      <c r="M377">
        <f t="shared" ca="1" si="12"/>
        <v>72</v>
      </c>
      <c r="N377">
        <f t="shared" ca="1" si="13"/>
        <v>377</v>
      </c>
    </row>
    <row r="378" spans="1:14" x14ac:dyDescent="0.2">
      <c r="A378" t="s">
        <v>1208</v>
      </c>
      <c r="B378" t="s">
        <v>373</v>
      </c>
      <c r="C378" t="s">
        <v>461</v>
      </c>
      <c r="D378" t="s">
        <v>130</v>
      </c>
      <c r="E378" t="s">
        <v>377</v>
      </c>
      <c r="F378" t="s">
        <v>1166</v>
      </c>
      <c r="G378" t="s">
        <v>1164</v>
      </c>
      <c r="H378" t="s">
        <v>261</v>
      </c>
      <c r="I378" t="s">
        <v>261</v>
      </c>
      <c r="L378" t="str">
        <f t="shared" ca="1" si="11"/>
        <v/>
      </c>
      <c r="M378" t="str">
        <f t="shared" ca="1" si="12"/>
        <v/>
      </c>
      <c r="N378" t="str">
        <f t="shared" ca="1" si="13"/>
        <v/>
      </c>
    </row>
    <row r="379" spans="1:14" x14ac:dyDescent="0.2">
      <c r="A379" t="s">
        <v>1209</v>
      </c>
      <c r="B379" t="s">
        <v>373</v>
      </c>
      <c r="C379" t="s">
        <v>461</v>
      </c>
      <c r="D379" t="s">
        <v>130</v>
      </c>
      <c r="E379" t="s">
        <v>377</v>
      </c>
      <c r="F379" t="s">
        <v>1166</v>
      </c>
      <c r="G379" t="s">
        <v>1164</v>
      </c>
      <c r="H379" t="s">
        <v>261</v>
      </c>
      <c r="I379" t="s">
        <v>261</v>
      </c>
      <c r="L379" t="str">
        <f t="shared" ca="1" si="11"/>
        <v/>
      </c>
      <c r="M379" t="str">
        <f t="shared" ca="1" si="12"/>
        <v/>
      </c>
      <c r="N379" t="str">
        <f t="shared" ca="1" si="13"/>
        <v/>
      </c>
    </row>
    <row r="380" spans="1:14" x14ac:dyDescent="0.2">
      <c r="A380" t="s">
        <v>1210</v>
      </c>
      <c r="B380" t="s">
        <v>373</v>
      </c>
      <c r="C380" t="s">
        <v>461</v>
      </c>
      <c r="D380" t="s">
        <v>130</v>
      </c>
      <c r="E380" t="s">
        <v>377</v>
      </c>
      <c r="F380" t="s">
        <v>1166</v>
      </c>
      <c r="G380" t="s">
        <v>1164</v>
      </c>
      <c r="H380" t="s">
        <v>261</v>
      </c>
      <c r="I380" t="s">
        <v>261</v>
      </c>
      <c r="L380" t="str">
        <f t="shared" ca="1" si="11"/>
        <v/>
      </c>
      <c r="M380" t="str">
        <f t="shared" ca="1" si="12"/>
        <v/>
      </c>
      <c r="N380" t="str">
        <f t="shared" ca="1" si="13"/>
        <v/>
      </c>
    </row>
    <row r="381" spans="1:14" x14ac:dyDescent="0.2">
      <c r="A381" t="s">
        <v>1211</v>
      </c>
      <c r="B381" t="s">
        <v>373</v>
      </c>
      <c r="C381" t="s">
        <v>461</v>
      </c>
      <c r="D381" t="s">
        <v>130</v>
      </c>
      <c r="E381" t="s">
        <v>377</v>
      </c>
      <c r="F381" t="s">
        <v>1166</v>
      </c>
      <c r="G381" t="s">
        <v>1164</v>
      </c>
      <c r="H381" t="s">
        <v>261</v>
      </c>
      <c r="I381" t="s">
        <v>261</v>
      </c>
      <c r="L381" t="str">
        <f t="shared" ca="1" si="11"/>
        <v/>
      </c>
      <c r="M381" t="str">
        <f t="shared" ca="1" si="12"/>
        <v/>
      </c>
      <c r="N381" t="str">
        <f t="shared" ca="1" si="13"/>
        <v/>
      </c>
    </row>
    <row r="382" spans="1:14" x14ac:dyDescent="0.2">
      <c r="A382" t="s">
        <v>1212</v>
      </c>
      <c r="B382" t="s">
        <v>373</v>
      </c>
      <c r="C382" t="s">
        <v>461</v>
      </c>
      <c r="D382" t="s">
        <v>130</v>
      </c>
      <c r="E382" t="s">
        <v>377</v>
      </c>
      <c r="F382" t="s">
        <v>1166</v>
      </c>
      <c r="G382" t="s">
        <v>1164</v>
      </c>
      <c r="H382" t="s">
        <v>261</v>
      </c>
      <c r="I382" t="s">
        <v>261</v>
      </c>
      <c r="L382" t="str">
        <f t="shared" ca="1" si="11"/>
        <v/>
      </c>
      <c r="M382" t="str">
        <f t="shared" ca="1" si="12"/>
        <v/>
      </c>
      <c r="N382" t="str">
        <f t="shared" ca="1" si="13"/>
        <v/>
      </c>
    </row>
    <row r="383" spans="1:14" x14ac:dyDescent="0.2">
      <c r="A383" t="s">
        <v>1259</v>
      </c>
      <c r="B383" t="s">
        <v>373</v>
      </c>
      <c r="C383" t="s">
        <v>461</v>
      </c>
      <c r="D383" t="s">
        <v>130</v>
      </c>
      <c r="E383" t="s">
        <v>377</v>
      </c>
      <c r="F383" t="s">
        <v>1166</v>
      </c>
      <c r="G383" t="s">
        <v>1164</v>
      </c>
      <c r="H383" t="s">
        <v>261</v>
      </c>
      <c r="I383" t="s">
        <v>261</v>
      </c>
      <c r="L383" t="str">
        <f t="shared" ca="1" si="11"/>
        <v/>
      </c>
      <c r="M383" t="str">
        <f t="shared" ca="1" si="12"/>
        <v/>
      </c>
      <c r="N383" t="str">
        <f t="shared" ca="1" si="13"/>
        <v/>
      </c>
    </row>
    <row r="384" spans="1:14" x14ac:dyDescent="0.2">
      <c r="A384" t="s">
        <v>1213</v>
      </c>
      <c r="B384" t="s">
        <v>373</v>
      </c>
      <c r="C384" t="s">
        <v>461</v>
      </c>
      <c r="D384" t="s">
        <v>130</v>
      </c>
      <c r="E384" t="s">
        <v>377</v>
      </c>
      <c r="F384" t="s">
        <v>1166</v>
      </c>
      <c r="G384" t="s">
        <v>343</v>
      </c>
      <c r="H384" t="s">
        <v>261</v>
      </c>
      <c r="I384" t="s">
        <v>261</v>
      </c>
      <c r="L384" t="str">
        <f t="shared" ca="1" si="11"/>
        <v/>
      </c>
      <c r="M384" t="str">
        <f t="shared" ca="1" si="12"/>
        <v/>
      </c>
      <c r="N384" t="str">
        <f t="shared" ca="1" si="13"/>
        <v/>
      </c>
    </row>
    <row r="385" spans="1:14" x14ac:dyDescent="0.2">
      <c r="A385" t="s">
        <v>1214</v>
      </c>
      <c r="B385" t="s">
        <v>373</v>
      </c>
      <c r="C385" t="s">
        <v>461</v>
      </c>
      <c r="D385" t="s">
        <v>130</v>
      </c>
      <c r="E385" t="s">
        <v>377</v>
      </c>
      <c r="F385" t="s">
        <v>1166</v>
      </c>
      <c r="G385" t="s">
        <v>343</v>
      </c>
      <c r="H385" t="s">
        <v>261</v>
      </c>
      <c r="I385" t="s">
        <v>261</v>
      </c>
      <c r="L385" t="str">
        <f t="shared" ca="1" si="11"/>
        <v/>
      </c>
      <c r="M385" t="str">
        <f t="shared" ca="1" si="12"/>
        <v/>
      </c>
      <c r="N385" t="str">
        <f t="shared" ca="1" si="13"/>
        <v/>
      </c>
    </row>
    <row r="386" spans="1:14" x14ac:dyDescent="0.2">
      <c r="A386" t="s">
        <v>1215</v>
      </c>
      <c r="B386" t="s">
        <v>373</v>
      </c>
      <c r="C386" t="s">
        <v>461</v>
      </c>
      <c r="D386" t="s">
        <v>130</v>
      </c>
      <c r="E386" t="s">
        <v>377</v>
      </c>
      <c r="F386" t="s">
        <v>1166</v>
      </c>
      <c r="G386" t="s">
        <v>343</v>
      </c>
      <c r="H386" t="s">
        <v>261</v>
      </c>
      <c r="I386" t="s">
        <v>261</v>
      </c>
      <c r="L386" t="str">
        <f t="shared" ref="L386:L428" ca="1" si="14">IFERROR(MATCH(OFFSET($G$1,ROW()-1,0,1,1),A:A,0),"")</f>
        <v/>
      </c>
      <c r="M386" t="str">
        <f t="shared" ref="M386:M428" ca="1" si="15">IFERROR(MATCH(OFFSET($G$1,ROW()-1,0,1,1),A:A,1)-L386+1,"")</f>
        <v/>
      </c>
      <c r="N386" t="str">
        <f t="shared" ca="1" si="13"/>
        <v/>
      </c>
    </row>
    <row r="387" spans="1:14" x14ac:dyDescent="0.2">
      <c r="A387" t="s">
        <v>1146</v>
      </c>
      <c r="B387" t="s">
        <v>373</v>
      </c>
      <c r="C387" t="s">
        <v>461</v>
      </c>
      <c r="D387" t="s">
        <v>130</v>
      </c>
      <c r="E387" t="s">
        <v>377</v>
      </c>
      <c r="F387" t="s">
        <v>1166</v>
      </c>
      <c r="G387" t="s">
        <v>343</v>
      </c>
      <c r="H387" t="s">
        <v>261</v>
      </c>
      <c r="I387" t="s">
        <v>261</v>
      </c>
      <c r="L387" t="str">
        <f t="shared" ca="1" si="14"/>
        <v/>
      </c>
      <c r="M387" t="str">
        <f t="shared" ca="1" si="15"/>
        <v/>
      </c>
      <c r="N387" t="str">
        <f t="shared" ca="1" si="13"/>
        <v/>
      </c>
    </row>
    <row r="388" spans="1:14" x14ac:dyDescent="0.2">
      <c r="A388" t="s">
        <v>1206</v>
      </c>
      <c r="B388" t="s">
        <v>373</v>
      </c>
      <c r="C388" t="s">
        <v>461</v>
      </c>
      <c r="D388" t="s">
        <v>130</v>
      </c>
      <c r="E388" t="s">
        <v>377</v>
      </c>
      <c r="F388" t="s">
        <v>1166</v>
      </c>
      <c r="G388" t="s">
        <v>343</v>
      </c>
      <c r="H388" t="s">
        <v>261</v>
      </c>
      <c r="I388" t="s">
        <v>261</v>
      </c>
      <c r="L388" t="str">
        <f t="shared" ca="1" si="14"/>
        <v/>
      </c>
      <c r="M388" t="str">
        <f t="shared" ca="1" si="15"/>
        <v/>
      </c>
      <c r="N388" t="str">
        <f t="shared" ca="1" si="13"/>
        <v/>
      </c>
    </row>
    <row r="389" spans="1:14" x14ac:dyDescent="0.2">
      <c r="A389" t="s">
        <v>1169</v>
      </c>
      <c r="B389" t="s">
        <v>373</v>
      </c>
      <c r="C389" t="s">
        <v>461</v>
      </c>
      <c r="D389" t="s">
        <v>130</v>
      </c>
      <c r="E389" t="s">
        <v>377</v>
      </c>
      <c r="F389" t="s">
        <v>1166</v>
      </c>
      <c r="G389" t="s">
        <v>343</v>
      </c>
      <c r="H389" t="s">
        <v>261</v>
      </c>
      <c r="I389" t="s">
        <v>261</v>
      </c>
      <c r="L389" t="str">
        <f t="shared" ca="1" si="14"/>
        <v/>
      </c>
      <c r="M389" t="str">
        <f t="shared" ca="1" si="15"/>
        <v/>
      </c>
      <c r="N389" t="str">
        <f t="shared" ca="1" si="13"/>
        <v/>
      </c>
    </row>
    <row r="390" spans="1:14" x14ac:dyDescent="0.2">
      <c r="A390" t="s">
        <v>221</v>
      </c>
      <c r="B390" t="s">
        <v>373</v>
      </c>
      <c r="C390" t="s">
        <v>431</v>
      </c>
      <c r="D390" t="s">
        <v>130</v>
      </c>
      <c r="E390" t="s">
        <v>377</v>
      </c>
      <c r="F390" t="s">
        <v>432</v>
      </c>
      <c r="G390" t="s">
        <v>220</v>
      </c>
      <c r="H390" t="s">
        <v>261</v>
      </c>
      <c r="I390" t="s">
        <v>261</v>
      </c>
      <c r="L390" t="str">
        <f t="shared" ca="1" si="14"/>
        <v/>
      </c>
      <c r="M390" t="str">
        <f t="shared" ca="1" si="15"/>
        <v/>
      </c>
      <c r="N390" t="str">
        <f t="shared" ca="1" si="13"/>
        <v/>
      </c>
    </row>
    <row r="391" spans="1:14" x14ac:dyDescent="0.2">
      <c r="A391" t="s">
        <v>64</v>
      </c>
      <c r="B391" t="s">
        <v>410</v>
      </c>
      <c r="C391" t="s">
        <v>436</v>
      </c>
      <c r="D391" t="s">
        <v>130</v>
      </c>
      <c r="E391" t="s">
        <v>255</v>
      </c>
      <c r="F391" t="s">
        <v>381</v>
      </c>
      <c r="G391" t="s">
        <v>344</v>
      </c>
      <c r="H391" t="s">
        <v>252</v>
      </c>
      <c r="I391" t="s">
        <v>255</v>
      </c>
      <c r="L391" t="str">
        <f t="shared" ca="1" si="14"/>
        <v/>
      </c>
      <c r="M391" t="str">
        <f t="shared" ca="1" si="15"/>
        <v/>
      </c>
      <c r="N391" t="str">
        <f t="shared" ca="1" si="13"/>
        <v/>
      </c>
    </row>
    <row r="392" spans="1:14" x14ac:dyDescent="0.2">
      <c r="A392" t="s">
        <v>144</v>
      </c>
      <c r="B392" t="s">
        <v>410</v>
      </c>
      <c r="C392" t="s">
        <v>411</v>
      </c>
      <c r="D392" t="s">
        <v>130</v>
      </c>
      <c r="E392" t="s">
        <v>255</v>
      </c>
      <c r="F392" t="s">
        <v>381</v>
      </c>
      <c r="G392" t="s">
        <v>345</v>
      </c>
      <c r="H392" t="s">
        <v>252</v>
      </c>
      <c r="I392" t="s">
        <v>255</v>
      </c>
      <c r="L392" t="str">
        <f t="shared" ca="1" si="14"/>
        <v/>
      </c>
      <c r="M392" t="str">
        <f t="shared" ca="1" si="15"/>
        <v/>
      </c>
      <c r="N392" t="str">
        <f t="shared" ca="1" si="13"/>
        <v/>
      </c>
    </row>
    <row r="393" spans="1:14" x14ac:dyDescent="0.2">
      <c r="A393" t="s">
        <v>145</v>
      </c>
      <c r="B393" t="s">
        <v>410</v>
      </c>
      <c r="C393" t="s">
        <v>411</v>
      </c>
      <c r="D393" t="s">
        <v>130</v>
      </c>
      <c r="E393" t="s">
        <v>255</v>
      </c>
      <c r="F393" t="s">
        <v>381</v>
      </c>
      <c r="G393" t="s">
        <v>345</v>
      </c>
      <c r="H393" t="s">
        <v>252</v>
      </c>
      <c r="I393" t="s">
        <v>255</v>
      </c>
      <c r="L393" t="str">
        <f t="shared" ca="1" si="14"/>
        <v/>
      </c>
      <c r="M393" t="str">
        <f t="shared" ca="1" si="15"/>
        <v/>
      </c>
      <c r="N393" t="str">
        <f t="shared" ca="1" si="13"/>
        <v/>
      </c>
    </row>
    <row r="394" spans="1:14" x14ac:dyDescent="0.2">
      <c r="A394" t="s">
        <v>1286</v>
      </c>
      <c r="B394" t="s">
        <v>410</v>
      </c>
      <c r="C394" t="s">
        <v>411</v>
      </c>
      <c r="D394" t="s">
        <v>130</v>
      </c>
      <c r="E394" t="s">
        <v>255</v>
      </c>
      <c r="F394" t="s">
        <v>381</v>
      </c>
      <c r="G394" t="s">
        <v>345</v>
      </c>
      <c r="H394" t="s">
        <v>252</v>
      </c>
      <c r="I394" t="s">
        <v>255</v>
      </c>
      <c r="L394" t="str">
        <f t="shared" ca="1" si="14"/>
        <v/>
      </c>
      <c r="M394" t="str">
        <f t="shared" ca="1" si="15"/>
        <v/>
      </c>
      <c r="N394" t="str">
        <f t="shared" ca="1" si="13"/>
        <v/>
      </c>
    </row>
    <row r="395" spans="1:14" x14ac:dyDescent="0.2">
      <c r="A395" t="s">
        <v>1191</v>
      </c>
      <c r="B395" t="s">
        <v>406</v>
      </c>
      <c r="C395" t="s">
        <v>450</v>
      </c>
      <c r="D395" t="s">
        <v>130</v>
      </c>
      <c r="E395" t="s">
        <v>264</v>
      </c>
      <c r="F395" t="s">
        <v>422</v>
      </c>
      <c r="G395" t="s">
        <v>346</v>
      </c>
      <c r="H395" t="s">
        <v>252</v>
      </c>
      <c r="I395" t="s">
        <v>264</v>
      </c>
      <c r="L395" t="str">
        <f t="shared" ca="1" si="14"/>
        <v/>
      </c>
      <c r="M395" t="str">
        <f t="shared" ca="1" si="15"/>
        <v/>
      </c>
      <c r="N395" t="str">
        <f t="shared" ca="1" si="13"/>
        <v/>
      </c>
    </row>
    <row r="396" spans="1:14" x14ac:dyDescent="0.2">
      <c r="A396" t="s">
        <v>2</v>
      </c>
      <c r="B396" t="s">
        <v>406</v>
      </c>
      <c r="C396" t="s">
        <v>450</v>
      </c>
      <c r="D396" t="s">
        <v>130</v>
      </c>
      <c r="E396" t="s">
        <v>264</v>
      </c>
      <c r="F396" t="s">
        <v>422</v>
      </c>
      <c r="G396" t="s">
        <v>346</v>
      </c>
      <c r="H396" t="s">
        <v>252</v>
      </c>
      <c r="I396" t="s">
        <v>264</v>
      </c>
      <c r="L396" t="str">
        <f t="shared" ca="1" si="14"/>
        <v/>
      </c>
      <c r="M396" t="str">
        <f t="shared" ca="1" si="15"/>
        <v/>
      </c>
      <c r="N396" t="str">
        <f t="shared" ca="1" si="13"/>
        <v/>
      </c>
    </row>
    <row r="397" spans="1:14" x14ac:dyDescent="0.2">
      <c r="A397" t="s">
        <v>40</v>
      </c>
      <c r="B397" t="s">
        <v>406</v>
      </c>
      <c r="C397" t="s">
        <v>450</v>
      </c>
      <c r="D397" t="s">
        <v>130</v>
      </c>
      <c r="E397" t="s">
        <v>264</v>
      </c>
      <c r="F397" t="s">
        <v>422</v>
      </c>
      <c r="G397" t="s">
        <v>346</v>
      </c>
      <c r="H397" t="s">
        <v>252</v>
      </c>
      <c r="I397" t="s">
        <v>264</v>
      </c>
      <c r="L397" t="str">
        <f t="shared" ca="1" si="14"/>
        <v/>
      </c>
      <c r="M397" t="str">
        <f t="shared" ca="1" si="15"/>
        <v/>
      </c>
      <c r="N397" t="str">
        <f t="shared" ca="1" si="13"/>
        <v/>
      </c>
    </row>
    <row r="398" spans="1:14" x14ac:dyDescent="0.2">
      <c r="A398" t="s">
        <v>50</v>
      </c>
      <c r="B398" t="s">
        <v>406</v>
      </c>
      <c r="C398" t="s">
        <v>450</v>
      </c>
      <c r="D398" t="s">
        <v>376</v>
      </c>
      <c r="E398" t="s">
        <v>264</v>
      </c>
      <c r="F398" t="s">
        <v>422</v>
      </c>
      <c r="G398" t="s">
        <v>346</v>
      </c>
      <c r="H398" t="s">
        <v>252</v>
      </c>
      <c r="I398" t="s">
        <v>264</v>
      </c>
      <c r="L398" t="str">
        <f t="shared" ca="1" si="14"/>
        <v/>
      </c>
      <c r="M398" t="str">
        <f t="shared" ca="1" si="15"/>
        <v/>
      </c>
      <c r="N398" t="str">
        <f t="shared" ca="1" si="13"/>
        <v/>
      </c>
    </row>
    <row r="399" spans="1:14" x14ac:dyDescent="0.2">
      <c r="A399" t="s">
        <v>130</v>
      </c>
      <c r="B399" t="s">
        <v>312</v>
      </c>
      <c r="C399" t="s">
        <v>369</v>
      </c>
      <c r="D399" t="s">
        <v>130</v>
      </c>
      <c r="E399" t="s">
        <v>284</v>
      </c>
      <c r="F399" t="s">
        <v>427</v>
      </c>
      <c r="G399" t="s">
        <v>347</v>
      </c>
      <c r="H399" t="s">
        <v>257</v>
      </c>
      <c r="I399" t="s">
        <v>284</v>
      </c>
      <c r="L399" t="str">
        <f t="shared" ca="1" si="14"/>
        <v/>
      </c>
      <c r="M399" t="str">
        <f t="shared" ca="1" si="15"/>
        <v/>
      </c>
      <c r="N399" t="str">
        <f t="shared" ca="1" si="13"/>
        <v/>
      </c>
    </row>
    <row r="400" spans="1:14" x14ac:dyDescent="0.2">
      <c r="A400" t="s">
        <v>1167</v>
      </c>
      <c r="B400" t="s">
        <v>373</v>
      </c>
      <c r="C400" t="s">
        <v>461</v>
      </c>
      <c r="D400" t="s">
        <v>130</v>
      </c>
      <c r="E400" t="s">
        <v>377</v>
      </c>
      <c r="F400" t="s">
        <v>1166</v>
      </c>
      <c r="G400" t="s">
        <v>873</v>
      </c>
      <c r="H400" t="s">
        <v>261</v>
      </c>
      <c r="I400" t="s">
        <v>261</v>
      </c>
      <c r="L400" t="str">
        <f t="shared" ca="1" si="14"/>
        <v/>
      </c>
      <c r="M400" t="str">
        <f t="shared" ca="1" si="15"/>
        <v/>
      </c>
      <c r="N400" t="str">
        <f t="shared" ca="1" si="13"/>
        <v/>
      </c>
    </row>
    <row r="401" spans="1:14" x14ac:dyDescent="0.2">
      <c r="A401" t="s">
        <v>1168</v>
      </c>
      <c r="B401" t="s">
        <v>373</v>
      </c>
      <c r="C401" t="s">
        <v>461</v>
      </c>
      <c r="D401" t="s">
        <v>130</v>
      </c>
      <c r="E401" t="s">
        <v>377</v>
      </c>
      <c r="F401" t="s">
        <v>1166</v>
      </c>
      <c r="G401" t="s">
        <v>873</v>
      </c>
      <c r="H401" t="s">
        <v>261</v>
      </c>
      <c r="I401" t="s">
        <v>261</v>
      </c>
      <c r="L401" t="str">
        <f t="shared" ca="1" si="14"/>
        <v/>
      </c>
      <c r="M401" t="str">
        <f t="shared" ca="1" si="15"/>
        <v/>
      </c>
      <c r="N401" t="str">
        <f t="shared" ca="1" si="13"/>
        <v/>
      </c>
    </row>
    <row r="402" spans="1:14" x14ac:dyDescent="0.2">
      <c r="A402" t="s">
        <v>1169</v>
      </c>
      <c r="B402" t="s">
        <v>373</v>
      </c>
      <c r="C402" t="s">
        <v>461</v>
      </c>
      <c r="D402" t="s">
        <v>130</v>
      </c>
      <c r="E402" t="s">
        <v>377</v>
      </c>
      <c r="F402" t="s">
        <v>1166</v>
      </c>
      <c r="G402" t="s">
        <v>873</v>
      </c>
      <c r="H402" t="s">
        <v>261</v>
      </c>
      <c r="I402" t="s">
        <v>261</v>
      </c>
      <c r="L402" t="str">
        <f t="shared" ca="1" si="14"/>
        <v/>
      </c>
      <c r="M402" t="str">
        <f t="shared" ca="1" si="15"/>
        <v/>
      </c>
      <c r="N402" t="str">
        <f t="shared" ca="1" si="13"/>
        <v/>
      </c>
    </row>
    <row r="403" spans="1:14" x14ac:dyDescent="0.2">
      <c r="A403" t="s">
        <v>1287</v>
      </c>
      <c r="B403" t="s">
        <v>373</v>
      </c>
      <c r="C403" t="s">
        <v>461</v>
      </c>
      <c r="D403" t="s">
        <v>130</v>
      </c>
      <c r="E403" t="s">
        <v>377</v>
      </c>
      <c r="F403" t="s">
        <v>1166</v>
      </c>
      <c r="G403" t="s">
        <v>873</v>
      </c>
      <c r="H403" t="s">
        <v>261</v>
      </c>
      <c r="I403" t="s">
        <v>261</v>
      </c>
      <c r="L403" t="str">
        <f t="shared" ca="1" si="14"/>
        <v/>
      </c>
      <c r="M403" t="str">
        <f t="shared" ca="1" si="15"/>
        <v/>
      </c>
      <c r="N403" t="str">
        <f t="shared" ca="1" si="13"/>
        <v/>
      </c>
    </row>
    <row r="404" spans="1:14" x14ac:dyDescent="0.2">
      <c r="A404" t="s">
        <v>1148</v>
      </c>
      <c r="B404" t="s">
        <v>373</v>
      </c>
      <c r="C404" t="s">
        <v>461</v>
      </c>
      <c r="D404" t="s">
        <v>130</v>
      </c>
      <c r="E404" t="s">
        <v>377</v>
      </c>
      <c r="F404" t="s">
        <v>1166</v>
      </c>
      <c r="G404" t="s">
        <v>873</v>
      </c>
      <c r="H404" t="s">
        <v>261</v>
      </c>
      <c r="I404" t="s">
        <v>261</v>
      </c>
      <c r="L404" t="str">
        <f t="shared" ca="1" si="14"/>
        <v/>
      </c>
      <c r="M404" t="str">
        <f t="shared" ca="1" si="15"/>
        <v/>
      </c>
      <c r="N404" t="str">
        <f t="shared" ca="1" si="13"/>
        <v/>
      </c>
    </row>
    <row r="405" spans="1:14" x14ac:dyDescent="0.2">
      <c r="A405" t="s">
        <v>119</v>
      </c>
      <c r="B405" t="s">
        <v>361</v>
      </c>
      <c r="C405" t="s">
        <v>444</v>
      </c>
      <c r="D405" t="s">
        <v>130</v>
      </c>
      <c r="E405" t="s">
        <v>363</v>
      </c>
      <c r="F405" t="s">
        <v>316</v>
      </c>
      <c r="G405" t="s">
        <v>348</v>
      </c>
      <c r="H405" t="s">
        <v>252</v>
      </c>
      <c r="I405" t="s">
        <v>316</v>
      </c>
      <c r="L405" t="str">
        <f t="shared" ca="1" si="14"/>
        <v/>
      </c>
      <c r="M405" t="str">
        <f t="shared" ca="1" si="15"/>
        <v/>
      </c>
      <c r="N405" t="str">
        <f t="shared" ca="1" si="13"/>
        <v/>
      </c>
    </row>
    <row r="406" spans="1:14" x14ac:dyDescent="0.2">
      <c r="A406" t="s">
        <v>57</v>
      </c>
      <c r="B406" t="s">
        <v>406</v>
      </c>
      <c r="C406" t="s">
        <v>421</v>
      </c>
      <c r="D406" t="s">
        <v>130</v>
      </c>
      <c r="E406" t="s">
        <v>363</v>
      </c>
      <c r="F406" t="s">
        <v>289</v>
      </c>
      <c r="G406" t="s">
        <v>349</v>
      </c>
      <c r="H406" t="s">
        <v>252</v>
      </c>
      <c r="I406" t="s">
        <v>289</v>
      </c>
      <c r="L406" t="str">
        <f t="shared" ca="1" si="14"/>
        <v/>
      </c>
      <c r="M406" t="str">
        <f t="shared" ca="1" si="15"/>
        <v/>
      </c>
      <c r="N406" t="str">
        <f t="shared" ca="1" si="13"/>
        <v/>
      </c>
    </row>
    <row r="407" spans="1:14" x14ac:dyDescent="0.2">
      <c r="A407" t="s">
        <v>57</v>
      </c>
      <c r="B407" t="s">
        <v>361</v>
      </c>
      <c r="C407" t="s">
        <v>416</v>
      </c>
      <c r="D407" t="s">
        <v>130</v>
      </c>
      <c r="E407" t="s">
        <v>363</v>
      </c>
      <c r="F407" t="s">
        <v>289</v>
      </c>
      <c r="G407" t="s">
        <v>349</v>
      </c>
      <c r="H407" t="s">
        <v>252</v>
      </c>
      <c r="I407" t="s">
        <v>289</v>
      </c>
      <c r="L407" t="str">
        <f t="shared" ca="1" si="14"/>
        <v/>
      </c>
      <c r="M407" t="str">
        <f t="shared" ca="1" si="15"/>
        <v/>
      </c>
      <c r="N407" t="str">
        <f t="shared" ca="1" si="13"/>
        <v/>
      </c>
    </row>
    <row r="408" spans="1:14" x14ac:dyDescent="0.2">
      <c r="A408" t="s">
        <v>51</v>
      </c>
      <c r="B408" t="s">
        <v>406</v>
      </c>
      <c r="C408" t="s">
        <v>442</v>
      </c>
      <c r="D408" t="s">
        <v>376</v>
      </c>
      <c r="E408" t="s">
        <v>363</v>
      </c>
      <c r="F408" t="s">
        <v>289</v>
      </c>
      <c r="G408" t="s">
        <v>350</v>
      </c>
      <c r="H408" t="s">
        <v>252</v>
      </c>
      <c r="I408" t="s">
        <v>289</v>
      </c>
      <c r="L408" t="str">
        <f t="shared" ca="1" si="14"/>
        <v/>
      </c>
      <c r="M408" t="str">
        <f t="shared" ca="1" si="15"/>
        <v/>
      </c>
      <c r="N408" t="str">
        <f t="shared" ca="1" si="13"/>
        <v/>
      </c>
    </row>
    <row r="409" spans="1:14" x14ac:dyDescent="0.2">
      <c r="A409" t="s">
        <v>69</v>
      </c>
      <c r="B409" t="s">
        <v>406</v>
      </c>
      <c r="C409" t="s">
        <v>442</v>
      </c>
      <c r="D409" t="s">
        <v>130</v>
      </c>
      <c r="E409" t="s">
        <v>363</v>
      </c>
      <c r="F409" t="s">
        <v>289</v>
      </c>
      <c r="G409" t="s">
        <v>350</v>
      </c>
      <c r="H409" t="s">
        <v>252</v>
      </c>
      <c r="I409" t="s">
        <v>289</v>
      </c>
      <c r="L409" t="str">
        <f t="shared" ca="1" si="14"/>
        <v/>
      </c>
      <c r="M409" t="str">
        <f t="shared" ca="1" si="15"/>
        <v/>
      </c>
      <c r="N409" t="str">
        <f t="shared" ca="1" si="13"/>
        <v/>
      </c>
    </row>
    <row r="410" spans="1:14" x14ac:dyDescent="0.2">
      <c r="A410" t="s">
        <v>232</v>
      </c>
      <c r="B410" t="s">
        <v>406</v>
      </c>
      <c r="C410" t="s">
        <v>442</v>
      </c>
      <c r="D410" t="s">
        <v>376</v>
      </c>
      <c r="E410" t="s">
        <v>363</v>
      </c>
      <c r="F410" t="s">
        <v>289</v>
      </c>
      <c r="G410" t="s">
        <v>350</v>
      </c>
      <c r="H410" t="s">
        <v>252</v>
      </c>
      <c r="I410" t="s">
        <v>289</v>
      </c>
      <c r="L410" t="str">
        <f t="shared" ca="1" si="14"/>
        <v/>
      </c>
      <c r="M410" t="str">
        <f t="shared" ca="1" si="15"/>
        <v/>
      </c>
      <c r="N410" t="str">
        <f t="shared" ca="1" si="13"/>
        <v/>
      </c>
    </row>
    <row r="411" spans="1:14" x14ac:dyDescent="0.2">
      <c r="A411" t="s">
        <v>1288</v>
      </c>
      <c r="B411" t="s">
        <v>406</v>
      </c>
      <c r="C411" t="s">
        <v>442</v>
      </c>
      <c r="D411" t="s">
        <v>376</v>
      </c>
      <c r="E411" t="s">
        <v>363</v>
      </c>
      <c r="F411" t="s">
        <v>289</v>
      </c>
      <c r="G411" t="s">
        <v>350</v>
      </c>
      <c r="H411" t="s">
        <v>252</v>
      </c>
      <c r="I411" t="s">
        <v>289</v>
      </c>
      <c r="L411" t="str">
        <f t="shared" ca="1" si="14"/>
        <v/>
      </c>
      <c r="M411" t="str">
        <f t="shared" ca="1" si="15"/>
        <v/>
      </c>
      <c r="N411" t="str">
        <f t="shared" ca="1" si="13"/>
        <v/>
      </c>
    </row>
    <row r="412" spans="1:14" x14ac:dyDescent="0.2">
      <c r="A412" t="s">
        <v>27</v>
      </c>
      <c r="B412" t="s">
        <v>361</v>
      </c>
      <c r="C412" t="s">
        <v>416</v>
      </c>
      <c r="D412" t="s">
        <v>462</v>
      </c>
      <c r="E412" t="s">
        <v>363</v>
      </c>
      <c r="F412" t="s">
        <v>289</v>
      </c>
      <c r="G412" t="s">
        <v>351</v>
      </c>
      <c r="H412" t="s">
        <v>252</v>
      </c>
      <c r="I412" t="s">
        <v>289</v>
      </c>
      <c r="L412" t="str">
        <f t="shared" ca="1" si="14"/>
        <v/>
      </c>
      <c r="M412" t="str">
        <f t="shared" ca="1" si="15"/>
        <v/>
      </c>
      <c r="N412" t="str">
        <f t="shared" ca="1" si="13"/>
        <v/>
      </c>
    </row>
    <row r="413" spans="1:14" x14ac:dyDescent="0.2">
      <c r="A413" t="s">
        <v>122</v>
      </c>
      <c r="B413" t="s">
        <v>361</v>
      </c>
      <c r="C413" t="s">
        <v>416</v>
      </c>
      <c r="D413" t="s">
        <v>122</v>
      </c>
      <c r="E413" t="s">
        <v>363</v>
      </c>
      <c r="F413" t="s">
        <v>289</v>
      </c>
      <c r="G413" t="s">
        <v>351</v>
      </c>
      <c r="H413" t="s">
        <v>252</v>
      </c>
      <c r="I413" t="s">
        <v>289</v>
      </c>
      <c r="L413" t="str">
        <f t="shared" ca="1" si="14"/>
        <v/>
      </c>
      <c r="M413" t="str">
        <f t="shared" ca="1" si="15"/>
        <v/>
      </c>
      <c r="N413" t="str">
        <f t="shared" ca="1" si="13"/>
        <v/>
      </c>
    </row>
    <row r="414" spans="1:14" x14ac:dyDescent="0.2">
      <c r="A414" t="s">
        <v>164</v>
      </c>
      <c r="B414" t="s">
        <v>361</v>
      </c>
      <c r="C414" t="s">
        <v>416</v>
      </c>
      <c r="D414" t="s">
        <v>130</v>
      </c>
      <c r="E414" t="s">
        <v>363</v>
      </c>
      <c r="F414" t="s">
        <v>289</v>
      </c>
      <c r="G414" t="s">
        <v>351</v>
      </c>
      <c r="H414" t="s">
        <v>252</v>
      </c>
      <c r="I414" t="s">
        <v>289</v>
      </c>
      <c r="L414" t="str">
        <f t="shared" ca="1" si="14"/>
        <v/>
      </c>
      <c r="M414" t="str">
        <f t="shared" ca="1" si="15"/>
        <v/>
      </c>
      <c r="N414" t="str">
        <f t="shared" ca="1" si="13"/>
        <v/>
      </c>
    </row>
    <row r="415" spans="1:14" x14ac:dyDescent="0.2">
      <c r="A415" t="s">
        <v>175</v>
      </c>
      <c r="B415" t="s">
        <v>361</v>
      </c>
      <c r="C415" t="s">
        <v>416</v>
      </c>
      <c r="D415" t="s">
        <v>462</v>
      </c>
      <c r="E415" t="s">
        <v>363</v>
      </c>
      <c r="F415" t="s">
        <v>289</v>
      </c>
      <c r="G415" t="s">
        <v>351</v>
      </c>
      <c r="H415" t="s">
        <v>252</v>
      </c>
      <c r="I415" t="s">
        <v>289</v>
      </c>
      <c r="L415" t="str">
        <f t="shared" ca="1" si="14"/>
        <v/>
      </c>
      <c r="M415" t="str">
        <f t="shared" ca="1" si="15"/>
        <v/>
      </c>
      <c r="N415" t="str">
        <f t="shared" ca="1" si="13"/>
        <v/>
      </c>
    </row>
    <row r="416" spans="1:14" x14ac:dyDescent="0.2">
      <c r="A416" t="s">
        <v>230</v>
      </c>
      <c r="B416" t="s">
        <v>361</v>
      </c>
      <c r="C416" t="s">
        <v>416</v>
      </c>
      <c r="D416" t="s">
        <v>462</v>
      </c>
      <c r="E416" t="s">
        <v>363</v>
      </c>
      <c r="F416" t="s">
        <v>289</v>
      </c>
      <c r="G416" t="s">
        <v>351</v>
      </c>
      <c r="H416" t="s">
        <v>252</v>
      </c>
      <c r="I416" t="s">
        <v>289</v>
      </c>
      <c r="L416" t="str">
        <f t="shared" ca="1" si="14"/>
        <v/>
      </c>
      <c r="M416" t="str">
        <f t="shared" ca="1" si="15"/>
        <v/>
      </c>
      <c r="N416" t="str">
        <f t="shared" ca="1" si="13"/>
        <v/>
      </c>
    </row>
    <row r="417" spans="1:14" x14ac:dyDescent="0.2">
      <c r="A417" t="s">
        <v>1270</v>
      </c>
      <c r="B417" t="s">
        <v>361</v>
      </c>
      <c r="C417" t="s">
        <v>416</v>
      </c>
      <c r="D417" t="s">
        <v>130</v>
      </c>
      <c r="E417" t="s">
        <v>363</v>
      </c>
      <c r="F417" t="s">
        <v>289</v>
      </c>
      <c r="G417" t="s">
        <v>351</v>
      </c>
      <c r="H417" t="s">
        <v>252</v>
      </c>
      <c r="I417" t="s">
        <v>289</v>
      </c>
      <c r="L417" t="str">
        <f t="shared" ca="1" si="14"/>
        <v/>
      </c>
      <c r="M417" t="str">
        <f t="shared" ca="1" si="15"/>
        <v/>
      </c>
      <c r="N417" t="str">
        <f t="shared" ca="1" si="13"/>
        <v/>
      </c>
    </row>
    <row r="418" spans="1:14" x14ac:dyDescent="0.2">
      <c r="A418" t="s">
        <v>1270</v>
      </c>
      <c r="B418" t="s">
        <v>361</v>
      </c>
      <c r="C418" t="s">
        <v>416</v>
      </c>
      <c r="D418" t="s">
        <v>130</v>
      </c>
      <c r="E418" t="s">
        <v>363</v>
      </c>
      <c r="F418" t="s">
        <v>289</v>
      </c>
      <c r="G418" t="s">
        <v>351</v>
      </c>
      <c r="H418" t="s">
        <v>252</v>
      </c>
      <c r="I418" t="s">
        <v>264</v>
      </c>
      <c r="L418" t="str">
        <f t="shared" ca="1" si="14"/>
        <v/>
      </c>
      <c r="M418" t="str">
        <f t="shared" ca="1" si="15"/>
        <v/>
      </c>
      <c r="N418" t="str">
        <f t="shared" ca="1" si="13"/>
        <v/>
      </c>
    </row>
    <row r="419" spans="1:14" x14ac:dyDescent="0.2">
      <c r="A419" t="s">
        <v>234</v>
      </c>
      <c r="B419" t="s">
        <v>373</v>
      </c>
      <c r="C419" t="s">
        <v>1289</v>
      </c>
      <c r="D419" t="s">
        <v>376</v>
      </c>
      <c r="E419" t="s">
        <v>377</v>
      </c>
      <c r="F419" t="s">
        <v>432</v>
      </c>
      <c r="G419" t="s">
        <v>352</v>
      </c>
      <c r="H419" t="s">
        <v>261</v>
      </c>
      <c r="I419" t="s">
        <v>261</v>
      </c>
      <c r="L419" t="str">
        <f t="shared" ca="1" si="14"/>
        <v/>
      </c>
      <c r="M419" t="str">
        <f t="shared" ca="1" si="15"/>
        <v/>
      </c>
      <c r="N419" t="str">
        <f t="shared" ca="1" si="13"/>
        <v/>
      </c>
    </row>
    <row r="420" spans="1:14" x14ac:dyDescent="0.2">
      <c r="A420" t="s">
        <v>236</v>
      </c>
      <c r="B420" t="s">
        <v>373</v>
      </c>
      <c r="C420" t="s">
        <v>1289</v>
      </c>
      <c r="D420" t="s">
        <v>130</v>
      </c>
      <c r="E420" t="s">
        <v>377</v>
      </c>
      <c r="F420" t="s">
        <v>432</v>
      </c>
      <c r="G420" t="s">
        <v>352</v>
      </c>
      <c r="H420" t="s">
        <v>261</v>
      </c>
      <c r="I420" t="s">
        <v>261</v>
      </c>
      <c r="L420" t="str">
        <f t="shared" ca="1" si="14"/>
        <v/>
      </c>
      <c r="M420" t="str">
        <f t="shared" ca="1" si="15"/>
        <v/>
      </c>
      <c r="N420" t="str">
        <f t="shared" ca="1" si="13"/>
        <v/>
      </c>
    </row>
    <row r="421" spans="1:14" x14ac:dyDescent="0.2">
      <c r="A421" t="s">
        <v>1290</v>
      </c>
      <c r="B421" t="s">
        <v>373</v>
      </c>
      <c r="C421" t="s">
        <v>1289</v>
      </c>
      <c r="D421" t="s">
        <v>130</v>
      </c>
      <c r="E421" t="s">
        <v>377</v>
      </c>
      <c r="F421" t="s">
        <v>432</v>
      </c>
      <c r="G421" t="s">
        <v>352</v>
      </c>
      <c r="H421" t="s">
        <v>261</v>
      </c>
      <c r="I421" t="s">
        <v>261</v>
      </c>
      <c r="L421" t="str">
        <f t="shared" ca="1" si="14"/>
        <v/>
      </c>
      <c r="M421" t="str">
        <f t="shared" ca="1" si="15"/>
        <v/>
      </c>
      <c r="N421" t="str">
        <f t="shared" ca="1" si="13"/>
        <v/>
      </c>
    </row>
    <row r="422" spans="1:14" x14ac:dyDescent="0.2">
      <c r="A422" t="s">
        <v>237</v>
      </c>
      <c r="B422" t="s">
        <v>373</v>
      </c>
      <c r="C422" t="s">
        <v>1289</v>
      </c>
      <c r="D422" t="s">
        <v>376</v>
      </c>
      <c r="E422" t="s">
        <v>377</v>
      </c>
      <c r="F422" t="s">
        <v>432</v>
      </c>
      <c r="G422" t="s">
        <v>352</v>
      </c>
      <c r="H422" t="s">
        <v>261</v>
      </c>
      <c r="I422" t="s">
        <v>261</v>
      </c>
      <c r="L422" t="str">
        <f t="shared" ca="1" si="14"/>
        <v/>
      </c>
      <c r="M422" t="str">
        <f t="shared" ca="1" si="15"/>
        <v/>
      </c>
      <c r="N422" t="str">
        <f t="shared" ca="1" si="13"/>
        <v/>
      </c>
    </row>
    <row r="423" spans="1:14" x14ac:dyDescent="0.2">
      <c r="A423" t="s">
        <v>1291</v>
      </c>
      <c r="B423" t="s">
        <v>373</v>
      </c>
      <c r="C423" t="s">
        <v>1289</v>
      </c>
      <c r="D423" t="s">
        <v>376</v>
      </c>
      <c r="E423" t="s">
        <v>377</v>
      </c>
      <c r="F423" t="s">
        <v>432</v>
      </c>
      <c r="G423" t="s">
        <v>352</v>
      </c>
      <c r="H423" t="s">
        <v>261</v>
      </c>
      <c r="I423" t="s">
        <v>261</v>
      </c>
      <c r="L423" t="str">
        <f t="shared" ca="1" si="14"/>
        <v/>
      </c>
      <c r="M423" t="str">
        <f t="shared" ca="1" si="15"/>
        <v/>
      </c>
      <c r="N423" t="str">
        <f t="shared" ca="1" si="13"/>
        <v/>
      </c>
    </row>
    <row r="424" spans="1:14" x14ac:dyDescent="0.2">
      <c r="A424" t="s">
        <v>1292</v>
      </c>
      <c r="B424" t="s">
        <v>373</v>
      </c>
      <c r="C424" t="s">
        <v>1289</v>
      </c>
      <c r="D424" t="s">
        <v>130</v>
      </c>
      <c r="E424" t="s">
        <v>377</v>
      </c>
      <c r="F424" t="s">
        <v>432</v>
      </c>
      <c r="G424" t="s">
        <v>1265</v>
      </c>
      <c r="H424" t="s">
        <v>261</v>
      </c>
      <c r="I424" t="s">
        <v>261</v>
      </c>
      <c r="L424" t="str">
        <f t="shared" ca="1" si="14"/>
        <v/>
      </c>
      <c r="M424" t="str">
        <f t="shared" ca="1" si="15"/>
        <v/>
      </c>
      <c r="N424" t="str">
        <f t="shared" ca="1" si="13"/>
        <v/>
      </c>
    </row>
    <row r="425" spans="1:14" x14ac:dyDescent="0.2">
      <c r="A425" t="s">
        <v>119</v>
      </c>
      <c r="B425" t="s">
        <v>361</v>
      </c>
      <c r="C425" t="s">
        <v>444</v>
      </c>
      <c r="D425" t="s">
        <v>130</v>
      </c>
      <c r="E425" t="s">
        <v>363</v>
      </c>
      <c r="F425" t="s">
        <v>316</v>
      </c>
      <c r="G425" t="s">
        <v>237</v>
      </c>
      <c r="H425" t="s">
        <v>252</v>
      </c>
      <c r="I425" t="s">
        <v>316</v>
      </c>
      <c r="L425">
        <f t="shared" ca="1" si="14"/>
        <v>422</v>
      </c>
      <c r="M425">
        <f t="shared" ca="1" si="15"/>
        <v>36</v>
      </c>
      <c r="N425">
        <f t="shared" ref="N425:N488" ca="1" si="16">IFERROR(MATCH(OFFSET($G$1,ROW()-1,0,1,1),A:A,1)-M425+1,"")</f>
        <v>422</v>
      </c>
    </row>
    <row r="426" spans="1:14" x14ac:dyDescent="0.2">
      <c r="A426" t="s">
        <v>19</v>
      </c>
      <c r="B426" t="s">
        <v>373</v>
      </c>
      <c r="C426" t="s">
        <v>431</v>
      </c>
      <c r="D426" t="s">
        <v>130</v>
      </c>
      <c r="E426" t="s">
        <v>377</v>
      </c>
      <c r="F426" t="s">
        <v>353</v>
      </c>
      <c r="G426" t="s">
        <v>353</v>
      </c>
      <c r="H426" t="s">
        <v>261</v>
      </c>
      <c r="I426" t="s">
        <v>261</v>
      </c>
      <c r="L426" t="str">
        <f t="shared" ca="1" si="14"/>
        <v/>
      </c>
      <c r="M426" t="str">
        <f t="shared" ca="1" si="15"/>
        <v/>
      </c>
      <c r="N426" t="str">
        <f t="shared" ca="1" si="16"/>
        <v/>
      </c>
    </row>
    <row r="427" spans="1:14" x14ac:dyDescent="0.2">
      <c r="A427" t="s">
        <v>1146</v>
      </c>
      <c r="B427" t="s">
        <v>373</v>
      </c>
      <c r="C427" t="s">
        <v>431</v>
      </c>
      <c r="D427" t="s">
        <v>130</v>
      </c>
      <c r="E427" t="s">
        <v>377</v>
      </c>
      <c r="F427" t="s">
        <v>353</v>
      </c>
      <c r="G427" t="s">
        <v>353</v>
      </c>
      <c r="H427" t="s">
        <v>261</v>
      </c>
      <c r="I427" t="s">
        <v>261</v>
      </c>
      <c r="L427" t="str">
        <f t="shared" ca="1" si="14"/>
        <v/>
      </c>
      <c r="M427" t="str">
        <f t="shared" ca="1" si="15"/>
        <v/>
      </c>
      <c r="N427" t="str">
        <f t="shared" ca="1" si="16"/>
        <v/>
      </c>
    </row>
    <row r="428" spans="1:14" x14ac:dyDescent="0.2">
      <c r="A428" t="s">
        <v>1147</v>
      </c>
      <c r="B428" t="s">
        <v>373</v>
      </c>
      <c r="C428" t="s">
        <v>431</v>
      </c>
      <c r="D428" t="s">
        <v>130</v>
      </c>
      <c r="E428" t="s">
        <v>377</v>
      </c>
      <c r="F428" t="s">
        <v>353</v>
      </c>
      <c r="G428" t="s">
        <v>353</v>
      </c>
      <c r="H428" t="s">
        <v>261</v>
      </c>
      <c r="I428" t="s">
        <v>261</v>
      </c>
      <c r="L428" t="str">
        <f t="shared" ca="1" si="14"/>
        <v/>
      </c>
      <c r="M428" t="str">
        <f t="shared" ca="1" si="15"/>
        <v/>
      </c>
      <c r="N428" t="str">
        <f t="shared" ca="1" si="16"/>
        <v/>
      </c>
    </row>
    <row r="429" spans="1:14" x14ac:dyDescent="0.2">
      <c r="A429" t="s">
        <v>1216</v>
      </c>
      <c r="B429" t="s">
        <v>373</v>
      </c>
      <c r="C429" t="s">
        <v>431</v>
      </c>
      <c r="D429" t="s">
        <v>130</v>
      </c>
      <c r="E429" t="s">
        <v>377</v>
      </c>
      <c r="F429" t="s">
        <v>353</v>
      </c>
      <c r="G429" t="s">
        <v>353</v>
      </c>
      <c r="H429" t="s">
        <v>261</v>
      </c>
      <c r="I429" t="s">
        <v>261</v>
      </c>
      <c r="M429" t="str">
        <f t="shared" ref="M429:M460" ca="1" si="17">IFERROR(MATCH(OFFSET($G$1,ROW()-1,0,1,1),A:A,0),"")</f>
        <v/>
      </c>
      <c r="N429" t="str">
        <f t="shared" ca="1" si="16"/>
        <v/>
      </c>
    </row>
    <row r="430" spans="1:14" x14ac:dyDescent="0.2">
      <c r="A430" t="s">
        <v>1293</v>
      </c>
      <c r="B430" t="s">
        <v>373</v>
      </c>
      <c r="C430" t="s">
        <v>431</v>
      </c>
      <c r="D430" t="s">
        <v>130</v>
      </c>
      <c r="E430" t="s">
        <v>377</v>
      </c>
      <c r="F430" t="s">
        <v>353</v>
      </c>
      <c r="G430" t="s">
        <v>353</v>
      </c>
      <c r="H430" t="s">
        <v>261</v>
      </c>
      <c r="I430" t="s">
        <v>261</v>
      </c>
      <c r="M430" t="str">
        <f t="shared" ca="1" si="17"/>
        <v/>
      </c>
      <c r="N430" t="str">
        <f t="shared" ca="1" si="16"/>
        <v/>
      </c>
    </row>
    <row r="431" spans="1:14" x14ac:dyDescent="0.2">
      <c r="A431" t="s">
        <v>78</v>
      </c>
      <c r="B431" t="s">
        <v>361</v>
      </c>
      <c r="C431" t="s">
        <v>414</v>
      </c>
      <c r="D431" t="s">
        <v>130</v>
      </c>
      <c r="E431" t="s">
        <v>263</v>
      </c>
      <c r="F431" t="s">
        <v>415</v>
      </c>
      <c r="G431" t="s">
        <v>354</v>
      </c>
      <c r="H431" t="s">
        <v>252</v>
      </c>
      <c r="I431" t="s">
        <v>263</v>
      </c>
      <c r="M431" t="str">
        <f t="shared" ca="1" si="17"/>
        <v/>
      </c>
      <c r="N431" t="str">
        <f t="shared" ca="1" si="16"/>
        <v/>
      </c>
    </row>
    <row r="432" spans="1:14" x14ac:dyDescent="0.2">
      <c r="A432" t="s">
        <v>78</v>
      </c>
      <c r="B432" t="s">
        <v>373</v>
      </c>
      <c r="C432" t="s">
        <v>374</v>
      </c>
      <c r="D432" t="s">
        <v>130</v>
      </c>
      <c r="E432" t="s">
        <v>263</v>
      </c>
      <c r="F432" t="s">
        <v>415</v>
      </c>
      <c r="G432" t="s">
        <v>354</v>
      </c>
      <c r="H432" t="s">
        <v>252</v>
      </c>
      <c r="I432" t="s">
        <v>263</v>
      </c>
      <c r="M432" t="str">
        <f t="shared" ca="1" si="17"/>
        <v/>
      </c>
      <c r="N432" t="str">
        <f t="shared" ca="1" si="16"/>
        <v/>
      </c>
    </row>
    <row r="433" spans="1:14" x14ac:dyDescent="0.2">
      <c r="A433" t="s">
        <v>15</v>
      </c>
      <c r="B433" t="s">
        <v>365</v>
      </c>
      <c r="C433" t="s">
        <v>463</v>
      </c>
      <c r="D433" t="s">
        <v>15</v>
      </c>
      <c r="E433" t="s">
        <v>255</v>
      </c>
      <c r="F433" t="s">
        <v>368</v>
      </c>
      <c r="G433" t="s">
        <v>355</v>
      </c>
      <c r="H433" t="s">
        <v>252</v>
      </c>
      <c r="I433" t="s">
        <v>255</v>
      </c>
      <c r="M433" t="str">
        <f t="shared" ca="1" si="17"/>
        <v/>
      </c>
      <c r="N433" t="str">
        <f t="shared" ca="1" si="16"/>
        <v/>
      </c>
    </row>
    <row r="434" spans="1:14" x14ac:dyDescent="0.2">
      <c r="A434" t="s">
        <v>66</v>
      </c>
      <c r="B434" t="s">
        <v>365</v>
      </c>
      <c r="C434" t="s">
        <v>463</v>
      </c>
      <c r="D434" t="s">
        <v>376</v>
      </c>
      <c r="E434" t="s">
        <v>255</v>
      </c>
      <c r="F434" t="s">
        <v>368</v>
      </c>
      <c r="G434" t="s">
        <v>355</v>
      </c>
      <c r="H434" t="s">
        <v>252</v>
      </c>
      <c r="I434" t="s">
        <v>255</v>
      </c>
      <c r="M434" t="str">
        <f t="shared" ca="1" si="17"/>
        <v/>
      </c>
      <c r="N434" t="str">
        <f t="shared" ca="1" si="16"/>
        <v/>
      </c>
    </row>
    <row r="435" spans="1:14" x14ac:dyDescent="0.2">
      <c r="A435" t="s">
        <v>88</v>
      </c>
      <c r="B435" t="s">
        <v>365</v>
      </c>
      <c r="C435" t="s">
        <v>463</v>
      </c>
      <c r="D435" t="s">
        <v>222</v>
      </c>
      <c r="E435" t="s">
        <v>255</v>
      </c>
      <c r="F435" t="s">
        <v>368</v>
      </c>
      <c r="G435" t="s">
        <v>355</v>
      </c>
      <c r="H435" t="s">
        <v>252</v>
      </c>
      <c r="I435" t="s">
        <v>255</v>
      </c>
      <c r="M435" t="str">
        <f t="shared" ca="1" si="17"/>
        <v/>
      </c>
      <c r="N435" t="str">
        <f t="shared" ca="1" si="16"/>
        <v/>
      </c>
    </row>
    <row r="436" spans="1:14" x14ac:dyDescent="0.2">
      <c r="A436" t="s">
        <v>103</v>
      </c>
      <c r="B436" t="s">
        <v>365</v>
      </c>
      <c r="C436" t="s">
        <v>463</v>
      </c>
      <c r="D436" t="s">
        <v>257</v>
      </c>
      <c r="E436" t="s">
        <v>255</v>
      </c>
      <c r="F436" t="s">
        <v>368</v>
      </c>
      <c r="G436" t="s">
        <v>355</v>
      </c>
      <c r="H436" t="s">
        <v>252</v>
      </c>
      <c r="I436" t="s">
        <v>255</v>
      </c>
      <c r="M436" t="str">
        <f t="shared" ca="1" si="17"/>
        <v/>
      </c>
      <c r="N436" t="str">
        <f t="shared" ca="1" si="16"/>
        <v/>
      </c>
    </row>
    <row r="437" spans="1:14" x14ac:dyDescent="0.2">
      <c r="A437" t="s">
        <v>106</v>
      </c>
      <c r="B437" t="s">
        <v>365</v>
      </c>
      <c r="C437" t="s">
        <v>463</v>
      </c>
      <c r="D437" t="s">
        <v>388</v>
      </c>
      <c r="E437" t="s">
        <v>255</v>
      </c>
      <c r="F437" t="s">
        <v>368</v>
      </c>
      <c r="G437" t="s">
        <v>355</v>
      </c>
      <c r="H437" t="s">
        <v>252</v>
      </c>
      <c r="I437" t="s">
        <v>255</v>
      </c>
      <c r="M437" t="str">
        <f t="shared" ca="1" si="17"/>
        <v/>
      </c>
      <c r="N437" t="str">
        <f t="shared" ca="1" si="16"/>
        <v/>
      </c>
    </row>
    <row r="438" spans="1:14" x14ac:dyDescent="0.2">
      <c r="A438" t="s">
        <v>107</v>
      </c>
      <c r="B438" t="s">
        <v>365</v>
      </c>
      <c r="C438" t="s">
        <v>463</v>
      </c>
      <c r="D438" t="s">
        <v>464</v>
      </c>
      <c r="E438" t="s">
        <v>255</v>
      </c>
      <c r="F438" t="s">
        <v>368</v>
      </c>
      <c r="G438" t="s">
        <v>355</v>
      </c>
      <c r="H438" t="s">
        <v>252</v>
      </c>
      <c r="I438" t="s">
        <v>255</v>
      </c>
      <c r="M438" t="str">
        <f t="shared" ca="1" si="17"/>
        <v/>
      </c>
      <c r="N438" t="str">
        <f t="shared" ca="1" si="16"/>
        <v/>
      </c>
    </row>
    <row r="439" spans="1:14" x14ac:dyDescent="0.2">
      <c r="A439" t="s">
        <v>128</v>
      </c>
      <c r="B439" t="s">
        <v>365</v>
      </c>
      <c r="C439" t="s">
        <v>463</v>
      </c>
      <c r="D439" t="s">
        <v>257</v>
      </c>
      <c r="E439" t="s">
        <v>255</v>
      </c>
      <c r="F439" t="s">
        <v>368</v>
      </c>
      <c r="G439" t="s">
        <v>355</v>
      </c>
      <c r="H439" t="s">
        <v>252</v>
      </c>
      <c r="I439" t="s">
        <v>255</v>
      </c>
      <c r="M439" t="str">
        <f t="shared" ca="1" si="17"/>
        <v/>
      </c>
      <c r="N439" t="str">
        <f t="shared" ca="1" si="16"/>
        <v/>
      </c>
    </row>
    <row r="440" spans="1:14" x14ac:dyDescent="0.2">
      <c r="A440" t="s">
        <v>138</v>
      </c>
      <c r="B440" t="s">
        <v>365</v>
      </c>
      <c r="C440" t="s">
        <v>463</v>
      </c>
      <c r="D440" t="s">
        <v>7</v>
      </c>
      <c r="E440" t="s">
        <v>255</v>
      </c>
      <c r="F440" t="s">
        <v>368</v>
      </c>
      <c r="G440" t="s">
        <v>355</v>
      </c>
      <c r="H440" t="s">
        <v>252</v>
      </c>
      <c r="I440" t="s">
        <v>255</v>
      </c>
      <c r="M440" t="str">
        <f t="shared" ca="1" si="17"/>
        <v/>
      </c>
      <c r="N440" t="str">
        <f t="shared" ca="1" si="16"/>
        <v/>
      </c>
    </row>
    <row r="441" spans="1:14" x14ac:dyDescent="0.2">
      <c r="A441" t="s">
        <v>139</v>
      </c>
      <c r="B441" t="s">
        <v>365</v>
      </c>
      <c r="C441" t="s">
        <v>463</v>
      </c>
      <c r="D441" t="s">
        <v>257</v>
      </c>
      <c r="E441" t="s">
        <v>255</v>
      </c>
      <c r="F441" t="s">
        <v>368</v>
      </c>
      <c r="G441" t="s">
        <v>355</v>
      </c>
      <c r="H441" t="s">
        <v>252</v>
      </c>
      <c r="I441" t="s">
        <v>255</v>
      </c>
      <c r="M441" t="str">
        <f t="shared" ca="1" si="17"/>
        <v/>
      </c>
      <c r="N441" t="str">
        <f t="shared" ca="1" si="16"/>
        <v/>
      </c>
    </row>
    <row r="442" spans="1:14" x14ac:dyDescent="0.2">
      <c r="A442" t="s">
        <v>140</v>
      </c>
      <c r="B442" t="s">
        <v>365</v>
      </c>
      <c r="C442" t="s">
        <v>463</v>
      </c>
      <c r="D442" t="s">
        <v>465</v>
      </c>
      <c r="E442" t="s">
        <v>255</v>
      </c>
      <c r="F442" t="s">
        <v>368</v>
      </c>
      <c r="G442" t="s">
        <v>355</v>
      </c>
      <c r="H442" t="s">
        <v>252</v>
      </c>
      <c r="I442" t="s">
        <v>255</v>
      </c>
      <c r="M442" t="str">
        <f t="shared" ca="1" si="17"/>
        <v/>
      </c>
      <c r="N442" t="str">
        <f t="shared" ca="1" si="16"/>
        <v/>
      </c>
    </row>
    <row r="443" spans="1:14" x14ac:dyDescent="0.2">
      <c r="A443" t="s">
        <v>141</v>
      </c>
      <c r="B443" t="s">
        <v>365</v>
      </c>
      <c r="C443" t="s">
        <v>463</v>
      </c>
      <c r="D443" t="s">
        <v>176</v>
      </c>
      <c r="E443" t="s">
        <v>255</v>
      </c>
      <c r="F443" t="s">
        <v>368</v>
      </c>
      <c r="G443" t="s">
        <v>355</v>
      </c>
      <c r="H443" t="s">
        <v>252</v>
      </c>
      <c r="I443" t="s">
        <v>255</v>
      </c>
      <c r="M443" t="str">
        <f t="shared" ca="1" si="17"/>
        <v/>
      </c>
      <c r="N443" t="str">
        <f t="shared" ca="1" si="16"/>
        <v/>
      </c>
    </row>
    <row r="444" spans="1:14" x14ac:dyDescent="0.2">
      <c r="A444" t="s">
        <v>142</v>
      </c>
      <c r="B444" t="s">
        <v>365</v>
      </c>
      <c r="C444" t="s">
        <v>463</v>
      </c>
      <c r="D444" t="s">
        <v>130</v>
      </c>
      <c r="E444" t="s">
        <v>255</v>
      </c>
      <c r="F444" t="s">
        <v>368</v>
      </c>
      <c r="G444" t="s">
        <v>355</v>
      </c>
      <c r="H444" t="s">
        <v>252</v>
      </c>
      <c r="I444" t="s">
        <v>255</v>
      </c>
      <c r="M444" t="str">
        <f t="shared" ca="1" si="17"/>
        <v/>
      </c>
      <c r="N444" t="str">
        <f t="shared" ca="1" si="16"/>
        <v/>
      </c>
    </row>
    <row r="445" spans="1:14" x14ac:dyDescent="0.2">
      <c r="A445" t="s">
        <v>143</v>
      </c>
      <c r="B445" t="s">
        <v>365</v>
      </c>
      <c r="C445" t="s">
        <v>463</v>
      </c>
      <c r="D445" t="s">
        <v>257</v>
      </c>
      <c r="E445" t="s">
        <v>255</v>
      </c>
      <c r="F445" t="s">
        <v>368</v>
      </c>
      <c r="G445" t="s">
        <v>355</v>
      </c>
      <c r="H445" t="s">
        <v>252</v>
      </c>
      <c r="I445" t="s">
        <v>255</v>
      </c>
      <c r="M445" t="str">
        <f t="shared" ca="1" si="17"/>
        <v/>
      </c>
      <c r="N445" t="str">
        <f t="shared" ca="1" si="16"/>
        <v/>
      </c>
    </row>
    <row r="446" spans="1:14" x14ac:dyDescent="0.2">
      <c r="A446" t="s">
        <v>153</v>
      </c>
      <c r="B446" t="s">
        <v>365</v>
      </c>
      <c r="C446" t="s">
        <v>463</v>
      </c>
      <c r="D446" t="s">
        <v>130</v>
      </c>
      <c r="E446" t="s">
        <v>255</v>
      </c>
      <c r="F446" t="s">
        <v>368</v>
      </c>
      <c r="G446" t="s">
        <v>355</v>
      </c>
      <c r="H446" t="s">
        <v>252</v>
      </c>
      <c r="I446" t="s">
        <v>255</v>
      </c>
      <c r="M446" t="str">
        <f t="shared" ca="1" si="17"/>
        <v/>
      </c>
      <c r="N446" t="str">
        <f t="shared" ca="1" si="16"/>
        <v/>
      </c>
    </row>
    <row r="447" spans="1:14" x14ac:dyDescent="0.2">
      <c r="A447" t="s">
        <v>171</v>
      </c>
      <c r="B447" t="s">
        <v>365</v>
      </c>
      <c r="C447" t="s">
        <v>463</v>
      </c>
      <c r="D447" t="s">
        <v>79</v>
      </c>
      <c r="E447" t="s">
        <v>255</v>
      </c>
      <c r="F447" t="s">
        <v>368</v>
      </c>
      <c r="G447" t="s">
        <v>355</v>
      </c>
      <c r="H447" t="s">
        <v>252</v>
      </c>
      <c r="I447" t="s">
        <v>255</v>
      </c>
      <c r="M447" t="str">
        <f t="shared" ca="1" si="17"/>
        <v/>
      </c>
      <c r="N447" t="str">
        <f t="shared" ca="1" si="16"/>
        <v/>
      </c>
    </row>
    <row r="448" spans="1:14" x14ac:dyDescent="0.2">
      <c r="A448" t="s">
        <v>172</v>
      </c>
      <c r="B448" t="s">
        <v>365</v>
      </c>
      <c r="C448" t="s">
        <v>463</v>
      </c>
      <c r="D448" t="s">
        <v>388</v>
      </c>
      <c r="E448" t="s">
        <v>255</v>
      </c>
      <c r="F448" t="s">
        <v>368</v>
      </c>
      <c r="G448" t="s">
        <v>355</v>
      </c>
      <c r="H448" t="s">
        <v>252</v>
      </c>
      <c r="I448" t="s">
        <v>255</v>
      </c>
      <c r="M448" t="str">
        <f t="shared" ca="1" si="17"/>
        <v/>
      </c>
      <c r="N448" t="str">
        <f t="shared" ca="1" si="16"/>
        <v/>
      </c>
    </row>
    <row r="449" spans="1:14" x14ac:dyDescent="0.2">
      <c r="A449" t="s">
        <v>189</v>
      </c>
      <c r="B449" t="s">
        <v>365</v>
      </c>
      <c r="C449" t="s">
        <v>463</v>
      </c>
      <c r="D449" t="s">
        <v>7</v>
      </c>
      <c r="E449" t="s">
        <v>255</v>
      </c>
      <c r="F449" t="s">
        <v>368</v>
      </c>
      <c r="G449" t="s">
        <v>355</v>
      </c>
      <c r="H449" t="s">
        <v>252</v>
      </c>
      <c r="I449" t="s">
        <v>255</v>
      </c>
      <c r="M449" t="str">
        <f t="shared" ca="1" si="17"/>
        <v/>
      </c>
      <c r="N449" t="str">
        <f t="shared" ca="1" si="16"/>
        <v/>
      </c>
    </row>
    <row r="450" spans="1:14" x14ac:dyDescent="0.2">
      <c r="A450" t="s">
        <v>190</v>
      </c>
      <c r="B450" t="s">
        <v>365</v>
      </c>
      <c r="C450" t="s">
        <v>463</v>
      </c>
      <c r="D450" t="s">
        <v>257</v>
      </c>
      <c r="E450" t="s">
        <v>255</v>
      </c>
      <c r="F450" t="s">
        <v>368</v>
      </c>
      <c r="G450" t="s">
        <v>355</v>
      </c>
      <c r="H450" t="s">
        <v>252</v>
      </c>
      <c r="I450" t="s">
        <v>255</v>
      </c>
      <c r="M450" t="str">
        <f t="shared" ca="1" si="17"/>
        <v/>
      </c>
      <c r="N450" t="str">
        <f t="shared" ca="1" si="16"/>
        <v/>
      </c>
    </row>
    <row r="451" spans="1:14" x14ac:dyDescent="0.2">
      <c r="A451" t="s">
        <v>191</v>
      </c>
      <c r="B451" t="s">
        <v>365</v>
      </c>
      <c r="C451" t="s">
        <v>463</v>
      </c>
      <c r="D451" t="s">
        <v>465</v>
      </c>
      <c r="E451" t="s">
        <v>255</v>
      </c>
      <c r="F451" t="s">
        <v>368</v>
      </c>
      <c r="G451" t="s">
        <v>355</v>
      </c>
      <c r="H451" t="s">
        <v>252</v>
      </c>
      <c r="I451" t="s">
        <v>255</v>
      </c>
      <c r="M451" t="str">
        <f t="shared" ca="1" si="17"/>
        <v/>
      </c>
      <c r="N451" t="str">
        <f t="shared" ca="1" si="16"/>
        <v/>
      </c>
    </row>
    <row r="452" spans="1:14" x14ac:dyDescent="0.2">
      <c r="A452" t="s">
        <v>192</v>
      </c>
      <c r="B452" t="s">
        <v>365</v>
      </c>
      <c r="C452" t="s">
        <v>463</v>
      </c>
      <c r="D452" t="s">
        <v>176</v>
      </c>
      <c r="E452" t="s">
        <v>255</v>
      </c>
      <c r="F452" t="s">
        <v>368</v>
      </c>
      <c r="G452" t="s">
        <v>355</v>
      </c>
      <c r="H452" t="s">
        <v>252</v>
      </c>
      <c r="I452" t="s">
        <v>255</v>
      </c>
      <c r="M452" t="str">
        <f t="shared" ca="1" si="17"/>
        <v/>
      </c>
      <c r="N452" t="str">
        <f t="shared" ca="1" si="16"/>
        <v/>
      </c>
    </row>
    <row r="453" spans="1:14" x14ac:dyDescent="0.2">
      <c r="A453" t="s">
        <v>193</v>
      </c>
      <c r="B453" t="s">
        <v>365</v>
      </c>
      <c r="C453" t="s">
        <v>463</v>
      </c>
      <c r="D453" t="s">
        <v>130</v>
      </c>
      <c r="E453" t="s">
        <v>255</v>
      </c>
      <c r="F453" t="s">
        <v>368</v>
      </c>
      <c r="G453" t="s">
        <v>355</v>
      </c>
      <c r="H453" t="s">
        <v>252</v>
      </c>
      <c r="I453" t="s">
        <v>255</v>
      </c>
      <c r="M453" t="str">
        <f t="shared" ca="1" si="17"/>
        <v/>
      </c>
      <c r="N453" t="str">
        <f t="shared" ca="1" si="16"/>
        <v/>
      </c>
    </row>
    <row r="454" spans="1:14" x14ac:dyDescent="0.2">
      <c r="A454" t="s">
        <v>194</v>
      </c>
      <c r="B454" t="s">
        <v>365</v>
      </c>
      <c r="C454" t="s">
        <v>463</v>
      </c>
      <c r="D454" t="s">
        <v>257</v>
      </c>
      <c r="E454" t="s">
        <v>255</v>
      </c>
      <c r="F454" t="s">
        <v>368</v>
      </c>
      <c r="G454" t="s">
        <v>355</v>
      </c>
      <c r="H454" t="s">
        <v>252</v>
      </c>
      <c r="I454" t="s">
        <v>255</v>
      </c>
      <c r="M454" t="str">
        <f t="shared" ca="1" si="17"/>
        <v/>
      </c>
      <c r="N454" t="str">
        <f t="shared" ca="1" si="16"/>
        <v/>
      </c>
    </row>
    <row r="455" spans="1:14" x14ac:dyDescent="0.2">
      <c r="A455" t="s">
        <v>215</v>
      </c>
      <c r="B455" t="s">
        <v>365</v>
      </c>
      <c r="C455" t="s">
        <v>463</v>
      </c>
      <c r="D455" t="s">
        <v>388</v>
      </c>
      <c r="E455" t="s">
        <v>255</v>
      </c>
      <c r="F455" t="s">
        <v>368</v>
      </c>
      <c r="G455" t="s">
        <v>355</v>
      </c>
      <c r="H455" t="s">
        <v>252</v>
      </c>
      <c r="I455" t="s">
        <v>255</v>
      </c>
      <c r="M455" t="str">
        <f t="shared" ca="1" si="17"/>
        <v/>
      </c>
      <c r="N455" t="str">
        <f t="shared" ca="1" si="16"/>
        <v/>
      </c>
    </row>
    <row r="456" spans="1:14" x14ac:dyDescent="0.2">
      <c r="A456" t="s">
        <v>216</v>
      </c>
      <c r="B456" t="s">
        <v>365</v>
      </c>
      <c r="C456" t="s">
        <v>463</v>
      </c>
      <c r="D456" t="s">
        <v>464</v>
      </c>
      <c r="E456" t="s">
        <v>255</v>
      </c>
      <c r="F456" t="s">
        <v>368</v>
      </c>
      <c r="G456" t="s">
        <v>355</v>
      </c>
      <c r="H456" t="s">
        <v>252</v>
      </c>
      <c r="I456" t="s">
        <v>255</v>
      </c>
      <c r="M456" t="str">
        <f t="shared" ca="1" si="17"/>
        <v/>
      </c>
      <c r="N456" t="str">
        <f t="shared" ca="1" si="16"/>
        <v/>
      </c>
    </row>
    <row r="457" spans="1:14" x14ac:dyDescent="0.2">
      <c r="A457" t="s">
        <v>217</v>
      </c>
      <c r="B457" t="s">
        <v>365</v>
      </c>
      <c r="C457" t="s">
        <v>463</v>
      </c>
      <c r="D457" t="s">
        <v>79</v>
      </c>
      <c r="E457" t="s">
        <v>255</v>
      </c>
      <c r="F457" t="s">
        <v>368</v>
      </c>
      <c r="G457" t="s">
        <v>355</v>
      </c>
      <c r="H457" t="s">
        <v>252</v>
      </c>
      <c r="I457" t="s">
        <v>255</v>
      </c>
      <c r="M457" t="str">
        <f t="shared" ca="1" si="17"/>
        <v/>
      </c>
      <c r="N457" t="str">
        <f t="shared" ca="1" si="16"/>
        <v/>
      </c>
    </row>
    <row r="458" spans="1:14" x14ac:dyDescent="0.2">
      <c r="A458" t="s">
        <v>1294</v>
      </c>
      <c r="B458" t="s">
        <v>365</v>
      </c>
      <c r="C458" t="s">
        <v>463</v>
      </c>
      <c r="D458" t="s">
        <v>130</v>
      </c>
      <c r="E458" t="s">
        <v>255</v>
      </c>
      <c r="F458" t="s">
        <v>368</v>
      </c>
      <c r="G458" t="s">
        <v>355</v>
      </c>
      <c r="H458" t="s">
        <v>252</v>
      </c>
      <c r="I458" t="s">
        <v>255</v>
      </c>
      <c r="M458" t="str">
        <f t="shared" ca="1" si="17"/>
        <v/>
      </c>
      <c r="N458" t="str">
        <f t="shared" ca="1" si="16"/>
        <v/>
      </c>
    </row>
    <row r="459" spans="1:14" x14ac:dyDescent="0.2">
      <c r="M459" t="str">
        <f t="shared" ca="1" si="17"/>
        <v/>
      </c>
      <c r="N459" t="str">
        <f t="shared" ca="1" si="16"/>
        <v/>
      </c>
    </row>
    <row r="460" spans="1:14" x14ac:dyDescent="0.2">
      <c r="M460" t="str">
        <f t="shared" ca="1" si="17"/>
        <v/>
      </c>
      <c r="N460" t="str">
        <f t="shared" ca="1" si="16"/>
        <v/>
      </c>
    </row>
    <row r="461" spans="1:14" x14ac:dyDescent="0.2">
      <c r="M461" t="str">
        <f t="shared" ref="M461:M492" ca="1" si="18">IFERROR(MATCH(OFFSET($G$1,ROW()-1,0,1,1),A:A,0),"")</f>
        <v/>
      </c>
      <c r="N461" t="str">
        <f t="shared" ca="1" si="16"/>
        <v/>
      </c>
    </row>
    <row r="462" spans="1:14" x14ac:dyDescent="0.2">
      <c r="M462" t="str">
        <f t="shared" ca="1" si="18"/>
        <v/>
      </c>
      <c r="N462" t="str">
        <f t="shared" ca="1" si="16"/>
        <v/>
      </c>
    </row>
    <row r="463" spans="1:14" x14ac:dyDescent="0.2">
      <c r="M463" t="str">
        <f t="shared" ca="1" si="18"/>
        <v/>
      </c>
      <c r="N463" t="str">
        <f t="shared" ca="1" si="16"/>
        <v/>
      </c>
    </row>
    <row r="464" spans="1:14" x14ac:dyDescent="0.2">
      <c r="M464" t="str">
        <f t="shared" ca="1" si="18"/>
        <v/>
      </c>
      <c r="N464" t="str">
        <f t="shared" ca="1" si="16"/>
        <v/>
      </c>
    </row>
    <row r="465" spans="13:14" x14ac:dyDescent="0.2">
      <c r="M465" t="str">
        <f t="shared" ca="1" si="18"/>
        <v/>
      </c>
      <c r="N465" t="str">
        <f t="shared" ca="1" si="16"/>
        <v/>
      </c>
    </row>
    <row r="466" spans="13:14" x14ac:dyDescent="0.2">
      <c r="M466" t="str">
        <f t="shared" ca="1" si="18"/>
        <v/>
      </c>
      <c r="N466" t="str">
        <f t="shared" ca="1" si="16"/>
        <v/>
      </c>
    </row>
    <row r="467" spans="13:14" x14ac:dyDescent="0.2">
      <c r="M467" t="str">
        <f t="shared" ca="1" si="18"/>
        <v/>
      </c>
      <c r="N467" t="str">
        <f t="shared" ca="1" si="16"/>
        <v/>
      </c>
    </row>
    <row r="468" spans="13:14" x14ac:dyDescent="0.2">
      <c r="M468" t="str">
        <f t="shared" ca="1" si="18"/>
        <v/>
      </c>
      <c r="N468" t="str">
        <f t="shared" ca="1" si="16"/>
        <v/>
      </c>
    </row>
    <row r="469" spans="13:14" x14ac:dyDescent="0.2">
      <c r="M469" t="str">
        <f t="shared" ca="1" si="18"/>
        <v/>
      </c>
      <c r="N469" t="str">
        <f t="shared" ca="1" si="16"/>
        <v/>
      </c>
    </row>
    <row r="470" spans="13:14" x14ac:dyDescent="0.2">
      <c r="M470" t="str">
        <f t="shared" ca="1" si="18"/>
        <v/>
      </c>
      <c r="N470" t="str">
        <f t="shared" ca="1" si="16"/>
        <v/>
      </c>
    </row>
    <row r="471" spans="13:14" x14ac:dyDescent="0.2">
      <c r="M471" t="str">
        <f t="shared" ca="1" si="18"/>
        <v/>
      </c>
      <c r="N471" t="str">
        <f t="shared" ca="1" si="16"/>
        <v/>
      </c>
    </row>
    <row r="472" spans="13:14" x14ac:dyDescent="0.2">
      <c r="M472" t="str">
        <f t="shared" ca="1" si="18"/>
        <v/>
      </c>
      <c r="N472" t="str">
        <f t="shared" ca="1" si="16"/>
        <v/>
      </c>
    </row>
    <row r="473" spans="13:14" x14ac:dyDescent="0.2">
      <c r="M473" t="str">
        <f t="shared" ca="1" si="18"/>
        <v/>
      </c>
      <c r="N473" t="str">
        <f t="shared" ca="1" si="16"/>
        <v/>
      </c>
    </row>
    <row r="474" spans="13:14" x14ac:dyDescent="0.2">
      <c r="M474" t="str">
        <f t="shared" ca="1" si="18"/>
        <v/>
      </c>
      <c r="N474" t="str">
        <f t="shared" ca="1" si="16"/>
        <v/>
      </c>
    </row>
    <row r="475" spans="13:14" x14ac:dyDescent="0.2">
      <c r="M475" t="str">
        <f t="shared" ca="1" si="18"/>
        <v/>
      </c>
      <c r="N475" t="str">
        <f t="shared" ca="1" si="16"/>
        <v/>
      </c>
    </row>
    <row r="476" spans="13:14" x14ac:dyDescent="0.2">
      <c r="M476" t="str">
        <f t="shared" ca="1" si="18"/>
        <v/>
      </c>
      <c r="N476" t="str">
        <f t="shared" ca="1" si="16"/>
        <v/>
      </c>
    </row>
    <row r="477" spans="13:14" x14ac:dyDescent="0.2">
      <c r="M477" t="str">
        <f t="shared" ca="1" si="18"/>
        <v/>
      </c>
      <c r="N477" t="str">
        <f t="shared" ca="1" si="16"/>
        <v/>
      </c>
    </row>
    <row r="478" spans="13:14" x14ac:dyDescent="0.2">
      <c r="M478" t="str">
        <f t="shared" ca="1" si="18"/>
        <v/>
      </c>
      <c r="N478" t="str">
        <f t="shared" ca="1" si="16"/>
        <v/>
      </c>
    </row>
    <row r="479" spans="13:14" x14ac:dyDescent="0.2">
      <c r="M479" t="str">
        <f t="shared" ca="1" si="18"/>
        <v/>
      </c>
      <c r="N479" t="str">
        <f t="shared" ca="1" si="16"/>
        <v/>
      </c>
    </row>
    <row r="480" spans="13:14" x14ac:dyDescent="0.2">
      <c r="M480" t="str">
        <f t="shared" ca="1" si="18"/>
        <v/>
      </c>
      <c r="N480" t="str">
        <f t="shared" ca="1" si="16"/>
        <v/>
      </c>
    </row>
    <row r="481" spans="13:14" x14ac:dyDescent="0.2">
      <c r="M481" t="str">
        <f t="shared" ca="1" si="18"/>
        <v/>
      </c>
      <c r="N481" t="str">
        <f t="shared" ca="1" si="16"/>
        <v/>
      </c>
    </row>
    <row r="482" spans="13:14" x14ac:dyDescent="0.2">
      <c r="M482" t="str">
        <f t="shared" ca="1" si="18"/>
        <v/>
      </c>
      <c r="N482" t="str">
        <f t="shared" ca="1" si="16"/>
        <v/>
      </c>
    </row>
    <row r="483" spans="13:14" x14ac:dyDescent="0.2">
      <c r="M483" t="str">
        <f t="shared" ca="1" si="18"/>
        <v/>
      </c>
      <c r="N483" t="str">
        <f t="shared" ca="1" si="16"/>
        <v/>
      </c>
    </row>
    <row r="484" spans="13:14" x14ac:dyDescent="0.2">
      <c r="M484" t="str">
        <f t="shared" ca="1" si="18"/>
        <v/>
      </c>
      <c r="N484" t="str">
        <f t="shared" ca="1" si="16"/>
        <v/>
      </c>
    </row>
    <row r="485" spans="13:14" x14ac:dyDescent="0.2">
      <c r="M485" t="str">
        <f t="shared" ca="1" si="18"/>
        <v/>
      </c>
      <c r="N485" t="str">
        <f t="shared" ca="1" si="16"/>
        <v/>
      </c>
    </row>
    <row r="486" spans="13:14" x14ac:dyDescent="0.2">
      <c r="M486" t="str">
        <f t="shared" ca="1" si="18"/>
        <v/>
      </c>
      <c r="N486" t="str">
        <f t="shared" ca="1" si="16"/>
        <v/>
      </c>
    </row>
    <row r="487" spans="13:14" x14ac:dyDescent="0.2">
      <c r="M487" t="str">
        <f t="shared" ca="1" si="18"/>
        <v/>
      </c>
      <c r="N487" t="str">
        <f t="shared" ca="1" si="16"/>
        <v/>
      </c>
    </row>
    <row r="488" spans="13:14" x14ac:dyDescent="0.2">
      <c r="M488" t="str">
        <f t="shared" ca="1" si="18"/>
        <v/>
      </c>
      <c r="N488" t="str">
        <f t="shared" ca="1" si="16"/>
        <v/>
      </c>
    </row>
    <row r="489" spans="13:14" x14ac:dyDescent="0.2">
      <c r="M489" t="str">
        <f t="shared" ca="1" si="18"/>
        <v/>
      </c>
      <c r="N489" t="str">
        <f t="shared" ref="N489:N552" ca="1" si="19">IFERROR(MATCH(OFFSET($G$1,ROW()-1,0,1,1),A:A,1)-M489+1,"")</f>
        <v/>
      </c>
    </row>
    <row r="490" spans="13:14" x14ac:dyDescent="0.2">
      <c r="M490" t="str">
        <f t="shared" ca="1" si="18"/>
        <v/>
      </c>
      <c r="N490" t="str">
        <f t="shared" ca="1" si="19"/>
        <v/>
      </c>
    </row>
    <row r="491" spans="13:14" x14ac:dyDescent="0.2">
      <c r="M491" t="str">
        <f t="shared" ca="1" si="18"/>
        <v/>
      </c>
      <c r="N491" t="str">
        <f t="shared" ca="1" si="19"/>
        <v/>
      </c>
    </row>
    <row r="492" spans="13:14" x14ac:dyDescent="0.2">
      <c r="M492" t="str">
        <f t="shared" ca="1" si="18"/>
        <v/>
      </c>
      <c r="N492" t="str">
        <f t="shared" ca="1" si="19"/>
        <v/>
      </c>
    </row>
    <row r="493" spans="13:14" x14ac:dyDescent="0.2">
      <c r="M493" t="str">
        <f t="shared" ref="M493:M524" ca="1" si="20">IFERROR(MATCH(OFFSET($G$1,ROW()-1,0,1,1),A:A,0),"")</f>
        <v/>
      </c>
      <c r="N493" t="str">
        <f t="shared" ca="1" si="19"/>
        <v/>
      </c>
    </row>
    <row r="494" spans="13:14" x14ac:dyDescent="0.2">
      <c r="M494" t="str">
        <f t="shared" ca="1" si="20"/>
        <v/>
      </c>
      <c r="N494" t="str">
        <f t="shared" ca="1" si="19"/>
        <v/>
      </c>
    </row>
    <row r="495" spans="13:14" x14ac:dyDescent="0.2">
      <c r="M495" t="str">
        <f t="shared" ca="1" si="20"/>
        <v/>
      </c>
      <c r="N495" t="str">
        <f t="shared" ca="1" si="19"/>
        <v/>
      </c>
    </row>
    <row r="496" spans="13:14" x14ac:dyDescent="0.2">
      <c r="M496" t="str">
        <f t="shared" ca="1" si="20"/>
        <v/>
      </c>
      <c r="N496" t="str">
        <f t="shared" ca="1" si="19"/>
        <v/>
      </c>
    </row>
    <row r="497" spans="13:14" x14ac:dyDescent="0.2">
      <c r="M497" t="str">
        <f t="shared" ca="1" si="20"/>
        <v/>
      </c>
      <c r="N497" t="str">
        <f t="shared" ca="1" si="19"/>
        <v/>
      </c>
    </row>
    <row r="498" spans="13:14" x14ac:dyDescent="0.2">
      <c r="M498" t="str">
        <f t="shared" ca="1" si="20"/>
        <v/>
      </c>
      <c r="N498" t="str">
        <f t="shared" ca="1" si="19"/>
        <v/>
      </c>
    </row>
    <row r="499" spans="13:14" x14ac:dyDescent="0.2">
      <c r="M499" t="str">
        <f t="shared" ca="1" si="20"/>
        <v/>
      </c>
      <c r="N499" t="str">
        <f t="shared" ca="1" si="19"/>
        <v/>
      </c>
    </row>
    <row r="500" spans="13:14" x14ac:dyDescent="0.2">
      <c r="M500" t="str">
        <f t="shared" ca="1" si="20"/>
        <v/>
      </c>
      <c r="N500" t="str">
        <f t="shared" ca="1" si="19"/>
        <v/>
      </c>
    </row>
    <row r="501" spans="13:14" x14ac:dyDescent="0.2">
      <c r="M501" t="str">
        <f t="shared" ca="1" si="20"/>
        <v/>
      </c>
      <c r="N501" t="str">
        <f t="shared" ca="1" si="19"/>
        <v/>
      </c>
    </row>
    <row r="502" spans="13:14" x14ac:dyDescent="0.2">
      <c r="M502" t="str">
        <f t="shared" ca="1" si="20"/>
        <v/>
      </c>
      <c r="N502" t="str">
        <f t="shared" ca="1" si="19"/>
        <v/>
      </c>
    </row>
    <row r="503" spans="13:14" x14ac:dyDescent="0.2">
      <c r="M503" t="str">
        <f t="shared" ca="1" si="20"/>
        <v/>
      </c>
      <c r="N503" t="str">
        <f t="shared" ca="1" si="19"/>
        <v/>
      </c>
    </row>
    <row r="504" spans="13:14" x14ac:dyDescent="0.2">
      <c r="M504" t="str">
        <f t="shared" ca="1" si="20"/>
        <v/>
      </c>
      <c r="N504" t="str">
        <f t="shared" ca="1" si="19"/>
        <v/>
      </c>
    </row>
    <row r="505" spans="13:14" x14ac:dyDescent="0.2">
      <c r="M505" t="str">
        <f t="shared" ca="1" si="20"/>
        <v/>
      </c>
      <c r="N505" t="str">
        <f t="shared" ca="1" si="19"/>
        <v/>
      </c>
    </row>
    <row r="506" spans="13:14" x14ac:dyDescent="0.2">
      <c r="M506" t="str">
        <f t="shared" ca="1" si="20"/>
        <v/>
      </c>
      <c r="N506" t="str">
        <f t="shared" ca="1" si="19"/>
        <v/>
      </c>
    </row>
    <row r="507" spans="13:14" x14ac:dyDescent="0.2">
      <c r="M507" t="str">
        <f t="shared" ca="1" si="20"/>
        <v/>
      </c>
      <c r="N507" t="str">
        <f t="shared" ca="1" si="19"/>
        <v/>
      </c>
    </row>
    <row r="508" spans="13:14" x14ac:dyDescent="0.2">
      <c r="M508" t="str">
        <f t="shared" ca="1" si="20"/>
        <v/>
      </c>
      <c r="N508" t="str">
        <f t="shared" ca="1" si="19"/>
        <v/>
      </c>
    </row>
    <row r="509" spans="13:14" x14ac:dyDescent="0.2">
      <c r="M509" t="str">
        <f t="shared" ca="1" si="20"/>
        <v/>
      </c>
      <c r="N509" t="str">
        <f t="shared" ca="1" si="19"/>
        <v/>
      </c>
    </row>
    <row r="510" spans="13:14" x14ac:dyDescent="0.2">
      <c r="M510" t="str">
        <f t="shared" ca="1" si="20"/>
        <v/>
      </c>
      <c r="N510" t="str">
        <f t="shared" ca="1" si="19"/>
        <v/>
      </c>
    </row>
    <row r="511" spans="13:14" x14ac:dyDescent="0.2">
      <c r="M511" t="str">
        <f t="shared" ca="1" si="20"/>
        <v/>
      </c>
      <c r="N511" t="str">
        <f t="shared" ca="1" si="19"/>
        <v/>
      </c>
    </row>
    <row r="512" spans="13:14" x14ac:dyDescent="0.2">
      <c r="M512" t="str">
        <f t="shared" ca="1" si="20"/>
        <v/>
      </c>
      <c r="N512" t="str">
        <f t="shared" ca="1" si="19"/>
        <v/>
      </c>
    </row>
    <row r="513" spans="13:14" x14ac:dyDescent="0.2">
      <c r="M513" t="str">
        <f t="shared" ca="1" si="20"/>
        <v/>
      </c>
      <c r="N513" t="str">
        <f t="shared" ca="1" si="19"/>
        <v/>
      </c>
    </row>
    <row r="514" spans="13:14" x14ac:dyDescent="0.2">
      <c r="M514" t="str">
        <f t="shared" ca="1" si="20"/>
        <v/>
      </c>
      <c r="N514" t="str">
        <f t="shared" ca="1" si="19"/>
        <v/>
      </c>
    </row>
    <row r="515" spans="13:14" x14ac:dyDescent="0.2">
      <c r="M515" t="str">
        <f t="shared" ca="1" si="20"/>
        <v/>
      </c>
      <c r="N515" t="str">
        <f t="shared" ca="1" si="19"/>
        <v/>
      </c>
    </row>
    <row r="516" spans="13:14" x14ac:dyDescent="0.2">
      <c r="M516" t="str">
        <f t="shared" ca="1" si="20"/>
        <v/>
      </c>
      <c r="N516" t="str">
        <f t="shared" ca="1" si="19"/>
        <v/>
      </c>
    </row>
    <row r="517" spans="13:14" x14ac:dyDescent="0.2">
      <c r="M517" t="str">
        <f t="shared" ca="1" si="20"/>
        <v/>
      </c>
      <c r="N517" t="str">
        <f t="shared" ca="1" si="19"/>
        <v/>
      </c>
    </row>
    <row r="518" spans="13:14" x14ac:dyDescent="0.2">
      <c r="M518" t="str">
        <f t="shared" ca="1" si="20"/>
        <v/>
      </c>
      <c r="N518" t="str">
        <f t="shared" ca="1" si="19"/>
        <v/>
      </c>
    </row>
    <row r="519" spans="13:14" x14ac:dyDescent="0.2">
      <c r="M519" t="str">
        <f t="shared" ca="1" si="20"/>
        <v/>
      </c>
      <c r="N519" t="str">
        <f t="shared" ca="1" si="19"/>
        <v/>
      </c>
    </row>
    <row r="520" spans="13:14" x14ac:dyDescent="0.2">
      <c r="M520" t="str">
        <f t="shared" ca="1" si="20"/>
        <v/>
      </c>
      <c r="N520" t="str">
        <f t="shared" ca="1" si="19"/>
        <v/>
      </c>
    </row>
    <row r="521" spans="13:14" x14ac:dyDescent="0.2">
      <c r="M521" t="str">
        <f t="shared" ca="1" si="20"/>
        <v/>
      </c>
      <c r="N521" t="str">
        <f t="shared" ca="1" si="19"/>
        <v/>
      </c>
    </row>
    <row r="522" spans="13:14" x14ac:dyDescent="0.2">
      <c r="M522" t="str">
        <f t="shared" ca="1" si="20"/>
        <v/>
      </c>
      <c r="N522" t="str">
        <f t="shared" ca="1" si="19"/>
        <v/>
      </c>
    </row>
    <row r="523" spans="13:14" x14ac:dyDescent="0.2">
      <c r="M523" t="str">
        <f t="shared" ca="1" si="20"/>
        <v/>
      </c>
      <c r="N523" t="str">
        <f t="shared" ca="1" si="19"/>
        <v/>
      </c>
    </row>
    <row r="524" spans="13:14" x14ac:dyDescent="0.2">
      <c r="M524" t="str">
        <f t="shared" ca="1" si="20"/>
        <v/>
      </c>
      <c r="N524" t="str">
        <f t="shared" ca="1" si="19"/>
        <v/>
      </c>
    </row>
    <row r="525" spans="13:14" x14ac:dyDescent="0.2">
      <c r="M525" t="str">
        <f t="shared" ref="M525:M556" ca="1" si="21">IFERROR(MATCH(OFFSET($G$1,ROW()-1,0,1,1),A:A,0),"")</f>
        <v/>
      </c>
      <c r="N525" t="str">
        <f t="shared" ca="1" si="19"/>
        <v/>
      </c>
    </row>
    <row r="526" spans="13:14" x14ac:dyDescent="0.2">
      <c r="M526" t="str">
        <f t="shared" ca="1" si="21"/>
        <v/>
      </c>
      <c r="N526" t="str">
        <f t="shared" ca="1" si="19"/>
        <v/>
      </c>
    </row>
    <row r="527" spans="13:14" x14ac:dyDescent="0.2">
      <c r="M527" t="str">
        <f t="shared" ca="1" si="21"/>
        <v/>
      </c>
      <c r="N527" t="str">
        <f t="shared" ca="1" si="19"/>
        <v/>
      </c>
    </row>
    <row r="528" spans="13:14" x14ac:dyDescent="0.2">
      <c r="M528" t="str">
        <f t="shared" ca="1" si="21"/>
        <v/>
      </c>
      <c r="N528" t="str">
        <f t="shared" ca="1" si="19"/>
        <v/>
      </c>
    </row>
    <row r="529" spans="13:14" x14ac:dyDescent="0.2">
      <c r="M529" t="str">
        <f t="shared" ca="1" si="21"/>
        <v/>
      </c>
      <c r="N529" t="str">
        <f t="shared" ca="1" si="19"/>
        <v/>
      </c>
    </row>
    <row r="530" spans="13:14" x14ac:dyDescent="0.2">
      <c r="M530" t="str">
        <f t="shared" ca="1" si="21"/>
        <v/>
      </c>
      <c r="N530" t="str">
        <f t="shared" ca="1" si="19"/>
        <v/>
      </c>
    </row>
    <row r="531" spans="13:14" x14ac:dyDescent="0.2">
      <c r="M531" t="str">
        <f t="shared" ca="1" si="21"/>
        <v/>
      </c>
      <c r="N531" t="str">
        <f t="shared" ca="1" si="19"/>
        <v/>
      </c>
    </row>
    <row r="532" spans="13:14" x14ac:dyDescent="0.2">
      <c r="M532" t="str">
        <f t="shared" ca="1" si="21"/>
        <v/>
      </c>
      <c r="N532" t="str">
        <f t="shared" ca="1" si="19"/>
        <v/>
      </c>
    </row>
    <row r="533" spans="13:14" x14ac:dyDescent="0.2">
      <c r="M533" t="str">
        <f t="shared" ca="1" si="21"/>
        <v/>
      </c>
      <c r="N533" t="str">
        <f t="shared" ca="1" si="19"/>
        <v/>
      </c>
    </row>
    <row r="534" spans="13:14" x14ac:dyDescent="0.2">
      <c r="M534" t="str">
        <f t="shared" ca="1" si="21"/>
        <v/>
      </c>
      <c r="N534" t="str">
        <f t="shared" ca="1" si="19"/>
        <v/>
      </c>
    </row>
    <row r="535" spans="13:14" x14ac:dyDescent="0.2">
      <c r="M535" t="str">
        <f t="shared" ca="1" si="21"/>
        <v/>
      </c>
      <c r="N535" t="str">
        <f t="shared" ca="1" si="19"/>
        <v/>
      </c>
    </row>
    <row r="536" spans="13:14" x14ac:dyDescent="0.2">
      <c r="M536" t="str">
        <f t="shared" ca="1" si="21"/>
        <v/>
      </c>
      <c r="N536" t="str">
        <f t="shared" ca="1" si="19"/>
        <v/>
      </c>
    </row>
    <row r="537" spans="13:14" x14ac:dyDescent="0.2">
      <c r="M537" t="str">
        <f t="shared" ca="1" si="21"/>
        <v/>
      </c>
      <c r="N537" t="str">
        <f t="shared" ca="1" si="19"/>
        <v/>
      </c>
    </row>
    <row r="538" spans="13:14" x14ac:dyDescent="0.2">
      <c r="M538" t="str">
        <f t="shared" ca="1" si="21"/>
        <v/>
      </c>
      <c r="N538" t="str">
        <f t="shared" ca="1" si="19"/>
        <v/>
      </c>
    </row>
    <row r="539" spans="13:14" x14ac:dyDescent="0.2">
      <c r="M539" t="str">
        <f t="shared" ca="1" si="21"/>
        <v/>
      </c>
      <c r="N539" t="str">
        <f t="shared" ca="1" si="19"/>
        <v/>
      </c>
    </row>
    <row r="540" spans="13:14" x14ac:dyDescent="0.2">
      <c r="M540" t="str">
        <f t="shared" ca="1" si="21"/>
        <v/>
      </c>
      <c r="N540" t="str">
        <f t="shared" ca="1" si="19"/>
        <v/>
      </c>
    </row>
    <row r="541" spans="13:14" x14ac:dyDescent="0.2">
      <c r="M541" t="str">
        <f t="shared" ca="1" si="21"/>
        <v/>
      </c>
      <c r="N541" t="str">
        <f t="shared" ca="1" si="19"/>
        <v/>
      </c>
    </row>
    <row r="542" spans="13:14" x14ac:dyDescent="0.2">
      <c r="M542" t="str">
        <f t="shared" ca="1" si="21"/>
        <v/>
      </c>
      <c r="N542" t="str">
        <f t="shared" ca="1" si="19"/>
        <v/>
      </c>
    </row>
    <row r="543" spans="13:14" x14ac:dyDescent="0.2">
      <c r="M543" t="str">
        <f t="shared" ca="1" si="21"/>
        <v/>
      </c>
      <c r="N543" t="str">
        <f t="shared" ca="1" si="19"/>
        <v/>
      </c>
    </row>
    <row r="544" spans="13:14" x14ac:dyDescent="0.2">
      <c r="M544" t="str">
        <f t="shared" ca="1" si="21"/>
        <v/>
      </c>
      <c r="N544" t="str">
        <f t="shared" ca="1" si="19"/>
        <v/>
      </c>
    </row>
    <row r="545" spans="13:14" x14ac:dyDescent="0.2">
      <c r="M545" t="str">
        <f t="shared" ca="1" si="21"/>
        <v/>
      </c>
      <c r="N545" t="str">
        <f t="shared" ca="1" si="19"/>
        <v/>
      </c>
    </row>
    <row r="546" spans="13:14" x14ac:dyDescent="0.2">
      <c r="M546" t="str">
        <f t="shared" ca="1" si="21"/>
        <v/>
      </c>
      <c r="N546" t="str">
        <f t="shared" ca="1" si="19"/>
        <v/>
      </c>
    </row>
    <row r="547" spans="13:14" x14ac:dyDescent="0.2">
      <c r="M547" t="str">
        <f t="shared" ca="1" si="21"/>
        <v/>
      </c>
      <c r="N547" t="str">
        <f t="shared" ca="1" si="19"/>
        <v/>
      </c>
    </row>
    <row r="548" spans="13:14" x14ac:dyDescent="0.2">
      <c r="M548" t="str">
        <f t="shared" ca="1" si="21"/>
        <v/>
      </c>
      <c r="N548" t="str">
        <f t="shared" ca="1" si="19"/>
        <v/>
      </c>
    </row>
    <row r="549" spans="13:14" x14ac:dyDescent="0.2">
      <c r="M549" t="str">
        <f t="shared" ca="1" si="21"/>
        <v/>
      </c>
      <c r="N549" t="str">
        <f t="shared" ca="1" si="19"/>
        <v/>
      </c>
    </row>
    <row r="550" spans="13:14" x14ac:dyDescent="0.2">
      <c r="M550" t="str">
        <f t="shared" ca="1" si="21"/>
        <v/>
      </c>
      <c r="N550" t="str">
        <f t="shared" ca="1" si="19"/>
        <v/>
      </c>
    </row>
    <row r="551" spans="13:14" x14ac:dyDescent="0.2">
      <c r="M551" t="str">
        <f t="shared" ca="1" si="21"/>
        <v/>
      </c>
      <c r="N551" t="str">
        <f t="shared" ca="1" si="19"/>
        <v/>
      </c>
    </row>
    <row r="552" spans="13:14" x14ac:dyDescent="0.2">
      <c r="M552" t="str">
        <f t="shared" ca="1" si="21"/>
        <v/>
      </c>
      <c r="N552" t="str">
        <f t="shared" ca="1" si="19"/>
        <v/>
      </c>
    </row>
    <row r="553" spans="13:14" x14ac:dyDescent="0.2">
      <c r="M553" t="str">
        <f t="shared" ca="1" si="21"/>
        <v/>
      </c>
      <c r="N553" t="str">
        <f t="shared" ref="N553:N563" ca="1" si="22">IFERROR(MATCH(OFFSET($G$1,ROW()-1,0,1,1),A:A,1)-M553+1,"")</f>
        <v/>
      </c>
    </row>
    <row r="554" spans="13:14" x14ac:dyDescent="0.2">
      <c r="M554" t="str">
        <f t="shared" ca="1" si="21"/>
        <v/>
      </c>
      <c r="N554" t="str">
        <f t="shared" ca="1" si="22"/>
        <v/>
      </c>
    </row>
    <row r="555" spans="13:14" x14ac:dyDescent="0.2">
      <c r="M555" t="str">
        <f t="shared" ca="1" si="21"/>
        <v/>
      </c>
      <c r="N555" t="str">
        <f t="shared" ca="1" si="22"/>
        <v/>
      </c>
    </row>
    <row r="556" spans="13:14" x14ac:dyDescent="0.2">
      <c r="M556" t="str">
        <f t="shared" ca="1" si="21"/>
        <v/>
      </c>
      <c r="N556" t="str">
        <f t="shared" ca="1" si="22"/>
        <v/>
      </c>
    </row>
    <row r="557" spans="13:14" x14ac:dyDescent="0.2">
      <c r="M557" t="str">
        <f t="shared" ref="M557:M563" ca="1" si="23">IFERROR(MATCH(OFFSET($G$1,ROW()-1,0,1,1),A:A,0),"")</f>
        <v/>
      </c>
      <c r="N557" t="str">
        <f t="shared" ca="1" si="22"/>
        <v/>
      </c>
    </row>
    <row r="558" spans="13:14" x14ac:dyDescent="0.2">
      <c r="M558" t="str">
        <f t="shared" ca="1" si="23"/>
        <v/>
      </c>
      <c r="N558" t="str">
        <f t="shared" ca="1" si="22"/>
        <v/>
      </c>
    </row>
    <row r="559" spans="13:14" x14ac:dyDescent="0.2">
      <c r="M559" t="str">
        <f t="shared" ca="1" si="23"/>
        <v/>
      </c>
      <c r="N559" t="str">
        <f t="shared" ca="1" si="22"/>
        <v/>
      </c>
    </row>
    <row r="560" spans="13:14" x14ac:dyDescent="0.2">
      <c r="M560" t="str">
        <f t="shared" ca="1" si="23"/>
        <v/>
      </c>
      <c r="N560" t="str">
        <f t="shared" ca="1" si="22"/>
        <v/>
      </c>
    </row>
    <row r="561" spans="13:14" x14ac:dyDescent="0.2">
      <c r="M561" t="str">
        <f t="shared" ca="1" si="23"/>
        <v/>
      </c>
      <c r="N561" t="str">
        <f t="shared" ca="1" si="22"/>
        <v/>
      </c>
    </row>
    <row r="562" spans="13:14" x14ac:dyDescent="0.2">
      <c r="M562" t="str">
        <f t="shared" ca="1" si="23"/>
        <v/>
      </c>
      <c r="N562" t="str">
        <f t="shared" ca="1" si="22"/>
        <v/>
      </c>
    </row>
    <row r="563" spans="13:14" x14ac:dyDescent="0.2">
      <c r="M563" t="str">
        <f t="shared" ca="1" si="23"/>
        <v/>
      </c>
      <c r="N563" t="str">
        <f t="shared" ca="1" si="22"/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917F-C736-4877-910A-59B115249340}">
  <sheetPr codeName="Sht_SCComponent"/>
  <dimension ref="A1:G563"/>
  <sheetViews>
    <sheetView topLeftCell="A289" workbookViewId="0">
      <selection activeCell="G2" sqref="G2"/>
    </sheetView>
  </sheetViews>
  <sheetFormatPr defaultRowHeight="14.25" x14ac:dyDescent="0.2"/>
  <cols>
    <col min="1" max="1" width="30.75" bestFit="1" customWidth="1"/>
    <col min="2" max="2" width="41.25" bestFit="1" customWidth="1"/>
    <col min="3" max="3" width="19.75" bestFit="1" customWidth="1"/>
    <col min="4" max="4" width="47.875" bestFit="1" customWidth="1"/>
  </cols>
  <sheetData>
    <row r="1" spans="1:7" x14ac:dyDescent="0.2">
      <c r="A1" t="s">
        <v>248</v>
      </c>
      <c r="B1" t="s">
        <v>0</v>
      </c>
      <c r="C1" t="s">
        <v>358</v>
      </c>
      <c r="G1">
        <f ca="1">IFERROR(MATCH(OFFSET($A$1,ROW()-1,0,1,1),A:A,1)-F1+1,"")</f>
        <v>10</v>
      </c>
    </row>
    <row r="2" spans="1:7" x14ac:dyDescent="0.2">
      <c r="A2" t="s">
        <v>1205</v>
      </c>
      <c r="B2" t="s">
        <v>1270</v>
      </c>
      <c r="C2" t="s">
        <v>1270</v>
      </c>
      <c r="F2">
        <f t="shared" ref="F2:F65" ca="1" si="0">IFERROR(MATCH(OFFSET($A$1,ROW()-1,0,1,1),A:A,0),"")</f>
        <v>2</v>
      </c>
      <c r="G2">
        <f t="shared" ref="G2:G65" ca="1" si="1">COUNTIF(A:A,OFFSET($A$1,ROW()-1,0))</f>
        <v>1</v>
      </c>
    </row>
    <row r="3" spans="1:7" x14ac:dyDescent="0.2">
      <c r="A3" t="s">
        <v>251</v>
      </c>
      <c r="B3" t="s">
        <v>11</v>
      </c>
      <c r="C3" t="s">
        <v>130</v>
      </c>
      <c r="F3">
        <f t="shared" ca="1" si="0"/>
        <v>3</v>
      </c>
      <c r="G3">
        <f t="shared" ca="1" si="1"/>
        <v>1</v>
      </c>
    </row>
    <row r="4" spans="1:7" x14ac:dyDescent="0.2">
      <c r="A4" t="s">
        <v>254</v>
      </c>
      <c r="B4" t="s">
        <v>12</v>
      </c>
      <c r="C4" t="s">
        <v>130</v>
      </c>
      <c r="F4">
        <f t="shared" ca="1" si="0"/>
        <v>4</v>
      </c>
      <c r="G4">
        <f t="shared" ca="1" si="1"/>
        <v>1</v>
      </c>
    </row>
    <row r="5" spans="1:7" x14ac:dyDescent="0.2">
      <c r="A5" t="s">
        <v>256</v>
      </c>
      <c r="B5" t="s">
        <v>17</v>
      </c>
      <c r="C5" t="s">
        <v>130</v>
      </c>
      <c r="F5">
        <f t="shared" ca="1" si="0"/>
        <v>5</v>
      </c>
      <c r="G5">
        <f t="shared" ca="1" si="1"/>
        <v>2</v>
      </c>
    </row>
    <row r="6" spans="1:7" x14ac:dyDescent="0.2">
      <c r="A6" t="s">
        <v>256</v>
      </c>
      <c r="B6" t="s">
        <v>130</v>
      </c>
      <c r="C6" t="s">
        <v>130</v>
      </c>
      <c r="F6">
        <f t="shared" ca="1" si="0"/>
        <v>5</v>
      </c>
      <c r="G6">
        <f t="shared" ca="1" si="1"/>
        <v>2</v>
      </c>
    </row>
    <row r="7" spans="1:7" x14ac:dyDescent="0.2">
      <c r="A7" t="s">
        <v>259</v>
      </c>
      <c r="B7" t="s">
        <v>18</v>
      </c>
      <c r="C7" t="s">
        <v>130</v>
      </c>
      <c r="F7">
        <f t="shared" ca="1" si="0"/>
        <v>7</v>
      </c>
      <c r="G7">
        <f t="shared" ca="1" si="1"/>
        <v>3</v>
      </c>
    </row>
    <row r="8" spans="1:7" x14ac:dyDescent="0.2">
      <c r="A8" t="s">
        <v>259</v>
      </c>
      <c r="B8" t="s">
        <v>19</v>
      </c>
      <c r="C8" t="s">
        <v>130</v>
      </c>
      <c r="F8">
        <f t="shared" ca="1" si="0"/>
        <v>7</v>
      </c>
      <c r="G8">
        <f t="shared" ca="1" si="1"/>
        <v>3</v>
      </c>
    </row>
    <row r="9" spans="1:7" x14ac:dyDescent="0.2">
      <c r="A9" t="s">
        <v>259</v>
      </c>
      <c r="B9" t="s">
        <v>22</v>
      </c>
      <c r="C9" t="s">
        <v>130</v>
      </c>
      <c r="F9">
        <f t="shared" ca="1" si="0"/>
        <v>7</v>
      </c>
      <c r="G9">
        <f t="shared" ca="1" si="1"/>
        <v>3</v>
      </c>
    </row>
    <row r="10" spans="1:7" x14ac:dyDescent="0.2">
      <c r="A10" t="s">
        <v>262</v>
      </c>
      <c r="B10" t="s">
        <v>29</v>
      </c>
      <c r="C10" t="s">
        <v>130</v>
      </c>
      <c r="F10">
        <f t="shared" ca="1" si="0"/>
        <v>10</v>
      </c>
      <c r="G10">
        <f t="shared" ca="1" si="1"/>
        <v>2</v>
      </c>
    </row>
    <row r="11" spans="1:7" x14ac:dyDescent="0.2">
      <c r="A11" t="s">
        <v>262</v>
      </c>
      <c r="B11" t="s">
        <v>166</v>
      </c>
      <c r="C11" t="s">
        <v>376</v>
      </c>
      <c r="F11">
        <f t="shared" ca="1" si="0"/>
        <v>10</v>
      </c>
      <c r="G11">
        <f t="shared" ca="1" si="1"/>
        <v>2</v>
      </c>
    </row>
    <row r="12" spans="1:7" x14ac:dyDescent="0.2">
      <c r="A12" t="s">
        <v>870</v>
      </c>
      <c r="B12" t="s">
        <v>1165</v>
      </c>
      <c r="C12" t="s">
        <v>130</v>
      </c>
      <c r="F12">
        <f t="shared" ca="1" si="0"/>
        <v>12</v>
      </c>
      <c r="G12">
        <f t="shared" ca="1" si="1"/>
        <v>1</v>
      </c>
    </row>
    <row r="13" spans="1:7" x14ac:dyDescent="0.2">
      <c r="A13" t="s">
        <v>265</v>
      </c>
      <c r="B13" t="s">
        <v>30</v>
      </c>
      <c r="C13" t="s">
        <v>130</v>
      </c>
      <c r="F13">
        <f t="shared" ca="1" si="0"/>
        <v>13</v>
      </c>
      <c r="G13">
        <f t="shared" ca="1" si="1"/>
        <v>1</v>
      </c>
    </row>
    <row r="14" spans="1:7" x14ac:dyDescent="0.2">
      <c r="A14" t="s">
        <v>266</v>
      </c>
      <c r="B14" t="s">
        <v>35</v>
      </c>
      <c r="C14" t="s">
        <v>130</v>
      </c>
      <c r="F14">
        <f t="shared" ca="1" si="0"/>
        <v>14</v>
      </c>
      <c r="G14">
        <f t="shared" ca="1" si="1"/>
        <v>1</v>
      </c>
    </row>
    <row r="15" spans="1:7" x14ac:dyDescent="0.2">
      <c r="A15" t="s">
        <v>1149</v>
      </c>
      <c r="B15" t="s">
        <v>1167</v>
      </c>
      <c r="C15" t="s">
        <v>130</v>
      </c>
      <c r="F15">
        <f t="shared" ca="1" si="0"/>
        <v>15</v>
      </c>
      <c r="G15">
        <f t="shared" ca="1" si="1"/>
        <v>3</v>
      </c>
    </row>
    <row r="16" spans="1:7" x14ac:dyDescent="0.2">
      <c r="A16" t="s">
        <v>1149</v>
      </c>
      <c r="B16" t="s">
        <v>1168</v>
      </c>
      <c r="C16" t="s">
        <v>130</v>
      </c>
      <c r="F16">
        <f t="shared" ca="1" si="0"/>
        <v>15</v>
      </c>
      <c r="G16">
        <f t="shared" ca="1" si="1"/>
        <v>3</v>
      </c>
    </row>
    <row r="17" spans="1:7" x14ac:dyDescent="0.2">
      <c r="A17" t="s">
        <v>1149</v>
      </c>
      <c r="B17" t="s">
        <v>1169</v>
      </c>
      <c r="C17" t="s">
        <v>130</v>
      </c>
      <c r="F17">
        <f t="shared" ca="1" si="0"/>
        <v>15</v>
      </c>
      <c r="G17">
        <f t="shared" ca="1" si="1"/>
        <v>3</v>
      </c>
    </row>
    <row r="18" spans="1:7" x14ac:dyDescent="0.2">
      <c r="A18" t="s">
        <v>267</v>
      </c>
      <c r="B18" t="s">
        <v>41</v>
      </c>
      <c r="C18" t="s">
        <v>130</v>
      </c>
      <c r="F18">
        <f t="shared" ca="1" si="0"/>
        <v>18</v>
      </c>
      <c r="G18">
        <f t="shared" ca="1" si="1"/>
        <v>1</v>
      </c>
    </row>
    <row r="19" spans="1:7" x14ac:dyDescent="0.2">
      <c r="A19" t="s">
        <v>268</v>
      </c>
      <c r="B19" t="s">
        <v>42</v>
      </c>
      <c r="C19" t="s">
        <v>130</v>
      </c>
      <c r="F19">
        <f t="shared" ca="1" si="0"/>
        <v>19</v>
      </c>
      <c r="G19">
        <f t="shared" ca="1" si="1"/>
        <v>1</v>
      </c>
    </row>
    <row r="20" spans="1:7" x14ac:dyDescent="0.2">
      <c r="A20" t="s">
        <v>269</v>
      </c>
      <c r="B20" t="s">
        <v>79</v>
      </c>
      <c r="C20" t="s">
        <v>79</v>
      </c>
      <c r="F20">
        <f t="shared" ca="1" si="0"/>
        <v>20</v>
      </c>
      <c r="G20">
        <f t="shared" ca="1" si="1"/>
        <v>3</v>
      </c>
    </row>
    <row r="21" spans="1:7" x14ac:dyDescent="0.2">
      <c r="A21" t="s">
        <v>269</v>
      </c>
      <c r="B21" t="s">
        <v>224</v>
      </c>
      <c r="C21" t="s">
        <v>224</v>
      </c>
      <c r="F21">
        <f t="shared" ca="1" si="0"/>
        <v>20</v>
      </c>
      <c r="G21">
        <f t="shared" ca="1" si="1"/>
        <v>3</v>
      </c>
    </row>
    <row r="22" spans="1:7" x14ac:dyDescent="0.2">
      <c r="A22" t="s">
        <v>269</v>
      </c>
      <c r="B22" t="s">
        <v>225</v>
      </c>
      <c r="C22" t="s">
        <v>225</v>
      </c>
      <c r="F22">
        <f t="shared" ca="1" si="0"/>
        <v>20</v>
      </c>
      <c r="G22">
        <f t="shared" ca="1" si="1"/>
        <v>3</v>
      </c>
    </row>
    <row r="23" spans="1:7" x14ac:dyDescent="0.2">
      <c r="A23" t="s">
        <v>270</v>
      </c>
      <c r="B23" t="s">
        <v>224</v>
      </c>
      <c r="C23" t="s">
        <v>224</v>
      </c>
      <c r="F23">
        <f t="shared" ca="1" si="0"/>
        <v>23</v>
      </c>
      <c r="G23">
        <f t="shared" ca="1" si="1"/>
        <v>1</v>
      </c>
    </row>
    <row r="24" spans="1:7" x14ac:dyDescent="0.2">
      <c r="A24" t="s">
        <v>271</v>
      </c>
      <c r="B24" t="s">
        <v>44</v>
      </c>
      <c r="C24" t="s">
        <v>130</v>
      </c>
      <c r="F24">
        <f t="shared" ca="1" si="0"/>
        <v>24</v>
      </c>
      <c r="G24">
        <f t="shared" ca="1" si="1"/>
        <v>2</v>
      </c>
    </row>
    <row r="25" spans="1:7" x14ac:dyDescent="0.2">
      <c r="A25" t="s">
        <v>271</v>
      </c>
      <c r="B25" t="s">
        <v>130</v>
      </c>
      <c r="C25" t="s">
        <v>130</v>
      </c>
      <c r="F25">
        <f t="shared" ca="1" si="0"/>
        <v>24</v>
      </c>
      <c r="G25">
        <f t="shared" ca="1" si="1"/>
        <v>2</v>
      </c>
    </row>
    <row r="26" spans="1:7" x14ac:dyDescent="0.2">
      <c r="A26" t="s">
        <v>272</v>
      </c>
      <c r="B26" t="s">
        <v>7</v>
      </c>
      <c r="C26" t="s">
        <v>386</v>
      </c>
      <c r="F26">
        <f t="shared" ca="1" si="0"/>
        <v>26</v>
      </c>
      <c r="G26">
        <f t="shared" ca="1" si="1"/>
        <v>73</v>
      </c>
    </row>
    <row r="27" spans="1:7" x14ac:dyDescent="0.2">
      <c r="A27" t="s">
        <v>272</v>
      </c>
      <c r="B27" t="s">
        <v>8</v>
      </c>
      <c r="C27" t="s">
        <v>387</v>
      </c>
      <c r="F27">
        <f t="shared" ca="1" si="0"/>
        <v>26</v>
      </c>
      <c r="G27">
        <f t="shared" ca="1" si="1"/>
        <v>73</v>
      </c>
    </row>
    <row r="28" spans="1:7" x14ac:dyDescent="0.2">
      <c r="A28" t="s">
        <v>272</v>
      </c>
      <c r="B28" t="s">
        <v>9</v>
      </c>
      <c r="C28" t="s">
        <v>386</v>
      </c>
      <c r="F28">
        <f t="shared" ca="1" si="0"/>
        <v>26</v>
      </c>
      <c r="G28">
        <f t="shared" ca="1" si="1"/>
        <v>73</v>
      </c>
    </row>
    <row r="29" spans="1:7" x14ac:dyDescent="0.2">
      <c r="A29" t="s">
        <v>272</v>
      </c>
      <c r="B29" t="s">
        <v>10</v>
      </c>
      <c r="C29" t="s">
        <v>386</v>
      </c>
      <c r="F29">
        <f t="shared" ca="1" si="0"/>
        <v>26</v>
      </c>
      <c r="G29">
        <f t="shared" ca="1" si="1"/>
        <v>73</v>
      </c>
    </row>
    <row r="30" spans="1:7" x14ac:dyDescent="0.2">
      <c r="A30" t="s">
        <v>272</v>
      </c>
      <c r="B30" t="s">
        <v>1170</v>
      </c>
      <c r="C30" t="s">
        <v>386</v>
      </c>
      <c r="F30">
        <f t="shared" ca="1" si="0"/>
        <v>26</v>
      </c>
      <c r="G30">
        <f t="shared" ca="1" si="1"/>
        <v>73</v>
      </c>
    </row>
    <row r="31" spans="1:7" x14ac:dyDescent="0.2">
      <c r="A31" t="s">
        <v>272</v>
      </c>
      <c r="B31" t="s">
        <v>1171</v>
      </c>
      <c r="C31" t="s">
        <v>388</v>
      </c>
      <c r="F31">
        <f t="shared" ca="1" si="0"/>
        <v>26</v>
      </c>
      <c r="G31">
        <f t="shared" ca="1" si="1"/>
        <v>73</v>
      </c>
    </row>
    <row r="32" spans="1:7" x14ac:dyDescent="0.2">
      <c r="A32" t="s">
        <v>272</v>
      </c>
      <c r="B32" t="s">
        <v>15</v>
      </c>
      <c r="C32" t="s">
        <v>388</v>
      </c>
      <c r="F32">
        <f t="shared" ca="1" si="0"/>
        <v>26</v>
      </c>
      <c r="G32">
        <f t="shared" ca="1" si="1"/>
        <v>73</v>
      </c>
    </row>
    <row r="33" spans="1:7" x14ac:dyDescent="0.2">
      <c r="A33" t="s">
        <v>272</v>
      </c>
      <c r="B33" t="s">
        <v>16</v>
      </c>
      <c r="C33" t="s">
        <v>388</v>
      </c>
      <c r="F33">
        <f t="shared" ca="1" si="0"/>
        <v>26</v>
      </c>
      <c r="G33">
        <f t="shared" ca="1" si="1"/>
        <v>73</v>
      </c>
    </row>
    <row r="34" spans="1:7" x14ac:dyDescent="0.2">
      <c r="A34" t="s">
        <v>272</v>
      </c>
      <c r="B34" t="s">
        <v>36</v>
      </c>
      <c r="C34" t="s">
        <v>386</v>
      </c>
      <c r="F34">
        <f t="shared" ca="1" si="0"/>
        <v>26</v>
      </c>
      <c r="G34">
        <f t="shared" ca="1" si="1"/>
        <v>73</v>
      </c>
    </row>
    <row r="35" spans="1:7" x14ac:dyDescent="0.2">
      <c r="A35" t="s">
        <v>272</v>
      </c>
      <c r="B35" t="s">
        <v>37</v>
      </c>
      <c r="C35" t="s">
        <v>386</v>
      </c>
      <c r="F35">
        <f t="shared" ca="1" si="0"/>
        <v>26</v>
      </c>
      <c r="G35">
        <f t="shared" ca="1" si="1"/>
        <v>73</v>
      </c>
    </row>
    <row r="36" spans="1:7" x14ac:dyDescent="0.2">
      <c r="A36" t="s">
        <v>272</v>
      </c>
      <c r="B36" t="s">
        <v>38</v>
      </c>
      <c r="C36" t="s">
        <v>386</v>
      </c>
      <c r="F36">
        <f t="shared" ca="1" si="0"/>
        <v>26</v>
      </c>
      <c r="G36">
        <f t="shared" ca="1" si="1"/>
        <v>73</v>
      </c>
    </row>
    <row r="37" spans="1:7" x14ac:dyDescent="0.2">
      <c r="A37" t="s">
        <v>272</v>
      </c>
      <c r="B37" t="s">
        <v>39</v>
      </c>
      <c r="C37" t="s">
        <v>388</v>
      </c>
      <c r="F37">
        <f t="shared" ca="1" si="0"/>
        <v>26</v>
      </c>
      <c r="G37">
        <f t="shared" ca="1" si="1"/>
        <v>73</v>
      </c>
    </row>
    <row r="38" spans="1:7" x14ac:dyDescent="0.2">
      <c r="A38" t="s">
        <v>272</v>
      </c>
      <c r="B38" t="s">
        <v>45</v>
      </c>
      <c r="C38" t="s">
        <v>388</v>
      </c>
      <c r="F38">
        <f t="shared" ca="1" si="0"/>
        <v>26</v>
      </c>
      <c r="G38">
        <f t="shared" ca="1" si="1"/>
        <v>73</v>
      </c>
    </row>
    <row r="39" spans="1:7" x14ac:dyDescent="0.2">
      <c r="A39" t="s">
        <v>272</v>
      </c>
      <c r="B39" t="s">
        <v>46</v>
      </c>
      <c r="C39" t="s">
        <v>46</v>
      </c>
      <c r="F39">
        <f t="shared" ca="1" si="0"/>
        <v>26</v>
      </c>
      <c r="G39">
        <f t="shared" ca="1" si="1"/>
        <v>73</v>
      </c>
    </row>
    <row r="40" spans="1:7" x14ac:dyDescent="0.2">
      <c r="A40" t="s">
        <v>272</v>
      </c>
      <c r="B40" t="s">
        <v>47</v>
      </c>
      <c r="C40" t="s">
        <v>389</v>
      </c>
      <c r="F40">
        <f t="shared" ca="1" si="0"/>
        <v>26</v>
      </c>
      <c r="G40">
        <f t="shared" ca="1" si="1"/>
        <v>73</v>
      </c>
    </row>
    <row r="41" spans="1:7" x14ac:dyDescent="0.2">
      <c r="A41" t="s">
        <v>272</v>
      </c>
      <c r="B41" t="s">
        <v>48</v>
      </c>
      <c r="C41" t="s">
        <v>390</v>
      </c>
      <c r="F41">
        <f t="shared" ca="1" si="0"/>
        <v>26</v>
      </c>
      <c r="G41">
        <f t="shared" ca="1" si="1"/>
        <v>73</v>
      </c>
    </row>
    <row r="42" spans="1:7" x14ac:dyDescent="0.2">
      <c r="A42" t="s">
        <v>272</v>
      </c>
      <c r="B42" t="s">
        <v>1172</v>
      </c>
      <c r="C42" t="s">
        <v>388</v>
      </c>
      <c r="F42">
        <f t="shared" ca="1" si="0"/>
        <v>26</v>
      </c>
      <c r="G42">
        <f t="shared" ca="1" si="1"/>
        <v>73</v>
      </c>
    </row>
    <row r="43" spans="1:7" x14ac:dyDescent="0.2">
      <c r="A43" t="s">
        <v>272</v>
      </c>
      <c r="B43" t="s">
        <v>62</v>
      </c>
      <c r="C43" t="s">
        <v>386</v>
      </c>
      <c r="F43">
        <f t="shared" ca="1" si="0"/>
        <v>26</v>
      </c>
      <c r="G43">
        <f t="shared" ca="1" si="1"/>
        <v>73</v>
      </c>
    </row>
    <row r="44" spans="1:7" x14ac:dyDescent="0.2">
      <c r="A44" t="s">
        <v>272</v>
      </c>
      <c r="B44" t="s">
        <v>73</v>
      </c>
      <c r="C44" t="s">
        <v>388</v>
      </c>
      <c r="F44">
        <f t="shared" ca="1" si="0"/>
        <v>26</v>
      </c>
      <c r="G44">
        <f t="shared" ca="1" si="1"/>
        <v>73</v>
      </c>
    </row>
    <row r="45" spans="1:7" x14ac:dyDescent="0.2">
      <c r="A45" t="s">
        <v>272</v>
      </c>
      <c r="B45" t="s">
        <v>74</v>
      </c>
      <c r="C45" t="s">
        <v>388</v>
      </c>
      <c r="F45">
        <f t="shared" ca="1" si="0"/>
        <v>26</v>
      </c>
      <c r="G45">
        <f t="shared" ca="1" si="1"/>
        <v>73</v>
      </c>
    </row>
    <row r="46" spans="1:7" x14ac:dyDescent="0.2">
      <c r="A46" t="s">
        <v>272</v>
      </c>
      <c r="B46" t="s">
        <v>287</v>
      </c>
      <c r="C46" t="s">
        <v>76</v>
      </c>
      <c r="F46">
        <f t="shared" ca="1" si="0"/>
        <v>26</v>
      </c>
      <c r="G46">
        <f t="shared" ca="1" si="1"/>
        <v>73</v>
      </c>
    </row>
    <row r="47" spans="1:7" x14ac:dyDescent="0.2">
      <c r="A47" t="s">
        <v>272</v>
      </c>
      <c r="B47" t="s">
        <v>77</v>
      </c>
      <c r="C47" t="s">
        <v>76</v>
      </c>
      <c r="F47">
        <f t="shared" ca="1" si="0"/>
        <v>26</v>
      </c>
      <c r="G47">
        <f t="shared" ca="1" si="1"/>
        <v>73</v>
      </c>
    </row>
    <row r="48" spans="1:7" x14ac:dyDescent="0.2">
      <c r="A48" t="s">
        <v>272</v>
      </c>
      <c r="B48" t="s">
        <v>80</v>
      </c>
      <c r="C48" t="s">
        <v>391</v>
      </c>
      <c r="F48">
        <f t="shared" ca="1" si="0"/>
        <v>26</v>
      </c>
      <c r="G48">
        <f t="shared" ca="1" si="1"/>
        <v>73</v>
      </c>
    </row>
    <row r="49" spans="1:7" x14ac:dyDescent="0.2">
      <c r="A49" t="s">
        <v>272</v>
      </c>
      <c r="B49" t="s">
        <v>81</v>
      </c>
      <c r="C49" t="s">
        <v>1142</v>
      </c>
      <c r="F49">
        <f t="shared" ca="1" si="0"/>
        <v>26</v>
      </c>
      <c r="G49">
        <f t="shared" ca="1" si="1"/>
        <v>73</v>
      </c>
    </row>
    <row r="50" spans="1:7" x14ac:dyDescent="0.2">
      <c r="A50" t="s">
        <v>272</v>
      </c>
      <c r="B50" t="s">
        <v>82</v>
      </c>
      <c r="C50" t="s">
        <v>388</v>
      </c>
      <c r="F50">
        <f t="shared" ca="1" si="0"/>
        <v>26</v>
      </c>
      <c r="G50">
        <f t="shared" ca="1" si="1"/>
        <v>73</v>
      </c>
    </row>
    <row r="51" spans="1:7" x14ac:dyDescent="0.2">
      <c r="A51" t="s">
        <v>272</v>
      </c>
      <c r="B51" t="s">
        <v>1173</v>
      </c>
      <c r="C51" t="s">
        <v>388</v>
      </c>
      <c r="F51">
        <f t="shared" ca="1" si="0"/>
        <v>26</v>
      </c>
      <c r="G51">
        <f t="shared" ca="1" si="1"/>
        <v>73</v>
      </c>
    </row>
    <row r="52" spans="1:7" x14ac:dyDescent="0.2">
      <c r="A52" t="s">
        <v>272</v>
      </c>
      <c r="B52" t="s">
        <v>1174</v>
      </c>
      <c r="C52" t="s">
        <v>388</v>
      </c>
      <c r="F52">
        <f t="shared" ca="1" si="0"/>
        <v>26</v>
      </c>
      <c r="G52">
        <f t="shared" ca="1" si="1"/>
        <v>73</v>
      </c>
    </row>
    <row r="53" spans="1:7" x14ac:dyDescent="0.2">
      <c r="A53" t="s">
        <v>272</v>
      </c>
      <c r="B53" t="s">
        <v>1175</v>
      </c>
      <c r="C53" t="s">
        <v>388</v>
      </c>
      <c r="F53">
        <f t="shared" ca="1" si="0"/>
        <v>26</v>
      </c>
      <c r="G53">
        <f t="shared" ca="1" si="1"/>
        <v>73</v>
      </c>
    </row>
    <row r="54" spans="1:7" x14ac:dyDescent="0.2">
      <c r="A54" t="s">
        <v>272</v>
      </c>
      <c r="B54" t="s">
        <v>1176</v>
      </c>
      <c r="C54" t="s">
        <v>388</v>
      </c>
      <c r="F54">
        <f t="shared" ca="1" si="0"/>
        <v>26</v>
      </c>
      <c r="G54">
        <f t="shared" ca="1" si="1"/>
        <v>73</v>
      </c>
    </row>
    <row r="55" spans="1:7" x14ac:dyDescent="0.2">
      <c r="A55" t="s">
        <v>272</v>
      </c>
      <c r="B55" t="s">
        <v>1177</v>
      </c>
      <c r="C55" t="s">
        <v>388</v>
      </c>
      <c r="F55">
        <f t="shared" ca="1" si="0"/>
        <v>26</v>
      </c>
      <c r="G55">
        <f t="shared" ca="1" si="1"/>
        <v>73</v>
      </c>
    </row>
    <row r="56" spans="1:7" x14ac:dyDescent="0.2">
      <c r="A56" t="s">
        <v>272</v>
      </c>
      <c r="B56" t="s">
        <v>83</v>
      </c>
      <c r="C56" t="s">
        <v>388</v>
      </c>
      <c r="F56">
        <f t="shared" ca="1" si="0"/>
        <v>26</v>
      </c>
      <c r="G56">
        <f t="shared" ca="1" si="1"/>
        <v>73</v>
      </c>
    </row>
    <row r="57" spans="1:7" x14ac:dyDescent="0.2">
      <c r="A57" t="s">
        <v>272</v>
      </c>
      <c r="B57" t="s">
        <v>84</v>
      </c>
      <c r="C57" t="s">
        <v>391</v>
      </c>
      <c r="F57">
        <f t="shared" ca="1" si="0"/>
        <v>26</v>
      </c>
      <c r="G57">
        <f t="shared" ca="1" si="1"/>
        <v>73</v>
      </c>
    </row>
    <row r="58" spans="1:7" x14ac:dyDescent="0.2">
      <c r="A58" t="s">
        <v>272</v>
      </c>
      <c r="B58" t="s">
        <v>85</v>
      </c>
      <c r="C58" t="s">
        <v>388</v>
      </c>
      <c r="F58">
        <f t="shared" ca="1" si="0"/>
        <v>26</v>
      </c>
      <c r="G58">
        <f t="shared" ca="1" si="1"/>
        <v>73</v>
      </c>
    </row>
    <row r="59" spans="1:7" x14ac:dyDescent="0.2">
      <c r="A59" t="s">
        <v>272</v>
      </c>
      <c r="B59" t="s">
        <v>108</v>
      </c>
      <c r="C59" t="s">
        <v>388</v>
      </c>
      <c r="F59">
        <f t="shared" ca="1" si="0"/>
        <v>26</v>
      </c>
      <c r="G59">
        <f t="shared" ca="1" si="1"/>
        <v>73</v>
      </c>
    </row>
    <row r="60" spans="1:7" x14ac:dyDescent="0.2">
      <c r="A60" t="s">
        <v>272</v>
      </c>
      <c r="B60" t="s">
        <v>1178</v>
      </c>
      <c r="C60" t="s">
        <v>390</v>
      </c>
      <c r="F60">
        <f t="shared" ca="1" si="0"/>
        <v>26</v>
      </c>
      <c r="G60">
        <f t="shared" ca="1" si="1"/>
        <v>73</v>
      </c>
    </row>
    <row r="61" spans="1:7" x14ac:dyDescent="0.2">
      <c r="A61" t="s">
        <v>272</v>
      </c>
      <c r="B61" t="s">
        <v>110</v>
      </c>
      <c r="C61" t="s">
        <v>390</v>
      </c>
      <c r="F61">
        <f t="shared" ca="1" si="0"/>
        <v>26</v>
      </c>
      <c r="G61">
        <f t="shared" ca="1" si="1"/>
        <v>73</v>
      </c>
    </row>
    <row r="62" spans="1:7" x14ac:dyDescent="0.2">
      <c r="A62" t="s">
        <v>272</v>
      </c>
      <c r="B62" t="s">
        <v>111</v>
      </c>
      <c r="C62" t="s">
        <v>388</v>
      </c>
      <c r="F62">
        <f t="shared" ca="1" si="0"/>
        <v>26</v>
      </c>
      <c r="G62">
        <f t="shared" ca="1" si="1"/>
        <v>73</v>
      </c>
    </row>
    <row r="63" spans="1:7" x14ac:dyDescent="0.2">
      <c r="A63" t="s">
        <v>272</v>
      </c>
      <c r="B63" t="s">
        <v>112</v>
      </c>
      <c r="C63" t="s">
        <v>310</v>
      </c>
      <c r="F63">
        <f t="shared" ca="1" si="0"/>
        <v>26</v>
      </c>
      <c r="G63">
        <f t="shared" ca="1" si="1"/>
        <v>73</v>
      </c>
    </row>
    <row r="64" spans="1:7" x14ac:dyDescent="0.2">
      <c r="A64" t="s">
        <v>272</v>
      </c>
      <c r="B64" t="s">
        <v>1179</v>
      </c>
      <c r="C64" t="s">
        <v>386</v>
      </c>
      <c r="F64">
        <f t="shared" ca="1" si="0"/>
        <v>26</v>
      </c>
      <c r="G64">
        <f t="shared" ca="1" si="1"/>
        <v>73</v>
      </c>
    </row>
    <row r="65" spans="1:7" x14ac:dyDescent="0.2">
      <c r="A65" t="s">
        <v>272</v>
      </c>
      <c r="B65" t="s">
        <v>389</v>
      </c>
      <c r="C65" t="s">
        <v>389</v>
      </c>
      <c r="F65">
        <f t="shared" ca="1" si="0"/>
        <v>26</v>
      </c>
      <c r="G65">
        <f t="shared" ca="1" si="1"/>
        <v>73</v>
      </c>
    </row>
    <row r="66" spans="1:7" x14ac:dyDescent="0.2">
      <c r="A66" t="s">
        <v>272</v>
      </c>
      <c r="B66" t="s">
        <v>146</v>
      </c>
      <c r="C66" t="s">
        <v>388</v>
      </c>
      <c r="F66">
        <f t="shared" ref="F66:F129" ca="1" si="2">IFERROR(MATCH(OFFSET($A$1,ROW()-1,0,1,1),A:A,0),"")</f>
        <v>26</v>
      </c>
      <c r="G66">
        <f t="shared" ref="G66:G129" ca="1" si="3">COUNTIF(A:A,OFFSET($A$1,ROW()-1,0))</f>
        <v>73</v>
      </c>
    </row>
    <row r="67" spans="1:7" x14ac:dyDescent="0.2">
      <c r="A67" t="s">
        <v>272</v>
      </c>
      <c r="B67" t="s">
        <v>148</v>
      </c>
      <c r="C67" t="s">
        <v>386</v>
      </c>
      <c r="F67">
        <f t="shared" ca="1" si="2"/>
        <v>26</v>
      </c>
      <c r="G67">
        <f t="shared" ca="1" si="3"/>
        <v>73</v>
      </c>
    </row>
    <row r="68" spans="1:7" x14ac:dyDescent="0.2">
      <c r="A68" t="s">
        <v>272</v>
      </c>
      <c r="B68" t="s">
        <v>1180</v>
      </c>
      <c r="C68" t="s">
        <v>386</v>
      </c>
      <c r="F68">
        <f t="shared" ca="1" si="2"/>
        <v>26</v>
      </c>
      <c r="G68">
        <f t="shared" ca="1" si="3"/>
        <v>73</v>
      </c>
    </row>
    <row r="69" spans="1:7" x14ac:dyDescent="0.2">
      <c r="A69" t="s">
        <v>272</v>
      </c>
      <c r="B69" t="s">
        <v>154</v>
      </c>
      <c r="C69" t="s">
        <v>388</v>
      </c>
      <c r="F69">
        <f t="shared" ca="1" si="2"/>
        <v>26</v>
      </c>
      <c r="G69">
        <f t="shared" ca="1" si="3"/>
        <v>73</v>
      </c>
    </row>
    <row r="70" spans="1:7" x14ac:dyDescent="0.2">
      <c r="A70" t="s">
        <v>272</v>
      </c>
      <c r="B70" t="s">
        <v>155</v>
      </c>
      <c r="C70" t="s">
        <v>386</v>
      </c>
      <c r="F70">
        <f t="shared" ca="1" si="2"/>
        <v>26</v>
      </c>
      <c r="G70">
        <f t="shared" ca="1" si="3"/>
        <v>73</v>
      </c>
    </row>
    <row r="71" spans="1:7" x14ac:dyDescent="0.2">
      <c r="A71" t="s">
        <v>272</v>
      </c>
      <c r="B71" t="s">
        <v>1181</v>
      </c>
      <c r="C71" t="s">
        <v>386</v>
      </c>
      <c r="F71">
        <f t="shared" ca="1" si="2"/>
        <v>26</v>
      </c>
      <c r="G71">
        <f t="shared" ca="1" si="3"/>
        <v>73</v>
      </c>
    </row>
    <row r="72" spans="1:7" x14ac:dyDescent="0.2">
      <c r="A72" t="s">
        <v>272</v>
      </c>
      <c r="B72" t="s">
        <v>167</v>
      </c>
      <c r="C72" t="s">
        <v>388</v>
      </c>
      <c r="F72">
        <f t="shared" ca="1" si="2"/>
        <v>26</v>
      </c>
      <c r="G72">
        <f t="shared" ca="1" si="3"/>
        <v>73</v>
      </c>
    </row>
    <row r="73" spans="1:7" x14ac:dyDescent="0.2">
      <c r="A73" t="s">
        <v>272</v>
      </c>
      <c r="B73" t="s">
        <v>168</v>
      </c>
      <c r="C73" t="s">
        <v>388</v>
      </c>
      <c r="F73">
        <f t="shared" ca="1" si="2"/>
        <v>26</v>
      </c>
      <c r="G73">
        <f t="shared" ca="1" si="3"/>
        <v>73</v>
      </c>
    </row>
    <row r="74" spans="1:7" x14ac:dyDescent="0.2">
      <c r="A74" t="s">
        <v>272</v>
      </c>
      <c r="B74" t="s">
        <v>181</v>
      </c>
      <c r="C74" t="s">
        <v>388</v>
      </c>
      <c r="F74">
        <f t="shared" ca="1" si="2"/>
        <v>26</v>
      </c>
      <c r="G74">
        <f t="shared" ca="1" si="3"/>
        <v>73</v>
      </c>
    </row>
    <row r="75" spans="1:7" x14ac:dyDescent="0.2">
      <c r="A75" t="s">
        <v>272</v>
      </c>
      <c r="B75" t="s">
        <v>195</v>
      </c>
      <c r="C75" t="s">
        <v>388</v>
      </c>
      <c r="F75">
        <f t="shared" ca="1" si="2"/>
        <v>26</v>
      </c>
      <c r="G75">
        <f t="shared" ca="1" si="3"/>
        <v>73</v>
      </c>
    </row>
    <row r="76" spans="1:7" x14ac:dyDescent="0.2">
      <c r="A76" t="s">
        <v>272</v>
      </c>
      <c r="B76" t="s">
        <v>196</v>
      </c>
      <c r="C76" t="s">
        <v>391</v>
      </c>
      <c r="F76">
        <f t="shared" ca="1" si="2"/>
        <v>26</v>
      </c>
      <c r="G76">
        <f t="shared" ca="1" si="3"/>
        <v>73</v>
      </c>
    </row>
    <row r="77" spans="1:7" x14ac:dyDescent="0.2">
      <c r="A77" t="s">
        <v>272</v>
      </c>
      <c r="B77" t="s">
        <v>197</v>
      </c>
      <c r="C77" t="s">
        <v>391</v>
      </c>
      <c r="F77">
        <f t="shared" ca="1" si="2"/>
        <v>26</v>
      </c>
      <c r="G77">
        <f t="shared" ca="1" si="3"/>
        <v>73</v>
      </c>
    </row>
    <row r="78" spans="1:7" x14ac:dyDescent="0.2">
      <c r="A78" t="s">
        <v>272</v>
      </c>
      <c r="B78" t="s">
        <v>198</v>
      </c>
      <c r="C78" t="s">
        <v>391</v>
      </c>
      <c r="F78">
        <f t="shared" ca="1" si="2"/>
        <v>26</v>
      </c>
      <c r="G78">
        <f t="shared" ca="1" si="3"/>
        <v>73</v>
      </c>
    </row>
    <row r="79" spans="1:7" x14ac:dyDescent="0.2">
      <c r="A79" t="s">
        <v>272</v>
      </c>
      <c r="B79" t="s">
        <v>199</v>
      </c>
      <c r="C79" t="s">
        <v>390</v>
      </c>
      <c r="F79">
        <f t="shared" ca="1" si="2"/>
        <v>26</v>
      </c>
      <c r="G79">
        <f t="shared" ca="1" si="3"/>
        <v>73</v>
      </c>
    </row>
    <row r="80" spans="1:7" x14ac:dyDescent="0.2">
      <c r="A80" t="s">
        <v>272</v>
      </c>
      <c r="B80" t="s">
        <v>200</v>
      </c>
      <c r="C80" t="s">
        <v>390</v>
      </c>
      <c r="F80">
        <f t="shared" ca="1" si="2"/>
        <v>26</v>
      </c>
      <c r="G80">
        <f t="shared" ca="1" si="3"/>
        <v>73</v>
      </c>
    </row>
    <row r="81" spans="1:7" x14ac:dyDescent="0.2">
      <c r="A81" t="s">
        <v>272</v>
      </c>
      <c r="B81" t="s">
        <v>201</v>
      </c>
      <c r="C81" t="s">
        <v>388</v>
      </c>
      <c r="F81">
        <f t="shared" ca="1" si="2"/>
        <v>26</v>
      </c>
      <c r="G81">
        <f t="shared" ca="1" si="3"/>
        <v>73</v>
      </c>
    </row>
    <row r="82" spans="1:7" x14ac:dyDescent="0.2">
      <c r="A82" t="s">
        <v>272</v>
      </c>
      <c r="B82" t="s">
        <v>202</v>
      </c>
      <c r="C82" t="s">
        <v>388</v>
      </c>
      <c r="F82">
        <f t="shared" ca="1" si="2"/>
        <v>26</v>
      </c>
      <c r="G82">
        <f t="shared" ca="1" si="3"/>
        <v>73</v>
      </c>
    </row>
    <row r="83" spans="1:7" x14ac:dyDescent="0.2">
      <c r="A83" t="s">
        <v>272</v>
      </c>
      <c r="B83" t="s">
        <v>203</v>
      </c>
      <c r="C83" t="s">
        <v>388</v>
      </c>
      <c r="F83">
        <f t="shared" ca="1" si="2"/>
        <v>26</v>
      </c>
      <c r="G83">
        <f t="shared" ca="1" si="3"/>
        <v>73</v>
      </c>
    </row>
    <row r="84" spans="1:7" x14ac:dyDescent="0.2">
      <c r="A84" t="s">
        <v>272</v>
      </c>
      <c r="B84" t="s">
        <v>204</v>
      </c>
      <c r="C84" t="s">
        <v>391</v>
      </c>
      <c r="F84">
        <f t="shared" ca="1" si="2"/>
        <v>26</v>
      </c>
      <c r="G84">
        <f t="shared" ca="1" si="3"/>
        <v>73</v>
      </c>
    </row>
    <row r="85" spans="1:7" x14ac:dyDescent="0.2">
      <c r="A85" t="s">
        <v>272</v>
      </c>
      <c r="B85" t="s">
        <v>205</v>
      </c>
      <c r="C85" t="s">
        <v>389</v>
      </c>
      <c r="F85">
        <f t="shared" ca="1" si="2"/>
        <v>26</v>
      </c>
      <c r="G85">
        <f t="shared" ca="1" si="3"/>
        <v>73</v>
      </c>
    </row>
    <row r="86" spans="1:7" x14ac:dyDescent="0.2">
      <c r="A86" t="s">
        <v>272</v>
      </c>
      <c r="B86" t="s">
        <v>206</v>
      </c>
      <c r="C86" t="s">
        <v>388</v>
      </c>
      <c r="F86">
        <f t="shared" ca="1" si="2"/>
        <v>26</v>
      </c>
      <c r="G86">
        <f t="shared" ca="1" si="3"/>
        <v>73</v>
      </c>
    </row>
    <row r="87" spans="1:7" x14ac:dyDescent="0.2">
      <c r="A87" t="s">
        <v>272</v>
      </c>
      <c r="B87" t="s">
        <v>207</v>
      </c>
      <c r="C87" t="s">
        <v>388</v>
      </c>
      <c r="F87">
        <f t="shared" ca="1" si="2"/>
        <v>26</v>
      </c>
      <c r="G87">
        <f t="shared" ca="1" si="3"/>
        <v>73</v>
      </c>
    </row>
    <row r="88" spans="1:7" x14ac:dyDescent="0.2">
      <c r="A88" t="s">
        <v>272</v>
      </c>
      <c r="B88" t="s">
        <v>208</v>
      </c>
      <c r="C88" t="s">
        <v>391</v>
      </c>
      <c r="F88">
        <f t="shared" ca="1" si="2"/>
        <v>26</v>
      </c>
      <c r="G88">
        <f t="shared" ca="1" si="3"/>
        <v>73</v>
      </c>
    </row>
    <row r="89" spans="1:7" x14ac:dyDescent="0.2">
      <c r="A89" t="s">
        <v>272</v>
      </c>
      <c r="B89" t="s">
        <v>209</v>
      </c>
      <c r="C89" t="s">
        <v>388</v>
      </c>
      <c r="F89">
        <f t="shared" ca="1" si="2"/>
        <v>26</v>
      </c>
      <c r="G89">
        <f t="shared" ca="1" si="3"/>
        <v>73</v>
      </c>
    </row>
    <row r="90" spans="1:7" x14ac:dyDescent="0.2">
      <c r="A90" t="s">
        <v>272</v>
      </c>
      <c r="B90" t="s">
        <v>210</v>
      </c>
      <c r="C90" t="s">
        <v>388</v>
      </c>
      <c r="F90">
        <f t="shared" ca="1" si="2"/>
        <v>26</v>
      </c>
      <c r="G90">
        <f t="shared" ca="1" si="3"/>
        <v>73</v>
      </c>
    </row>
    <row r="91" spans="1:7" x14ac:dyDescent="0.2">
      <c r="A91" t="s">
        <v>272</v>
      </c>
      <c r="B91" t="s">
        <v>211</v>
      </c>
      <c r="C91" t="s">
        <v>388</v>
      </c>
      <c r="F91">
        <f t="shared" ca="1" si="2"/>
        <v>26</v>
      </c>
      <c r="G91">
        <f t="shared" ca="1" si="3"/>
        <v>73</v>
      </c>
    </row>
    <row r="92" spans="1:7" x14ac:dyDescent="0.2">
      <c r="A92" t="s">
        <v>272</v>
      </c>
      <c r="B92" t="s">
        <v>212</v>
      </c>
      <c r="C92" t="s">
        <v>391</v>
      </c>
      <c r="F92">
        <f t="shared" ca="1" si="2"/>
        <v>26</v>
      </c>
      <c r="G92">
        <f t="shared" ca="1" si="3"/>
        <v>73</v>
      </c>
    </row>
    <row r="93" spans="1:7" x14ac:dyDescent="0.2">
      <c r="A93" t="s">
        <v>272</v>
      </c>
      <c r="B93" t="s">
        <v>213</v>
      </c>
      <c r="C93" t="s">
        <v>390</v>
      </c>
      <c r="F93">
        <f t="shared" ca="1" si="2"/>
        <v>26</v>
      </c>
      <c r="G93">
        <f t="shared" ca="1" si="3"/>
        <v>73</v>
      </c>
    </row>
    <row r="94" spans="1:7" x14ac:dyDescent="0.2">
      <c r="A94" t="s">
        <v>272</v>
      </c>
      <c r="B94" t="s">
        <v>214</v>
      </c>
      <c r="C94" t="s">
        <v>388</v>
      </c>
      <c r="F94">
        <f t="shared" ca="1" si="2"/>
        <v>26</v>
      </c>
      <c r="G94">
        <f t="shared" ca="1" si="3"/>
        <v>73</v>
      </c>
    </row>
    <row r="95" spans="1:7" x14ac:dyDescent="0.2">
      <c r="A95" t="s">
        <v>272</v>
      </c>
      <c r="B95" t="s">
        <v>1268</v>
      </c>
      <c r="C95" t="s">
        <v>388</v>
      </c>
      <c r="F95">
        <f t="shared" ca="1" si="2"/>
        <v>26</v>
      </c>
      <c r="G95">
        <f t="shared" ca="1" si="3"/>
        <v>73</v>
      </c>
    </row>
    <row r="96" spans="1:7" x14ac:dyDescent="0.2">
      <c r="A96" t="s">
        <v>272</v>
      </c>
      <c r="B96" t="s">
        <v>1271</v>
      </c>
      <c r="C96" t="s">
        <v>1142</v>
      </c>
      <c r="F96">
        <f t="shared" ca="1" si="2"/>
        <v>26</v>
      </c>
      <c r="G96">
        <f t="shared" ca="1" si="3"/>
        <v>73</v>
      </c>
    </row>
    <row r="97" spans="1:7" x14ac:dyDescent="0.2">
      <c r="A97" t="s">
        <v>272</v>
      </c>
      <c r="B97" t="s">
        <v>1272</v>
      </c>
      <c r="C97" t="s">
        <v>1142</v>
      </c>
      <c r="F97">
        <f t="shared" ca="1" si="2"/>
        <v>26</v>
      </c>
      <c r="G97">
        <f t="shared" ca="1" si="3"/>
        <v>73</v>
      </c>
    </row>
    <row r="98" spans="1:7" x14ac:dyDescent="0.2">
      <c r="A98" t="s">
        <v>272</v>
      </c>
      <c r="B98" t="s">
        <v>1273</v>
      </c>
      <c r="C98" t="s">
        <v>387</v>
      </c>
      <c r="F98">
        <f t="shared" ca="1" si="2"/>
        <v>26</v>
      </c>
      <c r="G98">
        <f t="shared" ca="1" si="3"/>
        <v>73</v>
      </c>
    </row>
    <row r="99" spans="1:7" x14ac:dyDescent="0.2">
      <c r="A99" t="s">
        <v>274</v>
      </c>
      <c r="B99" t="s">
        <v>91</v>
      </c>
      <c r="C99" t="s">
        <v>393</v>
      </c>
      <c r="F99">
        <f t="shared" ca="1" si="2"/>
        <v>99</v>
      </c>
      <c r="G99">
        <f t="shared" ca="1" si="3"/>
        <v>10</v>
      </c>
    </row>
    <row r="100" spans="1:7" x14ac:dyDescent="0.2">
      <c r="A100" t="s">
        <v>274</v>
      </c>
      <c r="B100" t="s">
        <v>96</v>
      </c>
      <c r="C100" t="s">
        <v>399</v>
      </c>
      <c r="F100">
        <f t="shared" ca="1" si="2"/>
        <v>99</v>
      </c>
      <c r="G100">
        <f t="shared" ca="1" si="3"/>
        <v>10</v>
      </c>
    </row>
    <row r="101" spans="1:7" x14ac:dyDescent="0.2">
      <c r="A101" t="s">
        <v>274</v>
      </c>
      <c r="B101" t="s">
        <v>97</v>
      </c>
      <c r="C101" t="s">
        <v>97</v>
      </c>
      <c r="F101">
        <f t="shared" ca="1" si="2"/>
        <v>99</v>
      </c>
      <c r="G101">
        <f t="shared" ca="1" si="3"/>
        <v>10</v>
      </c>
    </row>
    <row r="102" spans="1:7" x14ac:dyDescent="0.2">
      <c r="A102" t="s">
        <v>274</v>
      </c>
      <c r="B102" t="s">
        <v>115</v>
      </c>
      <c r="C102" t="s">
        <v>400</v>
      </c>
      <c r="F102">
        <f t="shared" ca="1" si="2"/>
        <v>99</v>
      </c>
      <c r="G102">
        <f t="shared" ca="1" si="3"/>
        <v>10</v>
      </c>
    </row>
    <row r="103" spans="1:7" x14ac:dyDescent="0.2">
      <c r="A103" t="s">
        <v>274</v>
      </c>
      <c r="B103" t="s">
        <v>116</v>
      </c>
      <c r="C103" t="s">
        <v>400</v>
      </c>
      <c r="F103">
        <f t="shared" ca="1" si="2"/>
        <v>99</v>
      </c>
      <c r="G103">
        <f t="shared" ca="1" si="3"/>
        <v>10</v>
      </c>
    </row>
    <row r="104" spans="1:7" x14ac:dyDescent="0.2">
      <c r="A104" t="s">
        <v>274</v>
      </c>
      <c r="B104" t="s">
        <v>134</v>
      </c>
      <c r="C104" t="s">
        <v>401</v>
      </c>
      <c r="F104">
        <f t="shared" ca="1" si="2"/>
        <v>99</v>
      </c>
      <c r="G104">
        <f t="shared" ca="1" si="3"/>
        <v>10</v>
      </c>
    </row>
    <row r="105" spans="1:7" x14ac:dyDescent="0.2">
      <c r="A105" t="s">
        <v>274</v>
      </c>
      <c r="B105" t="s">
        <v>178</v>
      </c>
      <c r="C105" t="s">
        <v>402</v>
      </c>
      <c r="F105">
        <f t="shared" ca="1" si="2"/>
        <v>99</v>
      </c>
      <c r="G105">
        <f t="shared" ca="1" si="3"/>
        <v>10</v>
      </c>
    </row>
    <row r="106" spans="1:7" x14ac:dyDescent="0.2">
      <c r="A106" t="s">
        <v>274</v>
      </c>
      <c r="B106" t="s">
        <v>222</v>
      </c>
      <c r="C106" t="s">
        <v>222</v>
      </c>
      <c r="F106">
        <f t="shared" ca="1" si="2"/>
        <v>99</v>
      </c>
      <c r="G106">
        <f t="shared" ca="1" si="3"/>
        <v>10</v>
      </c>
    </row>
    <row r="107" spans="1:7" x14ac:dyDescent="0.2">
      <c r="A107" t="s">
        <v>274</v>
      </c>
      <c r="B107" t="s">
        <v>222</v>
      </c>
      <c r="C107" t="s">
        <v>130</v>
      </c>
      <c r="F107">
        <f t="shared" ca="1" si="2"/>
        <v>99</v>
      </c>
      <c r="G107">
        <f t="shared" ca="1" si="3"/>
        <v>10</v>
      </c>
    </row>
    <row r="108" spans="1:7" x14ac:dyDescent="0.2">
      <c r="A108" t="s">
        <v>274</v>
      </c>
      <c r="B108" t="s">
        <v>239</v>
      </c>
      <c r="C108" t="s">
        <v>1274</v>
      </c>
      <c r="F108">
        <f t="shared" ca="1" si="2"/>
        <v>99</v>
      </c>
      <c r="G108">
        <f t="shared" ca="1" si="3"/>
        <v>10</v>
      </c>
    </row>
    <row r="109" spans="1:7" x14ac:dyDescent="0.2">
      <c r="A109" t="s">
        <v>277</v>
      </c>
      <c r="B109" t="s">
        <v>225</v>
      </c>
      <c r="C109" t="s">
        <v>130</v>
      </c>
      <c r="F109">
        <f t="shared" ca="1" si="2"/>
        <v>109</v>
      </c>
      <c r="G109">
        <f t="shared" ca="1" si="3"/>
        <v>1</v>
      </c>
    </row>
    <row r="110" spans="1:7" x14ac:dyDescent="0.2">
      <c r="A110" t="s">
        <v>278</v>
      </c>
      <c r="B110" t="s">
        <v>225</v>
      </c>
      <c r="C110" t="s">
        <v>130</v>
      </c>
      <c r="F110">
        <f t="shared" ca="1" si="2"/>
        <v>110</v>
      </c>
      <c r="G110">
        <f t="shared" ca="1" si="3"/>
        <v>1</v>
      </c>
    </row>
    <row r="111" spans="1:7" x14ac:dyDescent="0.2">
      <c r="A111" t="s">
        <v>279</v>
      </c>
      <c r="B111" t="s">
        <v>163</v>
      </c>
      <c r="C111" t="s">
        <v>130</v>
      </c>
      <c r="F111">
        <f t="shared" ca="1" si="2"/>
        <v>111</v>
      </c>
      <c r="G111">
        <f t="shared" ca="1" si="3"/>
        <v>2</v>
      </c>
    </row>
    <row r="112" spans="1:7" x14ac:dyDescent="0.2">
      <c r="A112" t="s">
        <v>279</v>
      </c>
      <c r="B112" t="s">
        <v>169</v>
      </c>
      <c r="C112" t="s">
        <v>405</v>
      </c>
      <c r="F112">
        <f t="shared" ca="1" si="2"/>
        <v>111</v>
      </c>
      <c r="G112">
        <f t="shared" ca="1" si="3"/>
        <v>2</v>
      </c>
    </row>
    <row r="113" spans="1:7" x14ac:dyDescent="0.2">
      <c r="A113" t="s">
        <v>280</v>
      </c>
      <c r="B113" t="s">
        <v>52</v>
      </c>
      <c r="C113" t="s">
        <v>130</v>
      </c>
      <c r="F113">
        <f t="shared" ca="1" si="2"/>
        <v>113</v>
      </c>
      <c r="G113">
        <f t="shared" ca="1" si="3"/>
        <v>3</v>
      </c>
    </row>
    <row r="114" spans="1:7" x14ac:dyDescent="0.2">
      <c r="A114" t="s">
        <v>280</v>
      </c>
      <c r="B114" t="s">
        <v>53</v>
      </c>
      <c r="C114" t="s">
        <v>130</v>
      </c>
      <c r="F114">
        <f t="shared" ca="1" si="2"/>
        <v>113</v>
      </c>
      <c r="G114">
        <f t="shared" ca="1" si="3"/>
        <v>3</v>
      </c>
    </row>
    <row r="115" spans="1:7" x14ac:dyDescent="0.2">
      <c r="A115" t="s">
        <v>280</v>
      </c>
      <c r="B115" t="s">
        <v>1270</v>
      </c>
      <c r="C115" t="s">
        <v>130</v>
      </c>
      <c r="F115">
        <f t="shared" ca="1" si="2"/>
        <v>113</v>
      </c>
      <c r="G115">
        <f t="shared" ca="1" si="3"/>
        <v>3</v>
      </c>
    </row>
    <row r="116" spans="1:7" x14ac:dyDescent="0.2">
      <c r="A116" t="s">
        <v>281</v>
      </c>
      <c r="B116" t="s">
        <v>1142</v>
      </c>
      <c r="C116" t="s">
        <v>1142</v>
      </c>
      <c r="F116">
        <f t="shared" ca="1" si="2"/>
        <v>116</v>
      </c>
      <c r="G116">
        <f t="shared" ca="1" si="3"/>
        <v>2</v>
      </c>
    </row>
    <row r="117" spans="1:7" x14ac:dyDescent="0.2">
      <c r="A117" t="s">
        <v>281</v>
      </c>
      <c r="B117" t="s">
        <v>1145</v>
      </c>
      <c r="C117" t="s">
        <v>1145</v>
      </c>
      <c r="F117">
        <f t="shared" ca="1" si="2"/>
        <v>116</v>
      </c>
      <c r="G117">
        <f t="shared" ca="1" si="3"/>
        <v>2</v>
      </c>
    </row>
    <row r="118" spans="1:7" x14ac:dyDescent="0.2">
      <c r="A118" t="s">
        <v>1150</v>
      </c>
      <c r="B118" t="s">
        <v>1146</v>
      </c>
      <c r="C118" t="s">
        <v>130</v>
      </c>
      <c r="F118">
        <f t="shared" ca="1" si="2"/>
        <v>118</v>
      </c>
      <c r="G118">
        <f t="shared" ca="1" si="3"/>
        <v>1</v>
      </c>
    </row>
    <row r="119" spans="1:7" x14ac:dyDescent="0.2">
      <c r="A119" t="s">
        <v>283</v>
      </c>
      <c r="B119" t="s">
        <v>130</v>
      </c>
      <c r="C119" t="s">
        <v>130</v>
      </c>
      <c r="F119">
        <f t="shared" ca="1" si="2"/>
        <v>119</v>
      </c>
      <c r="G119">
        <f t="shared" ca="1" si="3"/>
        <v>1</v>
      </c>
    </row>
    <row r="120" spans="1:7" x14ac:dyDescent="0.2">
      <c r="A120" t="s">
        <v>285</v>
      </c>
      <c r="B120" t="s">
        <v>130</v>
      </c>
      <c r="C120" t="s">
        <v>130</v>
      </c>
      <c r="F120">
        <f t="shared" ca="1" si="2"/>
        <v>120</v>
      </c>
      <c r="G120">
        <f t="shared" ca="1" si="3"/>
        <v>1</v>
      </c>
    </row>
    <row r="121" spans="1:7" x14ac:dyDescent="0.2">
      <c r="A121" t="s">
        <v>286</v>
      </c>
      <c r="B121" t="s">
        <v>72</v>
      </c>
      <c r="C121" t="s">
        <v>130</v>
      </c>
      <c r="F121">
        <f t="shared" ca="1" si="2"/>
        <v>121</v>
      </c>
      <c r="G121">
        <f t="shared" ca="1" si="3"/>
        <v>1</v>
      </c>
    </row>
    <row r="122" spans="1:7" x14ac:dyDescent="0.2">
      <c r="A122" t="s">
        <v>1151</v>
      </c>
      <c r="B122" t="s">
        <v>1146</v>
      </c>
      <c r="C122" t="s">
        <v>130</v>
      </c>
      <c r="F122">
        <f t="shared" ca="1" si="2"/>
        <v>122</v>
      </c>
      <c r="G122">
        <f t="shared" ca="1" si="3"/>
        <v>1</v>
      </c>
    </row>
    <row r="123" spans="1:7" x14ac:dyDescent="0.2">
      <c r="A123" t="s">
        <v>287</v>
      </c>
      <c r="B123" t="s">
        <v>76</v>
      </c>
      <c r="C123" t="s">
        <v>130</v>
      </c>
      <c r="F123">
        <f t="shared" ca="1" si="2"/>
        <v>123</v>
      </c>
      <c r="G123">
        <f t="shared" ca="1" si="3"/>
        <v>3</v>
      </c>
    </row>
    <row r="124" spans="1:7" x14ac:dyDescent="0.2">
      <c r="A124" t="s">
        <v>287</v>
      </c>
      <c r="B124" t="s">
        <v>76</v>
      </c>
      <c r="C124" t="s">
        <v>76</v>
      </c>
      <c r="F124">
        <f t="shared" ca="1" si="2"/>
        <v>123</v>
      </c>
      <c r="G124">
        <f t="shared" ca="1" si="3"/>
        <v>3</v>
      </c>
    </row>
    <row r="125" spans="1:7" x14ac:dyDescent="0.2">
      <c r="A125" t="s">
        <v>287</v>
      </c>
      <c r="B125" t="s">
        <v>218</v>
      </c>
      <c r="C125" t="s">
        <v>130</v>
      </c>
      <c r="F125">
        <f t="shared" ca="1" si="2"/>
        <v>123</v>
      </c>
      <c r="G125">
        <f t="shared" ca="1" si="3"/>
        <v>3</v>
      </c>
    </row>
    <row r="126" spans="1:7" x14ac:dyDescent="0.2">
      <c r="A126" t="s">
        <v>288</v>
      </c>
      <c r="B126" t="s">
        <v>78</v>
      </c>
      <c r="C126" t="s">
        <v>130</v>
      </c>
      <c r="F126">
        <f t="shared" ca="1" si="2"/>
        <v>126</v>
      </c>
      <c r="G126">
        <f t="shared" ca="1" si="3"/>
        <v>1</v>
      </c>
    </row>
    <row r="127" spans="1:7" x14ac:dyDescent="0.2">
      <c r="A127" t="s">
        <v>86</v>
      </c>
      <c r="B127" t="s">
        <v>86</v>
      </c>
      <c r="C127" t="s">
        <v>130</v>
      </c>
      <c r="F127">
        <f t="shared" ca="1" si="2"/>
        <v>127</v>
      </c>
      <c r="G127">
        <f t="shared" ca="1" si="3"/>
        <v>1</v>
      </c>
    </row>
    <row r="128" spans="1:7" x14ac:dyDescent="0.2">
      <c r="A128" t="s">
        <v>290</v>
      </c>
      <c r="B128" t="s">
        <v>89</v>
      </c>
      <c r="C128" t="s">
        <v>130</v>
      </c>
      <c r="F128">
        <f t="shared" ca="1" si="2"/>
        <v>128</v>
      </c>
      <c r="G128">
        <f t="shared" ca="1" si="3"/>
        <v>1</v>
      </c>
    </row>
    <row r="129" spans="1:7" x14ac:dyDescent="0.2">
      <c r="A129" t="s">
        <v>291</v>
      </c>
      <c r="B129" t="s">
        <v>13</v>
      </c>
      <c r="C129" t="s">
        <v>418</v>
      </c>
      <c r="F129">
        <f t="shared" ca="1" si="2"/>
        <v>129</v>
      </c>
      <c r="G129">
        <f t="shared" ca="1" si="3"/>
        <v>6</v>
      </c>
    </row>
    <row r="130" spans="1:7" x14ac:dyDescent="0.2">
      <c r="A130" t="s">
        <v>291</v>
      </c>
      <c r="B130" t="s">
        <v>13</v>
      </c>
      <c r="C130" t="s">
        <v>130</v>
      </c>
      <c r="F130">
        <f t="shared" ref="F130:F193" ca="1" si="4">IFERROR(MATCH(OFFSET($A$1,ROW()-1,0,1,1),A:A,0),"")</f>
        <v>129</v>
      </c>
      <c r="G130">
        <f t="shared" ref="G130:G193" ca="1" si="5">COUNTIF(A:A,OFFSET($A$1,ROW()-1,0))</f>
        <v>6</v>
      </c>
    </row>
    <row r="131" spans="1:7" x14ac:dyDescent="0.2">
      <c r="A131" t="s">
        <v>291</v>
      </c>
      <c r="B131" t="s">
        <v>94</v>
      </c>
      <c r="C131" t="s">
        <v>130</v>
      </c>
      <c r="F131">
        <f t="shared" ca="1" si="4"/>
        <v>129</v>
      </c>
      <c r="G131">
        <f t="shared" ca="1" si="5"/>
        <v>6</v>
      </c>
    </row>
    <row r="132" spans="1:7" x14ac:dyDescent="0.2">
      <c r="A132" t="s">
        <v>291</v>
      </c>
      <c r="B132" t="s">
        <v>130</v>
      </c>
      <c r="C132" t="s">
        <v>130</v>
      </c>
      <c r="F132">
        <f t="shared" ca="1" si="4"/>
        <v>129</v>
      </c>
      <c r="G132">
        <f t="shared" ca="1" si="5"/>
        <v>6</v>
      </c>
    </row>
    <row r="133" spans="1:7" x14ac:dyDescent="0.2">
      <c r="A133" t="s">
        <v>291</v>
      </c>
      <c r="B133" t="s">
        <v>156</v>
      </c>
      <c r="C133" t="s">
        <v>419</v>
      </c>
      <c r="F133">
        <f t="shared" ca="1" si="4"/>
        <v>129</v>
      </c>
      <c r="G133">
        <f t="shared" ca="1" si="5"/>
        <v>6</v>
      </c>
    </row>
    <row r="134" spans="1:7" x14ac:dyDescent="0.2">
      <c r="A134" t="s">
        <v>291</v>
      </c>
      <c r="B134" t="s">
        <v>1276</v>
      </c>
      <c r="C134" t="s">
        <v>1277</v>
      </c>
      <c r="F134">
        <f t="shared" ca="1" si="4"/>
        <v>129</v>
      </c>
      <c r="G134">
        <f t="shared" ca="1" si="5"/>
        <v>6</v>
      </c>
    </row>
    <row r="135" spans="1:7" x14ac:dyDescent="0.2">
      <c r="A135" t="s">
        <v>90</v>
      </c>
      <c r="B135" t="s">
        <v>90</v>
      </c>
      <c r="C135" t="s">
        <v>130</v>
      </c>
      <c r="F135">
        <f t="shared" ca="1" si="4"/>
        <v>135</v>
      </c>
      <c r="G135">
        <f t="shared" ca="1" si="5"/>
        <v>1</v>
      </c>
    </row>
    <row r="136" spans="1:7" x14ac:dyDescent="0.2">
      <c r="A136" t="s">
        <v>292</v>
      </c>
      <c r="B136" t="s">
        <v>52</v>
      </c>
      <c r="C136" t="s">
        <v>130</v>
      </c>
      <c r="F136">
        <f t="shared" ca="1" si="4"/>
        <v>136</v>
      </c>
      <c r="G136">
        <f t="shared" ca="1" si="5"/>
        <v>3</v>
      </c>
    </row>
    <row r="137" spans="1:7" x14ac:dyDescent="0.2">
      <c r="A137" t="s">
        <v>292</v>
      </c>
      <c r="B137" t="s">
        <v>56</v>
      </c>
      <c r="C137" t="s">
        <v>130</v>
      </c>
      <c r="F137">
        <f t="shared" ca="1" si="4"/>
        <v>136</v>
      </c>
      <c r="G137">
        <f t="shared" ca="1" si="5"/>
        <v>3</v>
      </c>
    </row>
    <row r="138" spans="1:7" x14ac:dyDescent="0.2">
      <c r="A138" t="s">
        <v>292</v>
      </c>
      <c r="B138" t="s">
        <v>63</v>
      </c>
      <c r="C138" t="s">
        <v>130</v>
      </c>
      <c r="F138">
        <f t="shared" ca="1" si="4"/>
        <v>136</v>
      </c>
      <c r="G138">
        <f t="shared" ca="1" si="5"/>
        <v>3</v>
      </c>
    </row>
    <row r="139" spans="1:7" x14ac:dyDescent="0.2">
      <c r="A139" t="s">
        <v>293</v>
      </c>
      <c r="B139" t="s">
        <v>130</v>
      </c>
      <c r="C139" t="s">
        <v>130</v>
      </c>
      <c r="F139">
        <f t="shared" ca="1" si="4"/>
        <v>139</v>
      </c>
      <c r="G139">
        <f t="shared" ca="1" si="5"/>
        <v>1</v>
      </c>
    </row>
    <row r="140" spans="1:7" x14ac:dyDescent="0.2">
      <c r="A140" t="s">
        <v>294</v>
      </c>
      <c r="B140" t="s">
        <v>130</v>
      </c>
      <c r="C140" t="s">
        <v>130</v>
      </c>
      <c r="F140">
        <f t="shared" ca="1" si="4"/>
        <v>140</v>
      </c>
      <c r="G140">
        <f t="shared" ca="1" si="5"/>
        <v>1</v>
      </c>
    </row>
    <row r="141" spans="1:7" x14ac:dyDescent="0.2">
      <c r="A141" t="s">
        <v>295</v>
      </c>
      <c r="B141" t="s">
        <v>130</v>
      </c>
      <c r="C141" t="s">
        <v>130</v>
      </c>
      <c r="F141">
        <f t="shared" ca="1" si="4"/>
        <v>141</v>
      </c>
      <c r="G141">
        <f t="shared" ca="1" si="5"/>
        <v>1</v>
      </c>
    </row>
    <row r="142" spans="1:7" x14ac:dyDescent="0.2">
      <c r="A142" t="s">
        <v>296</v>
      </c>
      <c r="B142" t="s">
        <v>130</v>
      </c>
      <c r="C142" t="s">
        <v>130</v>
      </c>
      <c r="F142">
        <f t="shared" ca="1" si="4"/>
        <v>142</v>
      </c>
      <c r="G142">
        <f t="shared" ca="1" si="5"/>
        <v>1</v>
      </c>
    </row>
    <row r="143" spans="1:7" x14ac:dyDescent="0.2">
      <c r="A143" t="s">
        <v>297</v>
      </c>
      <c r="B143" t="s">
        <v>130</v>
      </c>
      <c r="C143" t="s">
        <v>130</v>
      </c>
      <c r="F143">
        <f t="shared" ca="1" si="4"/>
        <v>143</v>
      </c>
      <c r="G143">
        <f t="shared" ca="1" si="5"/>
        <v>1</v>
      </c>
    </row>
    <row r="144" spans="1:7" x14ac:dyDescent="0.2">
      <c r="A144" t="s">
        <v>298</v>
      </c>
      <c r="B144" t="s">
        <v>130</v>
      </c>
      <c r="C144" t="s">
        <v>130</v>
      </c>
      <c r="F144">
        <f t="shared" ca="1" si="4"/>
        <v>144</v>
      </c>
      <c r="G144">
        <f t="shared" ca="1" si="5"/>
        <v>1</v>
      </c>
    </row>
    <row r="145" spans="1:7" x14ac:dyDescent="0.2">
      <c r="A145" t="s">
        <v>299</v>
      </c>
      <c r="B145" t="s">
        <v>130</v>
      </c>
      <c r="C145" t="s">
        <v>130</v>
      </c>
      <c r="F145">
        <f t="shared" ca="1" si="4"/>
        <v>145</v>
      </c>
      <c r="G145">
        <f t="shared" ca="1" si="5"/>
        <v>1</v>
      </c>
    </row>
    <row r="146" spans="1:7" x14ac:dyDescent="0.2">
      <c r="A146" t="s">
        <v>300</v>
      </c>
      <c r="B146" t="s">
        <v>130</v>
      </c>
      <c r="C146" t="s">
        <v>130</v>
      </c>
      <c r="F146">
        <f t="shared" ca="1" si="4"/>
        <v>146</v>
      </c>
      <c r="G146">
        <f t="shared" ca="1" si="5"/>
        <v>1</v>
      </c>
    </row>
    <row r="147" spans="1:7" x14ac:dyDescent="0.2">
      <c r="A147" t="s">
        <v>1152</v>
      </c>
      <c r="B147" t="s">
        <v>130</v>
      </c>
      <c r="C147" t="s">
        <v>130</v>
      </c>
      <c r="F147">
        <f t="shared" ca="1" si="4"/>
        <v>147</v>
      </c>
      <c r="G147">
        <f t="shared" ca="1" si="5"/>
        <v>1</v>
      </c>
    </row>
    <row r="148" spans="1:7" x14ac:dyDescent="0.2">
      <c r="A148" t="s">
        <v>301</v>
      </c>
      <c r="B148" t="s">
        <v>130</v>
      </c>
      <c r="C148" t="s">
        <v>130</v>
      </c>
      <c r="F148">
        <f t="shared" ca="1" si="4"/>
        <v>148</v>
      </c>
      <c r="G148">
        <f t="shared" ca="1" si="5"/>
        <v>1</v>
      </c>
    </row>
    <row r="149" spans="1:7" x14ac:dyDescent="0.2">
      <c r="A149" t="s">
        <v>302</v>
      </c>
      <c r="B149" t="s">
        <v>130</v>
      </c>
      <c r="C149" t="s">
        <v>130</v>
      </c>
      <c r="F149">
        <f t="shared" ca="1" si="4"/>
        <v>149</v>
      </c>
      <c r="G149">
        <f t="shared" ca="1" si="5"/>
        <v>1</v>
      </c>
    </row>
    <row r="150" spans="1:7" x14ac:dyDescent="0.2">
      <c r="A150" t="s">
        <v>1153</v>
      </c>
      <c r="B150" t="s">
        <v>130</v>
      </c>
      <c r="C150" t="s">
        <v>130</v>
      </c>
      <c r="F150">
        <f t="shared" ca="1" si="4"/>
        <v>150</v>
      </c>
      <c r="G150">
        <f t="shared" ca="1" si="5"/>
        <v>1</v>
      </c>
    </row>
    <row r="151" spans="1:7" x14ac:dyDescent="0.2">
      <c r="A151" t="s">
        <v>303</v>
      </c>
      <c r="B151" t="s">
        <v>95</v>
      </c>
      <c r="C151" t="s">
        <v>130</v>
      </c>
      <c r="F151">
        <f t="shared" ca="1" si="4"/>
        <v>151</v>
      </c>
      <c r="G151">
        <f t="shared" ca="1" si="5"/>
        <v>1</v>
      </c>
    </row>
    <row r="152" spans="1:7" x14ac:dyDescent="0.2">
      <c r="A152" t="s">
        <v>304</v>
      </c>
      <c r="B152" t="s">
        <v>98</v>
      </c>
      <c r="C152" t="s">
        <v>130</v>
      </c>
      <c r="F152">
        <f t="shared" ca="1" si="4"/>
        <v>152</v>
      </c>
      <c r="G152">
        <f t="shared" ca="1" si="5"/>
        <v>1</v>
      </c>
    </row>
    <row r="153" spans="1:7" x14ac:dyDescent="0.2">
      <c r="A153" t="s">
        <v>305</v>
      </c>
      <c r="B153" t="s">
        <v>130</v>
      </c>
      <c r="C153" t="s">
        <v>130</v>
      </c>
      <c r="F153">
        <f t="shared" ca="1" si="4"/>
        <v>153</v>
      </c>
      <c r="G153">
        <f t="shared" ca="1" si="5"/>
        <v>1</v>
      </c>
    </row>
    <row r="154" spans="1:7" x14ac:dyDescent="0.2">
      <c r="A154" t="s">
        <v>306</v>
      </c>
      <c r="B154" t="s">
        <v>130</v>
      </c>
      <c r="C154" t="s">
        <v>130</v>
      </c>
      <c r="F154">
        <f t="shared" ca="1" si="4"/>
        <v>154</v>
      </c>
      <c r="G154">
        <f t="shared" ca="1" si="5"/>
        <v>1</v>
      </c>
    </row>
    <row r="155" spans="1:7" x14ac:dyDescent="0.2">
      <c r="A155" t="s">
        <v>307</v>
      </c>
      <c r="B155" t="s">
        <v>102</v>
      </c>
      <c r="C155" t="s">
        <v>130</v>
      </c>
      <c r="F155">
        <f t="shared" ca="1" si="4"/>
        <v>155</v>
      </c>
      <c r="G155">
        <f t="shared" ca="1" si="5"/>
        <v>1</v>
      </c>
    </row>
    <row r="156" spans="1:7" x14ac:dyDescent="0.2">
      <c r="A156" t="s">
        <v>103</v>
      </c>
      <c r="B156" t="s">
        <v>104</v>
      </c>
      <c r="C156" t="s">
        <v>376</v>
      </c>
      <c r="F156">
        <f t="shared" ca="1" si="4"/>
        <v>156</v>
      </c>
      <c r="G156">
        <f t="shared" ca="1" si="5"/>
        <v>2</v>
      </c>
    </row>
    <row r="157" spans="1:7" x14ac:dyDescent="0.2">
      <c r="A157" t="s">
        <v>103</v>
      </c>
      <c r="B157" t="s">
        <v>105</v>
      </c>
      <c r="C157" t="s">
        <v>130</v>
      </c>
      <c r="F157">
        <f t="shared" ca="1" si="4"/>
        <v>156</v>
      </c>
      <c r="G157">
        <f t="shared" ca="1" si="5"/>
        <v>2</v>
      </c>
    </row>
    <row r="158" spans="1:7" x14ac:dyDescent="0.2">
      <c r="A158" t="s">
        <v>308</v>
      </c>
      <c r="B158" t="s">
        <v>130</v>
      </c>
      <c r="C158" t="s">
        <v>130</v>
      </c>
      <c r="F158">
        <f t="shared" ca="1" si="4"/>
        <v>158</v>
      </c>
      <c r="G158">
        <f t="shared" ca="1" si="5"/>
        <v>1</v>
      </c>
    </row>
    <row r="159" spans="1:7" x14ac:dyDescent="0.2">
      <c r="A159" t="s">
        <v>1230</v>
      </c>
      <c r="B159" t="s">
        <v>1148</v>
      </c>
      <c r="C159" t="s">
        <v>130</v>
      </c>
      <c r="F159">
        <f t="shared" ca="1" si="4"/>
        <v>159</v>
      </c>
      <c r="G159">
        <f t="shared" ca="1" si="5"/>
        <v>1</v>
      </c>
    </row>
    <row r="160" spans="1:7" x14ac:dyDescent="0.2">
      <c r="A160" t="s">
        <v>309</v>
      </c>
      <c r="B160" t="s">
        <v>1184</v>
      </c>
      <c r="C160" t="s">
        <v>130</v>
      </c>
      <c r="F160">
        <f t="shared" ca="1" si="4"/>
        <v>160</v>
      </c>
      <c r="G160">
        <f t="shared" ca="1" si="5"/>
        <v>8</v>
      </c>
    </row>
    <row r="161" spans="1:7" x14ac:dyDescent="0.2">
      <c r="A161" t="s">
        <v>309</v>
      </c>
      <c r="B161" t="s">
        <v>1185</v>
      </c>
      <c r="C161" t="s">
        <v>130</v>
      </c>
      <c r="F161">
        <f t="shared" ca="1" si="4"/>
        <v>160</v>
      </c>
      <c r="G161">
        <f t="shared" ca="1" si="5"/>
        <v>8</v>
      </c>
    </row>
    <row r="162" spans="1:7" x14ac:dyDescent="0.2">
      <c r="A162" t="s">
        <v>309</v>
      </c>
      <c r="B162" t="s">
        <v>1186</v>
      </c>
      <c r="C162" t="s">
        <v>130</v>
      </c>
      <c r="F162">
        <f t="shared" ca="1" si="4"/>
        <v>160</v>
      </c>
      <c r="G162">
        <f t="shared" ca="1" si="5"/>
        <v>8</v>
      </c>
    </row>
    <row r="163" spans="1:7" x14ac:dyDescent="0.2">
      <c r="A163" t="s">
        <v>309</v>
      </c>
      <c r="B163" t="s">
        <v>1187</v>
      </c>
      <c r="C163" t="s">
        <v>130</v>
      </c>
      <c r="F163">
        <f t="shared" ca="1" si="4"/>
        <v>160</v>
      </c>
      <c r="G163">
        <f t="shared" ca="1" si="5"/>
        <v>8</v>
      </c>
    </row>
    <row r="164" spans="1:7" x14ac:dyDescent="0.2">
      <c r="A164" t="s">
        <v>309</v>
      </c>
      <c r="B164" t="s">
        <v>1188</v>
      </c>
      <c r="C164" t="s">
        <v>130</v>
      </c>
      <c r="F164">
        <f t="shared" ca="1" si="4"/>
        <v>160</v>
      </c>
      <c r="G164">
        <f t="shared" ca="1" si="5"/>
        <v>8</v>
      </c>
    </row>
    <row r="165" spans="1:7" x14ac:dyDescent="0.2">
      <c r="A165" t="s">
        <v>309</v>
      </c>
      <c r="B165" t="s">
        <v>1189</v>
      </c>
      <c r="C165" t="s">
        <v>130</v>
      </c>
      <c r="F165">
        <f t="shared" ca="1" si="4"/>
        <v>160</v>
      </c>
      <c r="G165">
        <f t="shared" ca="1" si="5"/>
        <v>8</v>
      </c>
    </row>
    <row r="166" spans="1:7" x14ac:dyDescent="0.2">
      <c r="A166" t="s">
        <v>309</v>
      </c>
      <c r="B166" t="s">
        <v>109</v>
      </c>
      <c r="C166" t="s">
        <v>130</v>
      </c>
      <c r="F166">
        <f t="shared" ca="1" si="4"/>
        <v>160</v>
      </c>
      <c r="G166">
        <f t="shared" ca="1" si="5"/>
        <v>8</v>
      </c>
    </row>
    <row r="167" spans="1:7" x14ac:dyDescent="0.2">
      <c r="A167" t="s">
        <v>309</v>
      </c>
      <c r="B167" t="s">
        <v>1278</v>
      </c>
      <c r="C167" t="s">
        <v>130</v>
      </c>
      <c r="F167">
        <f t="shared" ca="1" si="4"/>
        <v>160</v>
      </c>
      <c r="G167">
        <f t="shared" ca="1" si="5"/>
        <v>8</v>
      </c>
    </row>
    <row r="168" spans="1:7" x14ac:dyDescent="0.2">
      <c r="A168" t="s">
        <v>310</v>
      </c>
      <c r="B168" t="s">
        <v>113</v>
      </c>
      <c r="C168" t="s">
        <v>130</v>
      </c>
      <c r="F168">
        <f t="shared" ca="1" si="4"/>
        <v>168</v>
      </c>
      <c r="G168">
        <f t="shared" ca="1" si="5"/>
        <v>1</v>
      </c>
    </row>
    <row r="169" spans="1:7" x14ac:dyDescent="0.2">
      <c r="A169" t="s">
        <v>311</v>
      </c>
      <c r="B169" t="s">
        <v>114</v>
      </c>
      <c r="C169" t="s">
        <v>130</v>
      </c>
      <c r="F169">
        <f t="shared" ca="1" si="4"/>
        <v>169</v>
      </c>
      <c r="G169">
        <f t="shared" ca="1" si="5"/>
        <v>1</v>
      </c>
    </row>
    <row r="170" spans="1:7" x14ac:dyDescent="0.2">
      <c r="A170" t="s">
        <v>313</v>
      </c>
      <c r="B170" t="s">
        <v>126</v>
      </c>
      <c r="C170" t="s">
        <v>126</v>
      </c>
      <c r="F170">
        <f t="shared" ca="1" si="4"/>
        <v>170</v>
      </c>
      <c r="G170">
        <f t="shared" ca="1" si="5"/>
        <v>2</v>
      </c>
    </row>
    <row r="171" spans="1:7" x14ac:dyDescent="0.2">
      <c r="A171" t="s">
        <v>313</v>
      </c>
      <c r="B171" t="s">
        <v>219</v>
      </c>
      <c r="C171" t="s">
        <v>130</v>
      </c>
      <c r="F171">
        <f t="shared" ca="1" si="4"/>
        <v>170</v>
      </c>
      <c r="G171">
        <f t="shared" ca="1" si="5"/>
        <v>2</v>
      </c>
    </row>
    <row r="172" spans="1:7" x14ac:dyDescent="0.2">
      <c r="A172" t="s">
        <v>314</v>
      </c>
      <c r="B172" t="s">
        <v>30</v>
      </c>
      <c r="C172" t="s">
        <v>130</v>
      </c>
      <c r="F172">
        <f t="shared" ca="1" si="4"/>
        <v>172</v>
      </c>
      <c r="G172">
        <f t="shared" ca="1" si="5"/>
        <v>22</v>
      </c>
    </row>
    <row r="173" spans="1:7" x14ac:dyDescent="0.2">
      <c r="A173" t="s">
        <v>314</v>
      </c>
      <c r="B173" t="s">
        <v>31</v>
      </c>
      <c r="C173" t="s">
        <v>130</v>
      </c>
      <c r="F173">
        <f t="shared" ca="1" si="4"/>
        <v>172</v>
      </c>
      <c r="G173">
        <f t="shared" ca="1" si="5"/>
        <v>22</v>
      </c>
    </row>
    <row r="174" spans="1:7" x14ac:dyDescent="0.2">
      <c r="A174" t="s">
        <v>314</v>
      </c>
      <c r="B174" t="s">
        <v>31</v>
      </c>
      <c r="C174" t="s">
        <v>31</v>
      </c>
      <c r="F174">
        <f t="shared" ca="1" si="4"/>
        <v>172</v>
      </c>
      <c r="G174">
        <f t="shared" ca="1" si="5"/>
        <v>22</v>
      </c>
    </row>
    <row r="175" spans="1:7" x14ac:dyDescent="0.2">
      <c r="A175" t="s">
        <v>314</v>
      </c>
      <c r="B175" t="s">
        <v>67</v>
      </c>
      <c r="C175" t="s">
        <v>67</v>
      </c>
      <c r="F175">
        <f t="shared" ca="1" si="4"/>
        <v>172</v>
      </c>
      <c r="G175">
        <f t="shared" ca="1" si="5"/>
        <v>22</v>
      </c>
    </row>
    <row r="176" spans="1:7" x14ac:dyDescent="0.2">
      <c r="A176" t="s">
        <v>314</v>
      </c>
      <c r="B176" t="s">
        <v>1190</v>
      </c>
      <c r="C176" t="s">
        <v>130</v>
      </c>
      <c r="F176">
        <f t="shared" ca="1" si="4"/>
        <v>172</v>
      </c>
      <c r="G176">
        <f t="shared" ca="1" si="5"/>
        <v>22</v>
      </c>
    </row>
    <row r="177" spans="1:7" x14ac:dyDescent="0.2">
      <c r="A177" t="s">
        <v>314</v>
      </c>
      <c r="B177" t="s">
        <v>68</v>
      </c>
      <c r="C177" t="s">
        <v>130</v>
      </c>
      <c r="F177">
        <f t="shared" ca="1" si="4"/>
        <v>172</v>
      </c>
      <c r="G177">
        <f t="shared" ca="1" si="5"/>
        <v>22</v>
      </c>
    </row>
    <row r="178" spans="1:7" x14ac:dyDescent="0.2">
      <c r="A178" t="s">
        <v>314</v>
      </c>
      <c r="B178" t="s">
        <v>68</v>
      </c>
      <c r="C178" t="s">
        <v>65</v>
      </c>
      <c r="F178">
        <f t="shared" ca="1" si="4"/>
        <v>172</v>
      </c>
      <c r="G178">
        <f t="shared" ca="1" si="5"/>
        <v>22</v>
      </c>
    </row>
    <row r="179" spans="1:7" x14ac:dyDescent="0.2">
      <c r="A179" t="s">
        <v>314</v>
      </c>
      <c r="B179" t="s">
        <v>69</v>
      </c>
      <c r="C179" t="s">
        <v>130</v>
      </c>
      <c r="F179">
        <f t="shared" ca="1" si="4"/>
        <v>172</v>
      </c>
      <c r="G179">
        <f t="shared" ca="1" si="5"/>
        <v>22</v>
      </c>
    </row>
    <row r="180" spans="1:7" x14ac:dyDescent="0.2">
      <c r="A180" t="s">
        <v>314</v>
      </c>
      <c r="B180" t="s">
        <v>71</v>
      </c>
      <c r="C180" t="s">
        <v>130</v>
      </c>
      <c r="F180">
        <f t="shared" ca="1" si="4"/>
        <v>172</v>
      </c>
      <c r="G180">
        <f t="shared" ca="1" si="5"/>
        <v>22</v>
      </c>
    </row>
    <row r="181" spans="1:7" x14ac:dyDescent="0.2">
      <c r="A181" t="s">
        <v>314</v>
      </c>
      <c r="B181" t="s">
        <v>71</v>
      </c>
      <c r="C181" t="s">
        <v>71</v>
      </c>
      <c r="F181">
        <f t="shared" ca="1" si="4"/>
        <v>172</v>
      </c>
      <c r="G181">
        <f t="shared" ca="1" si="5"/>
        <v>22</v>
      </c>
    </row>
    <row r="182" spans="1:7" x14ac:dyDescent="0.2">
      <c r="A182" t="s">
        <v>314</v>
      </c>
      <c r="B182" t="s">
        <v>71</v>
      </c>
      <c r="C182" t="s">
        <v>65</v>
      </c>
      <c r="F182">
        <f t="shared" ca="1" si="4"/>
        <v>172</v>
      </c>
      <c r="G182">
        <f t="shared" ca="1" si="5"/>
        <v>22</v>
      </c>
    </row>
    <row r="183" spans="1:7" x14ac:dyDescent="0.2">
      <c r="A183" t="s">
        <v>314</v>
      </c>
      <c r="B183" t="s">
        <v>92</v>
      </c>
      <c r="C183" t="s">
        <v>130</v>
      </c>
      <c r="F183">
        <f t="shared" ca="1" si="4"/>
        <v>172</v>
      </c>
      <c r="G183">
        <f t="shared" ca="1" si="5"/>
        <v>22</v>
      </c>
    </row>
    <row r="184" spans="1:7" x14ac:dyDescent="0.2">
      <c r="A184" t="s">
        <v>314</v>
      </c>
      <c r="B184" t="s">
        <v>92</v>
      </c>
      <c r="C184" t="s">
        <v>92</v>
      </c>
      <c r="F184">
        <f t="shared" ca="1" si="4"/>
        <v>172</v>
      </c>
      <c r="G184">
        <f t="shared" ca="1" si="5"/>
        <v>22</v>
      </c>
    </row>
    <row r="185" spans="1:7" x14ac:dyDescent="0.2">
      <c r="A185" t="s">
        <v>314</v>
      </c>
      <c r="B185" t="s">
        <v>117</v>
      </c>
      <c r="C185" t="s">
        <v>130</v>
      </c>
      <c r="F185">
        <f t="shared" ca="1" si="4"/>
        <v>172</v>
      </c>
      <c r="G185">
        <f t="shared" ca="1" si="5"/>
        <v>22</v>
      </c>
    </row>
    <row r="186" spans="1:7" x14ac:dyDescent="0.2">
      <c r="A186" t="s">
        <v>314</v>
      </c>
      <c r="B186" t="s">
        <v>125</v>
      </c>
      <c r="C186" t="s">
        <v>125</v>
      </c>
      <c r="F186">
        <f t="shared" ca="1" si="4"/>
        <v>172</v>
      </c>
      <c r="G186">
        <f t="shared" ca="1" si="5"/>
        <v>22</v>
      </c>
    </row>
    <row r="187" spans="1:7" x14ac:dyDescent="0.2">
      <c r="A187" t="s">
        <v>314</v>
      </c>
      <c r="B187" t="s">
        <v>125</v>
      </c>
      <c r="C187" t="s">
        <v>130</v>
      </c>
      <c r="F187">
        <f t="shared" ca="1" si="4"/>
        <v>172</v>
      </c>
      <c r="G187">
        <f t="shared" ca="1" si="5"/>
        <v>22</v>
      </c>
    </row>
    <row r="188" spans="1:7" x14ac:dyDescent="0.2">
      <c r="A188" t="s">
        <v>314</v>
      </c>
      <c r="B188" t="s">
        <v>131</v>
      </c>
      <c r="C188" t="s">
        <v>131</v>
      </c>
      <c r="F188">
        <f t="shared" ca="1" si="4"/>
        <v>172</v>
      </c>
      <c r="G188">
        <f t="shared" ca="1" si="5"/>
        <v>22</v>
      </c>
    </row>
    <row r="189" spans="1:7" x14ac:dyDescent="0.2">
      <c r="A189" t="s">
        <v>314</v>
      </c>
      <c r="B189" t="s">
        <v>131</v>
      </c>
      <c r="C189" t="s">
        <v>130</v>
      </c>
      <c r="F189">
        <f t="shared" ca="1" si="4"/>
        <v>172</v>
      </c>
      <c r="G189">
        <f t="shared" ca="1" si="5"/>
        <v>22</v>
      </c>
    </row>
    <row r="190" spans="1:7" x14ac:dyDescent="0.2">
      <c r="A190" t="s">
        <v>314</v>
      </c>
      <c r="B190" t="s">
        <v>133</v>
      </c>
      <c r="C190" t="s">
        <v>130</v>
      </c>
      <c r="F190">
        <f t="shared" ca="1" si="4"/>
        <v>172</v>
      </c>
      <c r="G190">
        <f t="shared" ca="1" si="5"/>
        <v>22</v>
      </c>
    </row>
    <row r="191" spans="1:7" x14ac:dyDescent="0.2">
      <c r="A191" t="s">
        <v>314</v>
      </c>
      <c r="B191" t="s">
        <v>173</v>
      </c>
      <c r="C191" t="s">
        <v>130</v>
      </c>
      <c r="F191">
        <f t="shared" ca="1" si="4"/>
        <v>172</v>
      </c>
      <c r="G191">
        <f t="shared" ca="1" si="5"/>
        <v>22</v>
      </c>
    </row>
    <row r="192" spans="1:7" x14ac:dyDescent="0.2">
      <c r="A192" t="s">
        <v>314</v>
      </c>
      <c r="B192" t="s">
        <v>238</v>
      </c>
      <c r="C192" t="s">
        <v>130</v>
      </c>
      <c r="F192">
        <f t="shared" ca="1" si="4"/>
        <v>172</v>
      </c>
      <c r="G192">
        <f t="shared" ca="1" si="5"/>
        <v>22</v>
      </c>
    </row>
    <row r="193" spans="1:7" x14ac:dyDescent="0.2">
      <c r="A193" t="s">
        <v>314</v>
      </c>
      <c r="B193" t="s">
        <v>238</v>
      </c>
      <c r="C193" t="s">
        <v>65</v>
      </c>
      <c r="F193">
        <f t="shared" ca="1" si="4"/>
        <v>172</v>
      </c>
      <c r="G193">
        <f t="shared" ca="1" si="5"/>
        <v>22</v>
      </c>
    </row>
    <row r="194" spans="1:7" x14ac:dyDescent="0.2">
      <c r="A194" t="s">
        <v>315</v>
      </c>
      <c r="B194" t="s">
        <v>126</v>
      </c>
      <c r="C194" t="s">
        <v>126</v>
      </c>
      <c r="F194">
        <f t="shared" ref="F194:F257" ca="1" si="6">IFERROR(MATCH(OFFSET($A$1,ROW()-1,0,1,1),A:A,0),"")</f>
        <v>194</v>
      </c>
      <c r="G194">
        <f t="shared" ref="G194:G257" ca="1" si="7">COUNTIF(A:A,OFFSET($A$1,ROW()-1,0))</f>
        <v>2</v>
      </c>
    </row>
    <row r="195" spans="1:7" x14ac:dyDescent="0.2">
      <c r="A195" t="s">
        <v>315</v>
      </c>
      <c r="B195" t="s">
        <v>219</v>
      </c>
      <c r="C195" t="s">
        <v>130</v>
      </c>
      <c r="F195">
        <f t="shared" ca="1" si="6"/>
        <v>194</v>
      </c>
      <c r="G195">
        <f t="shared" ca="1" si="7"/>
        <v>2</v>
      </c>
    </row>
    <row r="196" spans="1:7" x14ac:dyDescent="0.2">
      <c r="A196" t="s">
        <v>316</v>
      </c>
      <c r="B196" t="s">
        <v>119</v>
      </c>
      <c r="C196" t="s">
        <v>130</v>
      </c>
      <c r="F196">
        <f t="shared" ca="1" si="6"/>
        <v>196</v>
      </c>
      <c r="G196">
        <f t="shared" ca="1" si="7"/>
        <v>1</v>
      </c>
    </row>
    <row r="197" spans="1:7" x14ac:dyDescent="0.2">
      <c r="A197" t="s">
        <v>121</v>
      </c>
      <c r="B197" t="s">
        <v>75</v>
      </c>
      <c r="C197" t="s">
        <v>130</v>
      </c>
      <c r="F197">
        <f t="shared" ca="1" si="6"/>
        <v>197</v>
      </c>
      <c r="G197">
        <f t="shared" ca="1" si="7"/>
        <v>2</v>
      </c>
    </row>
    <row r="198" spans="1:7" x14ac:dyDescent="0.2">
      <c r="A198" t="s">
        <v>121</v>
      </c>
      <c r="B198" t="s">
        <v>121</v>
      </c>
      <c r="C198" t="s">
        <v>130</v>
      </c>
      <c r="F198">
        <f t="shared" ca="1" si="6"/>
        <v>197</v>
      </c>
      <c r="G198">
        <f t="shared" ca="1" si="7"/>
        <v>2</v>
      </c>
    </row>
    <row r="199" spans="1:7" x14ac:dyDescent="0.2">
      <c r="A199" t="s">
        <v>317</v>
      </c>
      <c r="B199" t="s">
        <v>127</v>
      </c>
      <c r="C199" t="s">
        <v>130</v>
      </c>
      <c r="F199">
        <f t="shared" ca="1" si="6"/>
        <v>199</v>
      </c>
      <c r="G199">
        <f t="shared" ca="1" si="7"/>
        <v>1</v>
      </c>
    </row>
    <row r="200" spans="1:7" x14ac:dyDescent="0.2">
      <c r="A200" t="s">
        <v>318</v>
      </c>
      <c r="B200" t="s">
        <v>49</v>
      </c>
      <c r="C200" t="s">
        <v>130</v>
      </c>
      <c r="F200">
        <f t="shared" ca="1" si="6"/>
        <v>200</v>
      </c>
      <c r="G200">
        <f t="shared" ca="1" si="7"/>
        <v>12</v>
      </c>
    </row>
    <row r="201" spans="1:7" x14ac:dyDescent="0.2">
      <c r="A201" t="s">
        <v>318</v>
      </c>
      <c r="B201" t="s">
        <v>63</v>
      </c>
      <c r="C201" t="s">
        <v>130</v>
      </c>
      <c r="F201">
        <f t="shared" ca="1" si="6"/>
        <v>200</v>
      </c>
      <c r="G201">
        <f t="shared" ca="1" si="7"/>
        <v>12</v>
      </c>
    </row>
    <row r="202" spans="1:7" x14ac:dyDescent="0.2">
      <c r="A202" t="s">
        <v>318</v>
      </c>
      <c r="B202" t="s">
        <v>118</v>
      </c>
      <c r="C202" t="s">
        <v>376</v>
      </c>
      <c r="F202">
        <f t="shared" ca="1" si="6"/>
        <v>200</v>
      </c>
      <c r="G202">
        <f t="shared" ca="1" si="7"/>
        <v>12</v>
      </c>
    </row>
    <row r="203" spans="1:7" x14ac:dyDescent="0.2">
      <c r="A203" t="s">
        <v>318</v>
      </c>
      <c r="B203" t="s">
        <v>163</v>
      </c>
      <c r="C203" t="s">
        <v>130</v>
      </c>
      <c r="F203">
        <f t="shared" ca="1" si="6"/>
        <v>200</v>
      </c>
      <c r="G203">
        <f t="shared" ca="1" si="7"/>
        <v>12</v>
      </c>
    </row>
    <row r="204" spans="1:7" x14ac:dyDescent="0.2">
      <c r="A204" t="s">
        <v>318</v>
      </c>
      <c r="B204" t="s">
        <v>169</v>
      </c>
      <c r="C204" t="s">
        <v>405</v>
      </c>
      <c r="F204">
        <f t="shared" ca="1" si="6"/>
        <v>200</v>
      </c>
      <c r="G204">
        <f t="shared" ca="1" si="7"/>
        <v>12</v>
      </c>
    </row>
    <row r="205" spans="1:7" x14ac:dyDescent="0.2">
      <c r="A205" t="s">
        <v>318</v>
      </c>
      <c r="B205" t="s">
        <v>170</v>
      </c>
      <c r="C205" t="s">
        <v>129</v>
      </c>
      <c r="F205">
        <f t="shared" ca="1" si="6"/>
        <v>200</v>
      </c>
      <c r="G205">
        <f t="shared" ca="1" si="7"/>
        <v>12</v>
      </c>
    </row>
    <row r="206" spans="1:7" x14ac:dyDescent="0.2">
      <c r="A206" t="s">
        <v>318</v>
      </c>
      <c r="B206" t="s">
        <v>170</v>
      </c>
      <c r="C206" t="s">
        <v>130</v>
      </c>
      <c r="F206">
        <f t="shared" ca="1" si="6"/>
        <v>200</v>
      </c>
      <c r="G206">
        <f t="shared" ca="1" si="7"/>
        <v>12</v>
      </c>
    </row>
    <row r="207" spans="1:7" x14ac:dyDescent="0.2">
      <c r="A207" t="s">
        <v>318</v>
      </c>
      <c r="B207" t="s">
        <v>175</v>
      </c>
      <c r="C207" t="s">
        <v>376</v>
      </c>
      <c r="F207">
        <f t="shared" ca="1" si="6"/>
        <v>200</v>
      </c>
      <c r="G207">
        <f t="shared" ca="1" si="7"/>
        <v>12</v>
      </c>
    </row>
    <row r="208" spans="1:7" x14ac:dyDescent="0.2">
      <c r="A208" t="s">
        <v>318</v>
      </c>
      <c r="B208" t="s">
        <v>182</v>
      </c>
      <c r="C208" t="s">
        <v>405</v>
      </c>
      <c r="F208">
        <f t="shared" ca="1" si="6"/>
        <v>200</v>
      </c>
      <c r="G208">
        <f t="shared" ca="1" si="7"/>
        <v>12</v>
      </c>
    </row>
    <row r="209" spans="1:7" x14ac:dyDescent="0.2">
      <c r="A209" t="s">
        <v>318</v>
      </c>
      <c r="B209" t="s">
        <v>183</v>
      </c>
      <c r="C209" t="s">
        <v>129</v>
      </c>
      <c r="F209">
        <f t="shared" ca="1" si="6"/>
        <v>200</v>
      </c>
      <c r="G209">
        <f t="shared" ca="1" si="7"/>
        <v>12</v>
      </c>
    </row>
    <row r="210" spans="1:7" x14ac:dyDescent="0.2">
      <c r="A210" t="s">
        <v>318</v>
      </c>
      <c r="B210" t="s">
        <v>1279</v>
      </c>
      <c r="C210" t="s">
        <v>129</v>
      </c>
      <c r="F210">
        <f t="shared" ca="1" si="6"/>
        <v>200</v>
      </c>
      <c r="G210">
        <f t="shared" ca="1" si="7"/>
        <v>12</v>
      </c>
    </row>
    <row r="211" spans="1:7" x14ac:dyDescent="0.2">
      <c r="A211" t="s">
        <v>318</v>
      </c>
      <c r="B211" t="s">
        <v>1270</v>
      </c>
      <c r="C211" t="s">
        <v>130</v>
      </c>
      <c r="F211">
        <f t="shared" ca="1" si="6"/>
        <v>200</v>
      </c>
      <c r="G211">
        <f t="shared" ca="1" si="7"/>
        <v>12</v>
      </c>
    </row>
    <row r="212" spans="1:7" x14ac:dyDescent="0.2">
      <c r="A212" t="s">
        <v>1154</v>
      </c>
      <c r="B212" t="s">
        <v>129</v>
      </c>
      <c r="C212" t="s">
        <v>129</v>
      </c>
      <c r="F212">
        <f t="shared" ca="1" si="6"/>
        <v>212</v>
      </c>
      <c r="G212">
        <f t="shared" ca="1" si="7"/>
        <v>1</v>
      </c>
    </row>
    <row r="213" spans="1:7" x14ac:dyDescent="0.2">
      <c r="A213" t="s">
        <v>319</v>
      </c>
      <c r="B213" t="s">
        <v>157</v>
      </c>
      <c r="C213" t="s">
        <v>130</v>
      </c>
      <c r="F213">
        <f t="shared" ca="1" si="6"/>
        <v>213</v>
      </c>
      <c r="G213">
        <f t="shared" ca="1" si="7"/>
        <v>1</v>
      </c>
    </row>
    <row r="214" spans="1:7" x14ac:dyDescent="0.2">
      <c r="A214" t="s">
        <v>129</v>
      </c>
      <c r="B214" t="s">
        <v>405</v>
      </c>
      <c r="C214" t="s">
        <v>405</v>
      </c>
      <c r="F214">
        <f t="shared" ca="1" si="6"/>
        <v>214</v>
      </c>
      <c r="G214">
        <f t="shared" ca="1" si="7"/>
        <v>8</v>
      </c>
    </row>
    <row r="215" spans="1:7" x14ac:dyDescent="0.2">
      <c r="A215" t="s">
        <v>129</v>
      </c>
      <c r="B215" t="s">
        <v>49</v>
      </c>
      <c r="C215" t="s">
        <v>130</v>
      </c>
      <c r="F215">
        <f t="shared" ca="1" si="6"/>
        <v>214</v>
      </c>
      <c r="G215">
        <f t="shared" ca="1" si="7"/>
        <v>8</v>
      </c>
    </row>
    <row r="216" spans="1:7" x14ac:dyDescent="0.2">
      <c r="A216" t="s">
        <v>129</v>
      </c>
      <c r="B216" t="s">
        <v>129</v>
      </c>
      <c r="C216" t="s">
        <v>129</v>
      </c>
      <c r="F216">
        <f t="shared" ca="1" si="6"/>
        <v>214</v>
      </c>
      <c r="G216">
        <f t="shared" ca="1" si="7"/>
        <v>8</v>
      </c>
    </row>
    <row r="217" spans="1:7" x14ac:dyDescent="0.2">
      <c r="A217" t="s">
        <v>129</v>
      </c>
      <c r="B217" t="s">
        <v>163</v>
      </c>
      <c r="C217" t="s">
        <v>130</v>
      </c>
      <c r="F217">
        <f t="shared" ca="1" si="6"/>
        <v>214</v>
      </c>
      <c r="G217">
        <f t="shared" ca="1" si="7"/>
        <v>8</v>
      </c>
    </row>
    <row r="218" spans="1:7" x14ac:dyDescent="0.2">
      <c r="A218" t="s">
        <v>129</v>
      </c>
      <c r="B218" t="s">
        <v>169</v>
      </c>
      <c r="C218" t="s">
        <v>405</v>
      </c>
      <c r="F218">
        <f t="shared" ca="1" si="6"/>
        <v>214</v>
      </c>
      <c r="G218">
        <f t="shared" ca="1" si="7"/>
        <v>8</v>
      </c>
    </row>
    <row r="219" spans="1:7" x14ac:dyDescent="0.2">
      <c r="A219" t="s">
        <v>129</v>
      </c>
      <c r="B219" t="s">
        <v>170</v>
      </c>
      <c r="C219" t="s">
        <v>129</v>
      </c>
      <c r="F219">
        <f t="shared" ca="1" si="6"/>
        <v>214</v>
      </c>
      <c r="G219">
        <f t="shared" ca="1" si="7"/>
        <v>8</v>
      </c>
    </row>
    <row r="220" spans="1:7" x14ac:dyDescent="0.2">
      <c r="A220" t="s">
        <v>129</v>
      </c>
      <c r="B220" t="s">
        <v>170</v>
      </c>
      <c r="C220" t="s">
        <v>130</v>
      </c>
      <c r="F220">
        <f t="shared" ca="1" si="6"/>
        <v>214</v>
      </c>
      <c r="G220">
        <f t="shared" ca="1" si="7"/>
        <v>8</v>
      </c>
    </row>
    <row r="221" spans="1:7" x14ac:dyDescent="0.2">
      <c r="A221" t="s">
        <v>129</v>
      </c>
      <c r="B221" t="s">
        <v>183</v>
      </c>
      <c r="C221" t="s">
        <v>129</v>
      </c>
      <c r="F221">
        <f t="shared" ca="1" si="6"/>
        <v>214</v>
      </c>
      <c r="G221">
        <f t="shared" ca="1" si="7"/>
        <v>8</v>
      </c>
    </row>
    <row r="222" spans="1:7" x14ac:dyDescent="0.2">
      <c r="A222" t="s">
        <v>320</v>
      </c>
      <c r="B222" t="s">
        <v>132</v>
      </c>
      <c r="C222" t="s">
        <v>130</v>
      </c>
      <c r="F222">
        <f t="shared" ca="1" si="6"/>
        <v>222</v>
      </c>
      <c r="G222">
        <f t="shared" ca="1" si="7"/>
        <v>1</v>
      </c>
    </row>
    <row r="223" spans="1:7" x14ac:dyDescent="0.2">
      <c r="A223" t="s">
        <v>321</v>
      </c>
      <c r="B223" t="s">
        <v>135</v>
      </c>
      <c r="C223" t="s">
        <v>130</v>
      </c>
      <c r="F223">
        <f t="shared" ca="1" si="6"/>
        <v>223</v>
      </c>
      <c r="G223">
        <f t="shared" ca="1" si="7"/>
        <v>1</v>
      </c>
    </row>
    <row r="224" spans="1:7" x14ac:dyDescent="0.2">
      <c r="A224" t="s">
        <v>322</v>
      </c>
      <c r="B224" t="s">
        <v>1191</v>
      </c>
      <c r="C224" t="s">
        <v>130</v>
      </c>
      <c r="F224">
        <f t="shared" ca="1" si="6"/>
        <v>224</v>
      </c>
      <c r="G224">
        <f t="shared" ca="1" si="7"/>
        <v>3</v>
      </c>
    </row>
    <row r="225" spans="1:7" x14ac:dyDescent="0.2">
      <c r="A225" t="s">
        <v>322</v>
      </c>
      <c r="B225" t="s">
        <v>2</v>
      </c>
      <c r="C225" t="s">
        <v>130</v>
      </c>
      <c r="F225">
        <f t="shared" ca="1" si="6"/>
        <v>224</v>
      </c>
      <c r="G225">
        <f t="shared" ca="1" si="7"/>
        <v>3</v>
      </c>
    </row>
    <row r="226" spans="1:7" x14ac:dyDescent="0.2">
      <c r="A226" t="s">
        <v>322</v>
      </c>
      <c r="B226" t="s">
        <v>65</v>
      </c>
      <c r="C226" t="s">
        <v>376</v>
      </c>
      <c r="F226">
        <f t="shared" ca="1" si="6"/>
        <v>224</v>
      </c>
      <c r="G226">
        <f t="shared" ca="1" si="7"/>
        <v>3</v>
      </c>
    </row>
    <row r="227" spans="1:7" x14ac:dyDescent="0.2">
      <c r="A227" t="s">
        <v>323</v>
      </c>
      <c r="B227" t="s">
        <v>136</v>
      </c>
      <c r="C227" t="s">
        <v>130</v>
      </c>
      <c r="F227">
        <f t="shared" ca="1" si="6"/>
        <v>227</v>
      </c>
      <c r="G227">
        <f t="shared" ca="1" si="7"/>
        <v>1</v>
      </c>
    </row>
    <row r="228" spans="1:7" x14ac:dyDescent="0.2">
      <c r="A228" t="s">
        <v>324</v>
      </c>
      <c r="B228" t="s">
        <v>137</v>
      </c>
      <c r="C228" t="s">
        <v>130</v>
      </c>
      <c r="F228">
        <f t="shared" ca="1" si="6"/>
        <v>228</v>
      </c>
      <c r="G228">
        <f t="shared" ca="1" si="7"/>
        <v>1</v>
      </c>
    </row>
    <row r="229" spans="1:7" x14ac:dyDescent="0.2">
      <c r="A229" t="s">
        <v>1155</v>
      </c>
      <c r="B229" t="s">
        <v>1167</v>
      </c>
      <c r="C229" t="s">
        <v>130</v>
      </c>
      <c r="F229">
        <f t="shared" ca="1" si="6"/>
        <v>229</v>
      </c>
      <c r="G229">
        <f t="shared" ca="1" si="7"/>
        <v>3</v>
      </c>
    </row>
    <row r="230" spans="1:7" x14ac:dyDescent="0.2">
      <c r="A230" t="s">
        <v>1155</v>
      </c>
      <c r="B230" t="s">
        <v>1168</v>
      </c>
      <c r="C230" t="s">
        <v>130</v>
      </c>
      <c r="F230">
        <f t="shared" ca="1" si="6"/>
        <v>229</v>
      </c>
      <c r="G230">
        <f t="shared" ca="1" si="7"/>
        <v>3</v>
      </c>
    </row>
    <row r="231" spans="1:7" x14ac:dyDescent="0.2">
      <c r="A231" t="s">
        <v>1155</v>
      </c>
      <c r="B231" t="s">
        <v>1169</v>
      </c>
      <c r="C231" t="s">
        <v>130</v>
      </c>
      <c r="F231">
        <f t="shared" ca="1" si="6"/>
        <v>229</v>
      </c>
      <c r="G231">
        <f t="shared" ca="1" si="7"/>
        <v>3</v>
      </c>
    </row>
    <row r="232" spans="1:7" x14ac:dyDescent="0.2">
      <c r="A232" t="s">
        <v>871</v>
      </c>
      <c r="B232" t="s">
        <v>1167</v>
      </c>
      <c r="C232" t="s">
        <v>130</v>
      </c>
      <c r="F232">
        <f t="shared" ca="1" si="6"/>
        <v>232</v>
      </c>
      <c r="G232">
        <f t="shared" ca="1" si="7"/>
        <v>3</v>
      </c>
    </row>
    <row r="233" spans="1:7" x14ac:dyDescent="0.2">
      <c r="A233" t="s">
        <v>871</v>
      </c>
      <c r="B233" t="s">
        <v>1168</v>
      </c>
      <c r="C233" t="s">
        <v>130</v>
      </c>
      <c r="F233">
        <f t="shared" ca="1" si="6"/>
        <v>232</v>
      </c>
      <c r="G233">
        <f t="shared" ca="1" si="7"/>
        <v>3</v>
      </c>
    </row>
    <row r="234" spans="1:7" x14ac:dyDescent="0.2">
      <c r="A234" t="s">
        <v>871</v>
      </c>
      <c r="B234" t="s">
        <v>1169</v>
      </c>
      <c r="C234" t="s">
        <v>130</v>
      </c>
      <c r="F234">
        <f t="shared" ca="1" si="6"/>
        <v>232</v>
      </c>
      <c r="G234">
        <f t="shared" ca="1" si="7"/>
        <v>3</v>
      </c>
    </row>
    <row r="235" spans="1:7" x14ac:dyDescent="0.2">
      <c r="A235" t="s">
        <v>325</v>
      </c>
      <c r="B235" t="s">
        <v>130</v>
      </c>
      <c r="C235" t="s">
        <v>130</v>
      </c>
      <c r="F235">
        <f t="shared" ca="1" si="6"/>
        <v>235</v>
      </c>
      <c r="G235">
        <f t="shared" ca="1" si="7"/>
        <v>1</v>
      </c>
    </row>
    <row r="236" spans="1:7" x14ac:dyDescent="0.2">
      <c r="A236" t="s">
        <v>326</v>
      </c>
      <c r="B236" t="s">
        <v>1185</v>
      </c>
      <c r="C236" t="s">
        <v>130</v>
      </c>
      <c r="F236">
        <f t="shared" ca="1" si="6"/>
        <v>236</v>
      </c>
      <c r="G236">
        <f t="shared" ca="1" si="7"/>
        <v>15</v>
      </c>
    </row>
    <row r="237" spans="1:7" x14ac:dyDescent="0.2">
      <c r="A237" t="s">
        <v>326</v>
      </c>
      <c r="B237" t="s">
        <v>1189</v>
      </c>
      <c r="C237" t="s">
        <v>130</v>
      </c>
      <c r="F237">
        <f t="shared" ca="1" si="6"/>
        <v>236</v>
      </c>
      <c r="G237">
        <f t="shared" ca="1" si="7"/>
        <v>15</v>
      </c>
    </row>
    <row r="238" spans="1:7" x14ac:dyDescent="0.2">
      <c r="A238" t="s">
        <v>326</v>
      </c>
      <c r="B238" t="s">
        <v>109</v>
      </c>
      <c r="C238" t="s">
        <v>130</v>
      </c>
      <c r="F238">
        <f t="shared" ca="1" si="6"/>
        <v>236</v>
      </c>
      <c r="G238">
        <f t="shared" ca="1" si="7"/>
        <v>15</v>
      </c>
    </row>
    <row r="239" spans="1:7" x14ac:dyDescent="0.2">
      <c r="A239" t="s">
        <v>326</v>
      </c>
      <c r="B239" t="s">
        <v>113</v>
      </c>
      <c r="C239" t="s">
        <v>130</v>
      </c>
      <c r="F239">
        <f t="shared" ca="1" si="6"/>
        <v>236</v>
      </c>
      <c r="G239">
        <f t="shared" ca="1" si="7"/>
        <v>15</v>
      </c>
    </row>
    <row r="240" spans="1:7" x14ac:dyDescent="0.2">
      <c r="A240" t="s">
        <v>326</v>
      </c>
      <c r="B240" t="s">
        <v>1192</v>
      </c>
      <c r="C240" t="s">
        <v>130</v>
      </c>
      <c r="F240">
        <f t="shared" ca="1" si="6"/>
        <v>236</v>
      </c>
      <c r="G240">
        <f t="shared" ca="1" si="7"/>
        <v>15</v>
      </c>
    </row>
    <row r="241" spans="1:7" x14ac:dyDescent="0.2">
      <c r="A241" t="s">
        <v>326</v>
      </c>
      <c r="B241" t="s">
        <v>1196</v>
      </c>
      <c r="C241" t="s">
        <v>130</v>
      </c>
      <c r="F241">
        <f t="shared" ca="1" si="6"/>
        <v>236</v>
      </c>
      <c r="G241">
        <f t="shared" ca="1" si="7"/>
        <v>15</v>
      </c>
    </row>
    <row r="242" spans="1:7" x14ac:dyDescent="0.2">
      <c r="A242" t="s">
        <v>326</v>
      </c>
      <c r="B242" t="s">
        <v>1198</v>
      </c>
      <c r="C242" t="s">
        <v>130</v>
      </c>
      <c r="F242">
        <f t="shared" ca="1" si="6"/>
        <v>236</v>
      </c>
      <c r="G242">
        <f t="shared" ca="1" si="7"/>
        <v>15</v>
      </c>
    </row>
    <row r="243" spans="1:7" x14ac:dyDescent="0.2">
      <c r="A243" t="s">
        <v>326</v>
      </c>
      <c r="B243" t="s">
        <v>158</v>
      </c>
      <c r="C243" t="s">
        <v>130</v>
      </c>
      <c r="F243">
        <f t="shared" ca="1" si="6"/>
        <v>236</v>
      </c>
      <c r="G243">
        <f t="shared" ca="1" si="7"/>
        <v>15</v>
      </c>
    </row>
    <row r="244" spans="1:7" x14ac:dyDescent="0.2">
      <c r="A244" t="s">
        <v>326</v>
      </c>
      <c r="B244" t="s">
        <v>173</v>
      </c>
      <c r="C244" t="s">
        <v>130</v>
      </c>
      <c r="F244">
        <f t="shared" ca="1" si="6"/>
        <v>236</v>
      </c>
      <c r="G244">
        <f t="shared" ca="1" si="7"/>
        <v>15</v>
      </c>
    </row>
    <row r="245" spans="1:7" x14ac:dyDescent="0.2">
      <c r="A245" t="s">
        <v>326</v>
      </c>
      <c r="B245" t="s">
        <v>174</v>
      </c>
      <c r="C245" t="s">
        <v>130</v>
      </c>
      <c r="F245">
        <f t="shared" ca="1" si="6"/>
        <v>236</v>
      </c>
      <c r="G245">
        <f t="shared" ca="1" si="7"/>
        <v>15</v>
      </c>
    </row>
    <row r="246" spans="1:7" x14ac:dyDescent="0.2">
      <c r="A246" t="s">
        <v>326</v>
      </c>
      <c r="B246" t="s">
        <v>1200</v>
      </c>
      <c r="C246" t="s">
        <v>130</v>
      </c>
      <c r="F246">
        <f t="shared" ca="1" si="6"/>
        <v>236</v>
      </c>
      <c r="G246">
        <f t="shared" ca="1" si="7"/>
        <v>15</v>
      </c>
    </row>
    <row r="247" spans="1:7" x14ac:dyDescent="0.2">
      <c r="A247" t="s">
        <v>326</v>
      </c>
      <c r="B247" t="s">
        <v>1280</v>
      </c>
      <c r="C247" t="s">
        <v>130</v>
      </c>
      <c r="F247">
        <f t="shared" ca="1" si="6"/>
        <v>236</v>
      </c>
      <c r="G247">
        <f t="shared" ca="1" si="7"/>
        <v>15</v>
      </c>
    </row>
    <row r="248" spans="1:7" x14ac:dyDescent="0.2">
      <c r="A248" t="s">
        <v>326</v>
      </c>
      <c r="B248" t="s">
        <v>1282</v>
      </c>
      <c r="C248" t="s">
        <v>130</v>
      </c>
      <c r="F248">
        <f t="shared" ca="1" si="6"/>
        <v>236</v>
      </c>
      <c r="G248">
        <f t="shared" ca="1" si="7"/>
        <v>15</v>
      </c>
    </row>
    <row r="249" spans="1:7" x14ac:dyDescent="0.2">
      <c r="A249" t="s">
        <v>326</v>
      </c>
      <c r="B249" t="s">
        <v>1283</v>
      </c>
      <c r="C249" t="s">
        <v>130</v>
      </c>
      <c r="F249">
        <f t="shared" ca="1" si="6"/>
        <v>236</v>
      </c>
      <c r="G249">
        <f t="shared" ca="1" si="7"/>
        <v>15</v>
      </c>
    </row>
    <row r="250" spans="1:7" x14ac:dyDescent="0.2">
      <c r="A250" t="s">
        <v>326</v>
      </c>
      <c r="B250" t="s">
        <v>1284</v>
      </c>
      <c r="C250" t="s">
        <v>130</v>
      </c>
      <c r="F250">
        <f t="shared" ca="1" si="6"/>
        <v>236</v>
      </c>
      <c r="G250">
        <f t="shared" ca="1" si="7"/>
        <v>15</v>
      </c>
    </row>
    <row r="251" spans="1:7" x14ac:dyDescent="0.2">
      <c r="A251" t="s">
        <v>327</v>
      </c>
      <c r="B251" t="s">
        <v>144</v>
      </c>
      <c r="C251" t="s">
        <v>130</v>
      </c>
      <c r="F251">
        <f t="shared" ca="1" si="6"/>
        <v>251</v>
      </c>
      <c r="G251">
        <f t="shared" ca="1" si="7"/>
        <v>2</v>
      </c>
    </row>
    <row r="252" spans="1:7" x14ac:dyDescent="0.2">
      <c r="A252" t="s">
        <v>327</v>
      </c>
      <c r="B252" t="s">
        <v>145</v>
      </c>
      <c r="C252" t="s">
        <v>130</v>
      </c>
      <c r="F252">
        <f t="shared" ca="1" si="6"/>
        <v>251</v>
      </c>
      <c r="G252">
        <f t="shared" ca="1" si="7"/>
        <v>2</v>
      </c>
    </row>
    <row r="253" spans="1:7" x14ac:dyDescent="0.2">
      <c r="A253" t="s">
        <v>779</v>
      </c>
      <c r="B253" t="s">
        <v>1201</v>
      </c>
      <c r="C253" t="s">
        <v>130</v>
      </c>
      <c r="F253">
        <f t="shared" ca="1" si="6"/>
        <v>253</v>
      </c>
      <c r="G253">
        <f t="shared" ca="1" si="7"/>
        <v>1</v>
      </c>
    </row>
    <row r="254" spans="1:7" x14ac:dyDescent="0.2">
      <c r="A254" t="s">
        <v>328</v>
      </c>
      <c r="B254" t="s">
        <v>43</v>
      </c>
      <c r="C254" t="s">
        <v>130</v>
      </c>
      <c r="F254">
        <f t="shared" ca="1" si="6"/>
        <v>254</v>
      </c>
      <c r="G254">
        <f t="shared" ca="1" si="7"/>
        <v>7</v>
      </c>
    </row>
    <row r="255" spans="1:7" x14ac:dyDescent="0.2">
      <c r="A255" t="s">
        <v>328</v>
      </c>
      <c r="B255" t="s">
        <v>59</v>
      </c>
      <c r="C255" t="s">
        <v>376</v>
      </c>
      <c r="F255">
        <f t="shared" ca="1" si="6"/>
        <v>254</v>
      </c>
      <c r="G255">
        <f t="shared" ca="1" si="7"/>
        <v>7</v>
      </c>
    </row>
    <row r="256" spans="1:7" x14ac:dyDescent="0.2">
      <c r="A256" t="s">
        <v>328</v>
      </c>
      <c r="B256" t="s">
        <v>60</v>
      </c>
      <c r="C256" t="s">
        <v>376</v>
      </c>
      <c r="F256">
        <f t="shared" ca="1" si="6"/>
        <v>254</v>
      </c>
      <c r="G256">
        <f t="shared" ca="1" si="7"/>
        <v>7</v>
      </c>
    </row>
    <row r="257" spans="1:7" x14ac:dyDescent="0.2">
      <c r="A257" t="s">
        <v>328</v>
      </c>
      <c r="B257" t="s">
        <v>61</v>
      </c>
      <c r="C257" t="s">
        <v>130</v>
      </c>
      <c r="F257">
        <f t="shared" ca="1" si="6"/>
        <v>254</v>
      </c>
      <c r="G257">
        <f t="shared" ca="1" si="7"/>
        <v>7</v>
      </c>
    </row>
    <row r="258" spans="1:7" x14ac:dyDescent="0.2">
      <c r="A258" t="s">
        <v>328</v>
      </c>
      <c r="B258" t="s">
        <v>147</v>
      </c>
      <c r="C258" t="s">
        <v>130</v>
      </c>
      <c r="F258">
        <f t="shared" ref="F258:F296" ca="1" si="8">IFERROR(MATCH(OFFSET($A$1,ROW()-1,0,1,1),A:A,0),"")</f>
        <v>254</v>
      </c>
      <c r="G258">
        <f t="shared" ref="G258:G321" ca="1" si="9">COUNTIF(A:A,OFFSET($A$1,ROW()-1,0))</f>
        <v>7</v>
      </c>
    </row>
    <row r="259" spans="1:7" x14ac:dyDescent="0.2">
      <c r="A259" t="s">
        <v>328</v>
      </c>
      <c r="B259" t="s">
        <v>163</v>
      </c>
      <c r="C259" t="s">
        <v>130</v>
      </c>
      <c r="F259">
        <f t="shared" ca="1" si="8"/>
        <v>254</v>
      </c>
      <c r="G259">
        <f t="shared" ca="1" si="9"/>
        <v>7</v>
      </c>
    </row>
    <row r="260" spans="1:7" x14ac:dyDescent="0.2">
      <c r="A260" t="s">
        <v>328</v>
      </c>
      <c r="B260" t="s">
        <v>185</v>
      </c>
      <c r="C260" t="s">
        <v>376</v>
      </c>
      <c r="F260">
        <f t="shared" ca="1" si="8"/>
        <v>254</v>
      </c>
      <c r="G260">
        <f t="shared" ca="1" si="9"/>
        <v>7</v>
      </c>
    </row>
    <row r="261" spans="1:7" x14ac:dyDescent="0.2">
      <c r="A261" t="s">
        <v>329</v>
      </c>
      <c r="B261" t="s">
        <v>100</v>
      </c>
      <c r="C261" t="s">
        <v>1202</v>
      </c>
      <c r="F261">
        <f t="shared" ca="1" si="8"/>
        <v>261</v>
      </c>
      <c r="G261">
        <f t="shared" ca="1" si="9"/>
        <v>3</v>
      </c>
    </row>
    <row r="262" spans="1:7" x14ac:dyDescent="0.2">
      <c r="A262" t="s">
        <v>329</v>
      </c>
      <c r="B262" t="s">
        <v>150</v>
      </c>
      <c r="C262" t="s">
        <v>1143</v>
      </c>
      <c r="F262">
        <f t="shared" ca="1" si="8"/>
        <v>261</v>
      </c>
      <c r="G262">
        <f t="shared" ca="1" si="9"/>
        <v>3</v>
      </c>
    </row>
    <row r="263" spans="1:7" x14ac:dyDescent="0.2">
      <c r="A263" t="s">
        <v>329</v>
      </c>
      <c r="B263" t="s">
        <v>226</v>
      </c>
      <c r="C263" t="s">
        <v>1142</v>
      </c>
      <c r="F263">
        <f t="shared" ca="1" si="8"/>
        <v>261</v>
      </c>
      <c r="G263">
        <f t="shared" ca="1" si="9"/>
        <v>3</v>
      </c>
    </row>
    <row r="264" spans="1:7" x14ac:dyDescent="0.2">
      <c r="A264" t="s">
        <v>1156</v>
      </c>
      <c r="B264" t="s">
        <v>1142</v>
      </c>
      <c r="C264" t="s">
        <v>1142</v>
      </c>
      <c r="F264">
        <f t="shared" ca="1" si="8"/>
        <v>264</v>
      </c>
      <c r="G264">
        <f t="shared" ca="1" si="9"/>
        <v>2</v>
      </c>
    </row>
    <row r="265" spans="1:7" x14ac:dyDescent="0.2">
      <c r="A265" t="s">
        <v>1156</v>
      </c>
      <c r="B265" t="s">
        <v>1145</v>
      </c>
      <c r="C265" t="s">
        <v>1145</v>
      </c>
      <c r="F265">
        <f t="shared" ca="1" si="8"/>
        <v>264</v>
      </c>
      <c r="G265">
        <f t="shared" ca="1" si="9"/>
        <v>2</v>
      </c>
    </row>
    <row r="266" spans="1:7" x14ac:dyDescent="0.2">
      <c r="A266" t="s">
        <v>330</v>
      </c>
      <c r="B266" t="s">
        <v>149</v>
      </c>
      <c r="C266" t="s">
        <v>130</v>
      </c>
      <c r="F266">
        <f t="shared" ca="1" si="8"/>
        <v>266</v>
      </c>
      <c r="G266">
        <f t="shared" ca="1" si="9"/>
        <v>1</v>
      </c>
    </row>
    <row r="267" spans="1:7" x14ac:dyDescent="0.2">
      <c r="A267" t="s">
        <v>151</v>
      </c>
      <c r="B267" t="s">
        <v>151</v>
      </c>
      <c r="C267" t="s">
        <v>130</v>
      </c>
      <c r="F267">
        <f t="shared" ca="1" si="8"/>
        <v>267</v>
      </c>
      <c r="G267">
        <f t="shared" ca="1" si="9"/>
        <v>1</v>
      </c>
    </row>
    <row r="268" spans="1:7" x14ac:dyDescent="0.2">
      <c r="A268" t="s">
        <v>1157</v>
      </c>
      <c r="B268" t="s">
        <v>1203</v>
      </c>
      <c r="C268" t="s">
        <v>130</v>
      </c>
      <c r="F268">
        <f t="shared" ca="1" si="8"/>
        <v>268</v>
      </c>
      <c r="G268">
        <f t="shared" ca="1" si="9"/>
        <v>1</v>
      </c>
    </row>
    <row r="269" spans="1:7" x14ac:dyDescent="0.2">
      <c r="A269" t="s">
        <v>332</v>
      </c>
      <c r="B269" t="s">
        <v>152</v>
      </c>
      <c r="C269" t="s">
        <v>130</v>
      </c>
      <c r="F269">
        <f t="shared" ca="1" si="8"/>
        <v>269</v>
      </c>
      <c r="G269">
        <f t="shared" ca="1" si="9"/>
        <v>1</v>
      </c>
    </row>
    <row r="270" spans="1:7" x14ac:dyDescent="0.2">
      <c r="A270" t="s">
        <v>333</v>
      </c>
      <c r="B270" t="s">
        <v>157</v>
      </c>
      <c r="C270" t="s">
        <v>130</v>
      </c>
      <c r="F270">
        <f t="shared" ca="1" si="8"/>
        <v>270</v>
      </c>
      <c r="G270">
        <f t="shared" ca="1" si="9"/>
        <v>5</v>
      </c>
    </row>
    <row r="271" spans="1:7" x14ac:dyDescent="0.2">
      <c r="A271" t="s">
        <v>333</v>
      </c>
      <c r="B271" t="s">
        <v>179</v>
      </c>
      <c r="C271" t="s">
        <v>130</v>
      </c>
      <c r="F271">
        <f t="shared" ca="1" si="8"/>
        <v>270</v>
      </c>
      <c r="G271">
        <f t="shared" ca="1" si="9"/>
        <v>5</v>
      </c>
    </row>
    <row r="272" spans="1:7" x14ac:dyDescent="0.2">
      <c r="A272" t="s">
        <v>333</v>
      </c>
      <c r="B272" t="s">
        <v>184</v>
      </c>
      <c r="C272" t="s">
        <v>130</v>
      </c>
      <c r="F272">
        <f t="shared" ca="1" si="8"/>
        <v>270</v>
      </c>
      <c r="G272">
        <f t="shared" ca="1" si="9"/>
        <v>5</v>
      </c>
    </row>
    <row r="273" spans="1:7" x14ac:dyDescent="0.2">
      <c r="A273" t="s">
        <v>333</v>
      </c>
      <c r="B273" t="s">
        <v>218</v>
      </c>
      <c r="C273" t="s">
        <v>130</v>
      </c>
      <c r="F273">
        <f t="shared" ca="1" si="8"/>
        <v>270</v>
      </c>
      <c r="G273">
        <f t="shared" ca="1" si="9"/>
        <v>5</v>
      </c>
    </row>
    <row r="274" spans="1:7" x14ac:dyDescent="0.2">
      <c r="A274" t="s">
        <v>333</v>
      </c>
      <c r="B274" t="s">
        <v>218</v>
      </c>
      <c r="C274" t="s">
        <v>126</v>
      </c>
      <c r="F274">
        <f t="shared" ca="1" si="8"/>
        <v>270</v>
      </c>
      <c r="G274">
        <f t="shared" ca="1" si="9"/>
        <v>5</v>
      </c>
    </row>
    <row r="275" spans="1:7" x14ac:dyDescent="0.2">
      <c r="A275" t="s">
        <v>334</v>
      </c>
      <c r="B275" t="s">
        <v>130</v>
      </c>
      <c r="C275" t="s">
        <v>130</v>
      </c>
      <c r="F275">
        <f t="shared" ca="1" si="8"/>
        <v>275</v>
      </c>
      <c r="G275">
        <f t="shared" ca="1" si="9"/>
        <v>3</v>
      </c>
    </row>
    <row r="276" spans="1:7" x14ac:dyDescent="0.2">
      <c r="A276" t="s">
        <v>334</v>
      </c>
      <c r="B276" t="s">
        <v>158</v>
      </c>
      <c r="C276" t="s">
        <v>130</v>
      </c>
      <c r="F276">
        <f t="shared" ca="1" si="8"/>
        <v>275</v>
      </c>
      <c r="G276">
        <f t="shared" ca="1" si="9"/>
        <v>3</v>
      </c>
    </row>
    <row r="277" spans="1:7" x14ac:dyDescent="0.2">
      <c r="A277" t="s">
        <v>334</v>
      </c>
      <c r="B277" t="s">
        <v>162</v>
      </c>
      <c r="C277" t="s">
        <v>130</v>
      </c>
      <c r="F277">
        <f t="shared" ca="1" si="8"/>
        <v>275</v>
      </c>
      <c r="G277">
        <f t="shared" ca="1" si="9"/>
        <v>3</v>
      </c>
    </row>
    <row r="278" spans="1:7" x14ac:dyDescent="0.2">
      <c r="A278" t="s">
        <v>335</v>
      </c>
      <c r="B278" t="s">
        <v>160</v>
      </c>
      <c r="C278" t="s">
        <v>130</v>
      </c>
      <c r="F278">
        <f t="shared" ca="1" si="8"/>
        <v>278</v>
      </c>
      <c r="G278">
        <f t="shared" ca="1" si="9"/>
        <v>1</v>
      </c>
    </row>
    <row r="279" spans="1:7" x14ac:dyDescent="0.2">
      <c r="A279" t="s">
        <v>336</v>
      </c>
      <c r="B279" t="s">
        <v>188</v>
      </c>
      <c r="C279" t="s">
        <v>459</v>
      </c>
      <c r="F279">
        <f t="shared" ca="1" si="8"/>
        <v>279</v>
      </c>
      <c r="G279">
        <f t="shared" ca="1" si="9"/>
        <v>2</v>
      </c>
    </row>
    <row r="280" spans="1:7" x14ac:dyDescent="0.2">
      <c r="A280" t="s">
        <v>336</v>
      </c>
      <c r="B280" t="s">
        <v>188</v>
      </c>
      <c r="C280" t="s">
        <v>130</v>
      </c>
      <c r="F280">
        <f t="shared" ca="1" si="8"/>
        <v>279</v>
      </c>
      <c r="G280">
        <f t="shared" ca="1" si="9"/>
        <v>2</v>
      </c>
    </row>
    <row r="281" spans="1:7" x14ac:dyDescent="0.2">
      <c r="A281" t="s">
        <v>337</v>
      </c>
      <c r="B281" t="s">
        <v>93</v>
      </c>
      <c r="C281" t="s">
        <v>130</v>
      </c>
      <c r="F281">
        <f t="shared" ca="1" si="8"/>
        <v>281</v>
      </c>
      <c r="G281">
        <f t="shared" ca="1" si="9"/>
        <v>2</v>
      </c>
    </row>
    <row r="282" spans="1:7" x14ac:dyDescent="0.2">
      <c r="A282" t="s">
        <v>337</v>
      </c>
      <c r="B282" t="s">
        <v>161</v>
      </c>
      <c r="C282" t="s">
        <v>130</v>
      </c>
      <c r="F282">
        <f t="shared" ca="1" si="8"/>
        <v>281</v>
      </c>
      <c r="G282">
        <f t="shared" ca="1" si="9"/>
        <v>2</v>
      </c>
    </row>
    <row r="283" spans="1:7" x14ac:dyDescent="0.2">
      <c r="A283" t="s">
        <v>1158</v>
      </c>
      <c r="B283" t="s">
        <v>1158</v>
      </c>
      <c r="C283" t="s">
        <v>130</v>
      </c>
      <c r="F283">
        <f t="shared" ca="1" si="8"/>
        <v>283</v>
      </c>
      <c r="G283">
        <f t="shared" ca="1" si="9"/>
        <v>2</v>
      </c>
    </row>
    <row r="284" spans="1:7" x14ac:dyDescent="0.2">
      <c r="A284" t="s">
        <v>1158</v>
      </c>
      <c r="B284" t="s">
        <v>166</v>
      </c>
      <c r="C284" t="s">
        <v>130</v>
      </c>
      <c r="F284">
        <f t="shared" ca="1" si="8"/>
        <v>283</v>
      </c>
      <c r="G284">
        <f t="shared" ca="1" si="9"/>
        <v>2</v>
      </c>
    </row>
    <row r="285" spans="1:7" x14ac:dyDescent="0.2">
      <c r="A285" t="s">
        <v>338</v>
      </c>
      <c r="B285" t="s">
        <v>176</v>
      </c>
      <c r="C285" t="s">
        <v>130</v>
      </c>
      <c r="F285">
        <f t="shared" ca="1" si="8"/>
        <v>285</v>
      </c>
      <c r="G285">
        <f t="shared" ca="1" si="9"/>
        <v>1</v>
      </c>
    </row>
    <row r="286" spans="1:7" x14ac:dyDescent="0.2">
      <c r="A286" t="s">
        <v>339</v>
      </c>
      <c r="B286" t="s">
        <v>1142</v>
      </c>
      <c r="C286" t="s">
        <v>1142</v>
      </c>
      <c r="F286">
        <f t="shared" ca="1" si="8"/>
        <v>286</v>
      </c>
      <c r="G286">
        <f t="shared" ca="1" si="9"/>
        <v>3</v>
      </c>
    </row>
    <row r="287" spans="1:7" x14ac:dyDescent="0.2">
      <c r="A287" t="s">
        <v>339</v>
      </c>
      <c r="B287" t="s">
        <v>1143</v>
      </c>
      <c r="C287" t="s">
        <v>1143</v>
      </c>
      <c r="F287">
        <f t="shared" ca="1" si="8"/>
        <v>286</v>
      </c>
      <c r="G287">
        <f t="shared" ca="1" si="9"/>
        <v>3</v>
      </c>
    </row>
    <row r="288" spans="1:7" x14ac:dyDescent="0.2">
      <c r="A288" t="s">
        <v>339</v>
      </c>
      <c r="B288" t="s">
        <v>1145</v>
      </c>
      <c r="C288" t="s">
        <v>1145</v>
      </c>
      <c r="F288">
        <f t="shared" ca="1" si="8"/>
        <v>286</v>
      </c>
      <c r="G288">
        <f t="shared" ca="1" si="9"/>
        <v>3</v>
      </c>
    </row>
    <row r="289" spans="1:7" x14ac:dyDescent="0.2">
      <c r="A289" t="s">
        <v>1159</v>
      </c>
      <c r="B289" t="s">
        <v>1142</v>
      </c>
      <c r="C289" t="s">
        <v>1142</v>
      </c>
      <c r="F289">
        <f t="shared" ca="1" si="8"/>
        <v>289</v>
      </c>
      <c r="G289">
        <f t="shared" ca="1" si="9"/>
        <v>4</v>
      </c>
    </row>
    <row r="290" spans="1:7" x14ac:dyDescent="0.2">
      <c r="A290" t="s">
        <v>1159</v>
      </c>
      <c r="B290" t="s">
        <v>1143</v>
      </c>
      <c r="C290" t="s">
        <v>1143</v>
      </c>
      <c r="F290">
        <f t="shared" ca="1" si="8"/>
        <v>289</v>
      </c>
      <c r="G290">
        <f t="shared" ca="1" si="9"/>
        <v>4</v>
      </c>
    </row>
    <row r="291" spans="1:7" x14ac:dyDescent="0.2">
      <c r="A291" t="s">
        <v>1159</v>
      </c>
      <c r="B291" t="s">
        <v>1145</v>
      </c>
      <c r="C291" t="s">
        <v>1145</v>
      </c>
      <c r="F291">
        <f t="shared" ca="1" si="8"/>
        <v>289</v>
      </c>
      <c r="G291">
        <f t="shared" ca="1" si="9"/>
        <v>4</v>
      </c>
    </row>
    <row r="292" spans="1:7" x14ac:dyDescent="0.2">
      <c r="A292" t="s">
        <v>1159</v>
      </c>
      <c r="B292" t="s">
        <v>1202</v>
      </c>
      <c r="C292" t="s">
        <v>1202</v>
      </c>
      <c r="F292">
        <f t="shared" ca="1" si="8"/>
        <v>289</v>
      </c>
      <c r="G292">
        <f t="shared" ca="1" si="9"/>
        <v>4</v>
      </c>
    </row>
    <row r="293" spans="1:7" x14ac:dyDescent="0.2">
      <c r="A293" t="s">
        <v>1160</v>
      </c>
      <c r="B293" t="s">
        <v>1142</v>
      </c>
      <c r="C293" t="s">
        <v>1142</v>
      </c>
      <c r="F293">
        <f t="shared" ca="1" si="8"/>
        <v>293</v>
      </c>
      <c r="G293">
        <f t="shared" ca="1" si="9"/>
        <v>4</v>
      </c>
    </row>
    <row r="294" spans="1:7" x14ac:dyDescent="0.2">
      <c r="A294" t="s">
        <v>1160</v>
      </c>
      <c r="B294" t="s">
        <v>1143</v>
      </c>
      <c r="C294" t="s">
        <v>1143</v>
      </c>
      <c r="F294">
        <f t="shared" ca="1" si="8"/>
        <v>293</v>
      </c>
      <c r="G294">
        <f t="shared" ca="1" si="9"/>
        <v>4</v>
      </c>
    </row>
    <row r="295" spans="1:7" x14ac:dyDescent="0.2">
      <c r="A295" t="s">
        <v>1160</v>
      </c>
      <c r="B295" t="s">
        <v>1145</v>
      </c>
      <c r="C295" t="s">
        <v>1145</v>
      </c>
      <c r="F295">
        <f t="shared" ca="1" si="8"/>
        <v>293</v>
      </c>
      <c r="G295">
        <f t="shared" ca="1" si="9"/>
        <v>4</v>
      </c>
    </row>
    <row r="296" spans="1:7" x14ac:dyDescent="0.2">
      <c r="A296" t="s">
        <v>1160</v>
      </c>
      <c r="B296" t="s">
        <v>1202</v>
      </c>
      <c r="C296" t="s">
        <v>1202</v>
      </c>
      <c r="F296">
        <f t="shared" ca="1" si="8"/>
        <v>293</v>
      </c>
      <c r="G296">
        <f t="shared" ca="1" si="9"/>
        <v>4</v>
      </c>
    </row>
    <row r="297" spans="1:7" x14ac:dyDescent="0.2">
      <c r="A297" t="s">
        <v>1161</v>
      </c>
      <c r="B297" t="s">
        <v>1142</v>
      </c>
      <c r="C297" t="s">
        <v>1142</v>
      </c>
      <c r="G297">
        <f t="shared" ca="1" si="9"/>
        <v>1</v>
      </c>
    </row>
    <row r="298" spans="1:7" x14ac:dyDescent="0.2">
      <c r="A298" t="s">
        <v>340</v>
      </c>
      <c r="B298" t="s">
        <v>99</v>
      </c>
      <c r="C298" t="s">
        <v>130</v>
      </c>
      <c r="G298">
        <f t="shared" ca="1" si="9"/>
        <v>4</v>
      </c>
    </row>
    <row r="299" spans="1:7" x14ac:dyDescent="0.2">
      <c r="A299" t="s">
        <v>340</v>
      </c>
      <c r="B299" t="s">
        <v>100</v>
      </c>
      <c r="C299" t="s">
        <v>1202</v>
      </c>
      <c r="G299">
        <f t="shared" ca="1" si="9"/>
        <v>4</v>
      </c>
    </row>
    <row r="300" spans="1:7" x14ac:dyDescent="0.2">
      <c r="A300" t="s">
        <v>340</v>
      </c>
      <c r="B300" t="s">
        <v>150</v>
      </c>
      <c r="C300" t="s">
        <v>1143</v>
      </c>
      <c r="G300">
        <f t="shared" ca="1" si="9"/>
        <v>4</v>
      </c>
    </row>
    <row r="301" spans="1:7" x14ac:dyDescent="0.2">
      <c r="A301" t="s">
        <v>340</v>
      </c>
      <c r="B301" t="s">
        <v>226</v>
      </c>
      <c r="C301" t="s">
        <v>1142</v>
      </c>
      <c r="G301">
        <f t="shared" ca="1" si="9"/>
        <v>4</v>
      </c>
    </row>
    <row r="302" spans="1:7" x14ac:dyDescent="0.2">
      <c r="A302" t="s">
        <v>341</v>
      </c>
      <c r="B302" t="s">
        <v>180</v>
      </c>
      <c r="C302" t="s">
        <v>130</v>
      </c>
      <c r="G302">
        <f t="shared" ca="1" si="9"/>
        <v>1</v>
      </c>
    </row>
    <row r="303" spans="1:7" x14ac:dyDescent="0.2">
      <c r="A303" t="s">
        <v>342</v>
      </c>
      <c r="B303" t="s">
        <v>55</v>
      </c>
      <c r="C303" t="s">
        <v>130</v>
      </c>
      <c r="G303">
        <f t="shared" ca="1" si="9"/>
        <v>1</v>
      </c>
    </row>
    <row r="304" spans="1:7" x14ac:dyDescent="0.2">
      <c r="A304" t="s">
        <v>1162</v>
      </c>
      <c r="B304" t="s">
        <v>1206</v>
      </c>
      <c r="C304" t="s">
        <v>130</v>
      </c>
      <c r="G304">
        <f t="shared" ca="1" si="9"/>
        <v>1</v>
      </c>
    </row>
    <row r="305" spans="1:7" x14ac:dyDescent="0.2">
      <c r="A305" t="s">
        <v>1163</v>
      </c>
      <c r="B305" t="s">
        <v>137</v>
      </c>
      <c r="C305" t="s">
        <v>130</v>
      </c>
      <c r="G305">
        <f t="shared" ca="1" si="9"/>
        <v>1</v>
      </c>
    </row>
    <row r="306" spans="1:7" x14ac:dyDescent="0.2">
      <c r="A306" t="s">
        <v>187</v>
      </c>
      <c r="B306" t="s">
        <v>186</v>
      </c>
      <c r="C306" t="s">
        <v>130</v>
      </c>
      <c r="G306">
        <f t="shared" ca="1" si="9"/>
        <v>2</v>
      </c>
    </row>
    <row r="307" spans="1:7" x14ac:dyDescent="0.2">
      <c r="A307" t="s">
        <v>187</v>
      </c>
      <c r="B307" t="s">
        <v>187</v>
      </c>
      <c r="C307" t="s">
        <v>130</v>
      </c>
      <c r="G307">
        <f t="shared" ca="1" si="9"/>
        <v>2</v>
      </c>
    </row>
    <row r="308" spans="1:7" x14ac:dyDescent="0.2">
      <c r="A308" t="s">
        <v>1164</v>
      </c>
      <c r="B308" t="s">
        <v>1208</v>
      </c>
      <c r="C308" t="s">
        <v>130</v>
      </c>
      <c r="G308">
        <f t="shared" ca="1" si="9"/>
        <v>6</v>
      </c>
    </row>
    <row r="309" spans="1:7" x14ac:dyDescent="0.2">
      <c r="A309" t="s">
        <v>1164</v>
      </c>
      <c r="B309" t="s">
        <v>1209</v>
      </c>
      <c r="C309" t="s">
        <v>130</v>
      </c>
      <c r="G309">
        <f t="shared" ca="1" si="9"/>
        <v>6</v>
      </c>
    </row>
    <row r="310" spans="1:7" x14ac:dyDescent="0.2">
      <c r="A310" t="s">
        <v>1164</v>
      </c>
      <c r="B310" t="s">
        <v>1210</v>
      </c>
      <c r="C310" t="s">
        <v>130</v>
      </c>
      <c r="G310">
        <f t="shared" ca="1" si="9"/>
        <v>6</v>
      </c>
    </row>
    <row r="311" spans="1:7" x14ac:dyDescent="0.2">
      <c r="A311" t="s">
        <v>1164</v>
      </c>
      <c r="B311" t="s">
        <v>1211</v>
      </c>
      <c r="C311" t="s">
        <v>130</v>
      </c>
      <c r="G311">
        <f t="shared" ca="1" si="9"/>
        <v>6</v>
      </c>
    </row>
    <row r="312" spans="1:7" x14ac:dyDescent="0.2">
      <c r="A312" t="s">
        <v>1164</v>
      </c>
      <c r="B312" t="s">
        <v>1212</v>
      </c>
      <c r="C312" t="s">
        <v>130</v>
      </c>
      <c r="G312">
        <f t="shared" ca="1" si="9"/>
        <v>6</v>
      </c>
    </row>
    <row r="313" spans="1:7" x14ac:dyDescent="0.2">
      <c r="A313" t="s">
        <v>1164</v>
      </c>
      <c r="B313" t="s">
        <v>1259</v>
      </c>
      <c r="C313" t="s">
        <v>130</v>
      </c>
      <c r="G313">
        <f t="shared" ca="1" si="9"/>
        <v>6</v>
      </c>
    </row>
    <row r="314" spans="1:7" x14ac:dyDescent="0.2">
      <c r="A314" t="s">
        <v>343</v>
      </c>
      <c r="B314" t="s">
        <v>1213</v>
      </c>
      <c r="C314" t="s">
        <v>130</v>
      </c>
      <c r="G314">
        <f t="shared" ca="1" si="9"/>
        <v>6</v>
      </c>
    </row>
    <row r="315" spans="1:7" x14ac:dyDescent="0.2">
      <c r="A315" t="s">
        <v>343</v>
      </c>
      <c r="B315" t="s">
        <v>1214</v>
      </c>
      <c r="C315" t="s">
        <v>130</v>
      </c>
      <c r="G315">
        <f t="shared" ca="1" si="9"/>
        <v>6</v>
      </c>
    </row>
    <row r="316" spans="1:7" x14ac:dyDescent="0.2">
      <c r="A316" t="s">
        <v>343</v>
      </c>
      <c r="B316" t="s">
        <v>1215</v>
      </c>
      <c r="C316" t="s">
        <v>130</v>
      </c>
      <c r="G316">
        <f t="shared" ca="1" si="9"/>
        <v>6</v>
      </c>
    </row>
    <row r="317" spans="1:7" x14ac:dyDescent="0.2">
      <c r="A317" t="s">
        <v>343</v>
      </c>
      <c r="B317" t="s">
        <v>1146</v>
      </c>
      <c r="C317" t="s">
        <v>130</v>
      </c>
      <c r="G317">
        <f t="shared" ca="1" si="9"/>
        <v>6</v>
      </c>
    </row>
    <row r="318" spans="1:7" x14ac:dyDescent="0.2">
      <c r="A318" t="s">
        <v>343</v>
      </c>
      <c r="B318" t="s">
        <v>1206</v>
      </c>
      <c r="C318" t="s">
        <v>130</v>
      </c>
      <c r="G318">
        <f t="shared" ca="1" si="9"/>
        <v>6</v>
      </c>
    </row>
    <row r="319" spans="1:7" x14ac:dyDescent="0.2">
      <c r="A319" t="s">
        <v>343</v>
      </c>
      <c r="B319" t="s">
        <v>1169</v>
      </c>
      <c r="C319" t="s">
        <v>130</v>
      </c>
      <c r="G319">
        <f t="shared" ca="1" si="9"/>
        <v>6</v>
      </c>
    </row>
    <row r="320" spans="1:7" x14ac:dyDescent="0.2">
      <c r="A320" t="s">
        <v>220</v>
      </c>
      <c r="B320" t="s">
        <v>221</v>
      </c>
      <c r="C320" t="s">
        <v>130</v>
      </c>
      <c r="G320">
        <f t="shared" ca="1" si="9"/>
        <v>1</v>
      </c>
    </row>
    <row r="321" spans="1:7" x14ac:dyDescent="0.2">
      <c r="A321" t="s">
        <v>344</v>
      </c>
      <c r="B321" t="s">
        <v>64</v>
      </c>
      <c r="C321" t="s">
        <v>130</v>
      </c>
      <c r="G321">
        <f t="shared" ca="1" si="9"/>
        <v>1</v>
      </c>
    </row>
    <row r="322" spans="1:7" x14ac:dyDescent="0.2">
      <c r="A322" t="s">
        <v>345</v>
      </c>
      <c r="B322" t="s">
        <v>144</v>
      </c>
      <c r="C322" t="s">
        <v>130</v>
      </c>
      <c r="G322">
        <f t="shared" ref="G322:G385" ca="1" si="10">COUNTIF(A:A,OFFSET($A$1,ROW()-1,0))</f>
        <v>3</v>
      </c>
    </row>
    <row r="323" spans="1:7" x14ac:dyDescent="0.2">
      <c r="A323" t="s">
        <v>345</v>
      </c>
      <c r="B323" t="s">
        <v>145</v>
      </c>
      <c r="C323" t="s">
        <v>130</v>
      </c>
      <c r="G323">
        <f t="shared" ca="1" si="10"/>
        <v>3</v>
      </c>
    </row>
    <row r="324" spans="1:7" x14ac:dyDescent="0.2">
      <c r="A324" t="s">
        <v>345</v>
      </c>
      <c r="B324" t="s">
        <v>1286</v>
      </c>
      <c r="C324" t="s">
        <v>130</v>
      </c>
      <c r="G324">
        <f t="shared" ca="1" si="10"/>
        <v>3</v>
      </c>
    </row>
    <row r="325" spans="1:7" x14ac:dyDescent="0.2">
      <c r="A325" t="s">
        <v>346</v>
      </c>
      <c r="B325" t="s">
        <v>1191</v>
      </c>
      <c r="C325" t="s">
        <v>130</v>
      </c>
      <c r="G325">
        <f t="shared" ca="1" si="10"/>
        <v>4</v>
      </c>
    </row>
    <row r="326" spans="1:7" x14ac:dyDescent="0.2">
      <c r="A326" t="s">
        <v>346</v>
      </c>
      <c r="B326" t="s">
        <v>2</v>
      </c>
      <c r="C326" t="s">
        <v>130</v>
      </c>
      <c r="G326">
        <f t="shared" ca="1" si="10"/>
        <v>4</v>
      </c>
    </row>
    <row r="327" spans="1:7" x14ac:dyDescent="0.2">
      <c r="A327" t="s">
        <v>346</v>
      </c>
      <c r="B327" t="s">
        <v>40</v>
      </c>
      <c r="C327" t="s">
        <v>130</v>
      </c>
      <c r="G327">
        <f t="shared" ca="1" si="10"/>
        <v>4</v>
      </c>
    </row>
    <row r="328" spans="1:7" x14ac:dyDescent="0.2">
      <c r="A328" t="s">
        <v>346</v>
      </c>
      <c r="B328" t="s">
        <v>50</v>
      </c>
      <c r="C328" t="s">
        <v>376</v>
      </c>
      <c r="G328">
        <f t="shared" ca="1" si="10"/>
        <v>4</v>
      </c>
    </row>
    <row r="329" spans="1:7" x14ac:dyDescent="0.2">
      <c r="A329" t="s">
        <v>347</v>
      </c>
      <c r="B329" t="s">
        <v>130</v>
      </c>
      <c r="C329" t="s">
        <v>130</v>
      </c>
      <c r="G329">
        <f t="shared" ca="1" si="10"/>
        <v>1</v>
      </c>
    </row>
    <row r="330" spans="1:7" x14ac:dyDescent="0.2">
      <c r="A330" t="s">
        <v>873</v>
      </c>
      <c r="B330" t="s">
        <v>1167</v>
      </c>
      <c r="C330" t="s">
        <v>130</v>
      </c>
      <c r="G330">
        <f t="shared" ca="1" si="10"/>
        <v>5</v>
      </c>
    </row>
    <row r="331" spans="1:7" x14ac:dyDescent="0.2">
      <c r="A331" t="s">
        <v>873</v>
      </c>
      <c r="B331" t="s">
        <v>1168</v>
      </c>
      <c r="C331" t="s">
        <v>130</v>
      </c>
      <c r="G331">
        <f t="shared" ca="1" si="10"/>
        <v>5</v>
      </c>
    </row>
    <row r="332" spans="1:7" x14ac:dyDescent="0.2">
      <c r="A332" t="s">
        <v>873</v>
      </c>
      <c r="B332" t="s">
        <v>1169</v>
      </c>
      <c r="C332" t="s">
        <v>130</v>
      </c>
      <c r="G332">
        <f t="shared" ca="1" si="10"/>
        <v>5</v>
      </c>
    </row>
    <row r="333" spans="1:7" x14ac:dyDescent="0.2">
      <c r="A333" t="s">
        <v>873</v>
      </c>
      <c r="B333" t="s">
        <v>1287</v>
      </c>
      <c r="C333" t="s">
        <v>130</v>
      </c>
      <c r="G333">
        <f t="shared" ca="1" si="10"/>
        <v>5</v>
      </c>
    </row>
    <row r="334" spans="1:7" x14ac:dyDescent="0.2">
      <c r="A334" t="s">
        <v>873</v>
      </c>
      <c r="B334" t="s">
        <v>1148</v>
      </c>
      <c r="C334" t="s">
        <v>130</v>
      </c>
      <c r="G334">
        <f t="shared" ca="1" si="10"/>
        <v>5</v>
      </c>
    </row>
    <row r="335" spans="1:7" x14ac:dyDescent="0.2">
      <c r="A335" t="s">
        <v>348</v>
      </c>
      <c r="B335" t="s">
        <v>119</v>
      </c>
      <c r="C335" t="s">
        <v>130</v>
      </c>
      <c r="G335">
        <f t="shared" ca="1" si="10"/>
        <v>1</v>
      </c>
    </row>
    <row r="336" spans="1:7" x14ac:dyDescent="0.2">
      <c r="A336" t="s">
        <v>349</v>
      </c>
      <c r="B336" t="s">
        <v>57</v>
      </c>
      <c r="C336" t="s">
        <v>130</v>
      </c>
      <c r="G336">
        <f t="shared" ca="1" si="10"/>
        <v>1</v>
      </c>
    </row>
    <row r="337" spans="1:7" x14ac:dyDescent="0.2">
      <c r="A337" t="s">
        <v>350</v>
      </c>
      <c r="B337" t="s">
        <v>51</v>
      </c>
      <c r="C337" t="s">
        <v>376</v>
      </c>
      <c r="G337">
        <f t="shared" ca="1" si="10"/>
        <v>4</v>
      </c>
    </row>
    <row r="338" spans="1:7" x14ac:dyDescent="0.2">
      <c r="A338" t="s">
        <v>350</v>
      </c>
      <c r="B338" t="s">
        <v>69</v>
      </c>
      <c r="C338" t="s">
        <v>130</v>
      </c>
      <c r="G338">
        <f t="shared" ca="1" si="10"/>
        <v>4</v>
      </c>
    </row>
    <row r="339" spans="1:7" x14ac:dyDescent="0.2">
      <c r="A339" t="s">
        <v>350</v>
      </c>
      <c r="B339" t="s">
        <v>232</v>
      </c>
      <c r="C339" t="s">
        <v>376</v>
      </c>
      <c r="G339">
        <f t="shared" ca="1" si="10"/>
        <v>4</v>
      </c>
    </row>
    <row r="340" spans="1:7" x14ac:dyDescent="0.2">
      <c r="A340" t="s">
        <v>350</v>
      </c>
      <c r="B340" t="s">
        <v>1288</v>
      </c>
      <c r="C340" t="s">
        <v>376</v>
      </c>
      <c r="G340">
        <f t="shared" ca="1" si="10"/>
        <v>4</v>
      </c>
    </row>
    <row r="341" spans="1:7" x14ac:dyDescent="0.2">
      <c r="A341" t="s">
        <v>351</v>
      </c>
      <c r="B341" t="s">
        <v>27</v>
      </c>
      <c r="C341" t="s">
        <v>462</v>
      </c>
      <c r="G341">
        <f t="shared" ca="1" si="10"/>
        <v>6</v>
      </c>
    </row>
    <row r="342" spans="1:7" x14ac:dyDescent="0.2">
      <c r="A342" t="s">
        <v>351</v>
      </c>
      <c r="B342" t="s">
        <v>122</v>
      </c>
      <c r="C342" t="s">
        <v>122</v>
      </c>
      <c r="G342">
        <f t="shared" ca="1" si="10"/>
        <v>6</v>
      </c>
    </row>
    <row r="343" spans="1:7" x14ac:dyDescent="0.2">
      <c r="A343" t="s">
        <v>351</v>
      </c>
      <c r="B343" t="s">
        <v>164</v>
      </c>
      <c r="C343" t="s">
        <v>130</v>
      </c>
      <c r="G343">
        <f t="shared" ca="1" si="10"/>
        <v>6</v>
      </c>
    </row>
    <row r="344" spans="1:7" x14ac:dyDescent="0.2">
      <c r="A344" t="s">
        <v>351</v>
      </c>
      <c r="B344" t="s">
        <v>175</v>
      </c>
      <c r="C344" t="s">
        <v>462</v>
      </c>
      <c r="G344">
        <f t="shared" ca="1" si="10"/>
        <v>6</v>
      </c>
    </row>
    <row r="345" spans="1:7" x14ac:dyDescent="0.2">
      <c r="A345" t="s">
        <v>351</v>
      </c>
      <c r="B345" t="s">
        <v>230</v>
      </c>
      <c r="C345" t="s">
        <v>462</v>
      </c>
      <c r="G345">
        <f t="shared" ca="1" si="10"/>
        <v>6</v>
      </c>
    </row>
    <row r="346" spans="1:7" x14ac:dyDescent="0.2">
      <c r="A346" t="s">
        <v>351</v>
      </c>
      <c r="B346" t="s">
        <v>1270</v>
      </c>
      <c r="C346" t="s">
        <v>130</v>
      </c>
      <c r="G346">
        <f t="shared" ca="1" si="10"/>
        <v>6</v>
      </c>
    </row>
    <row r="347" spans="1:7" x14ac:dyDescent="0.2">
      <c r="A347" t="s">
        <v>352</v>
      </c>
      <c r="B347" t="s">
        <v>234</v>
      </c>
      <c r="C347" t="s">
        <v>376</v>
      </c>
      <c r="G347">
        <f t="shared" ca="1" si="10"/>
        <v>5</v>
      </c>
    </row>
    <row r="348" spans="1:7" x14ac:dyDescent="0.2">
      <c r="A348" t="s">
        <v>352</v>
      </c>
      <c r="B348" t="s">
        <v>236</v>
      </c>
      <c r="C348" t="s">
        <v>130</v>
      </c>
      <c r="G348">
        <f t="shared" ca="1" si="10"/>
        <v>5</v>
      </c>
    </row>
    <row r="349" spans="1:7" x14ac:dyDescent="0.2">
      <c r="A349" t="s">
        <v>352</v>
      </c>
      <c r="B349" t="s">
        <v>1290</v>
      </c>
      <c r="C349" t="s">
        <v>130</v>
      </c>
      <c r="G349">
        <f t="shared" ca="1" si="10"/>
        <v>5</v>
      </c>
    </row>
    <row r="350" spans="1:7" x14ac:dyDescent="0.2">
      <c r="A350" t="s">
        <v>352</v>
      </c>
      <c r="B350" t="s">
        <v>237</v>
      </c>
      <c r="C350" t="s">
        <v>376</v>
      </c>
      <c r="G350">
        <f t="shared" ca="1" si="10"/>
        <v>5</v>
      </c>
    </row>
    <row r="351" spans="1:7" x14ac:dyDescent="0.2">
      <c r="A351" t="s">
        <v>352</v>
      </c>
      <c r="B351" t="s">
        <v>1291</v>
      </c>
      <c r="C351" t="s">
        <v>376</v>
      </c>
      <c r="G351">
        <f t="shared" ca="1" si="10"/>
        <v>5</v>
      </c>
    </row>
    <row r="352" spans="1:7" x14ac:dyDescent="0.2">
      <c r="A352" t="s">
        <v>1265</v>
      </c>
      <c r="B352" t="s">
        <v>1292</v>
      </c>
      <c r="C352" t="s">
        <v>130</v>
      </c>
      <c r="G352">
        <f t="shared" ca="1" si="10"/>
        <v>1</v>
      </c>
    </row>
    <row r="353" spans="1:7" x14ac:dyDescent="0.2">
      <c r="A353" t="s">
        <v>237</v>
      </c>
      <c r="B353" t="s">
        <v>119</v>
      </c>
      <c r="C353" t="s">
        <v>130</v>
      </c>
      <c r="G353">
        <f t="shared" ca="1" si="10"/>
        <v>1</v>
      </c>
    </row>
    <row r="354" spans="1:7" x14ac:dyDescent="0.2">
      <c r="A354" t="s">
        <v>353</v>
      </c>
      <c r="B354" t="s">
        <v>19</v>
      </c>
      <c r="C354" t="s">
        <v>130</v>
      </c>
      <c r="G354">
        <f t="shared" ca="1" si="10"/>
        <v>5</v>
      </c>
    </row>
    <row r="355" spans="1:7" x14ac:dyDescent="0.2">
      <c r="A355" t="s">
        <v>353</v>
      </c>
      <c r="B355" t="s">
        <v>1146</v>
      </c>
      <c r="C355" t="s">
        <v>130</v>
      </c>
      <c r="G355">
        <f t="shared" ca="1" si="10"/>
        <v>5</v>
      </c>
    </row>
    <row r="356" spans="1:7" x14ac:dyDescent="0.2">
      <c r="A356" t="s">
        <v>353</v>
      </c>
      <c r="B356" t="s">
        <v>1147</v>
      </c>
      <c r="C356" t="s">
        <v>130</v>
      </c>
      <c r="G356">
        <f t="shared" ca="1" si="10"/>
        <v>5</v>
      </c>
    </row>
    <row r="357" spans="1:7" x14ac:dyDescent="0.2">
      <c r="A357" t="s">
        <v>353</v>
      </c>
      <c r="B357" t="s">
        <v>1216</v>
      </c>
      <c r="C357" t="s">
        <v>130</v>
      </c>
      <c r="G357">
        <f t="shared" ca="1" si="10"/>
        <v>5</v>
      </c>
    </row>
    <row r="358" spans="1:7" x14ac:dyDescent="0.2">
      <c r="A358" t="s">
        <v>353</v>
      </c>
      <c r="B358" t="s">
        <v>1293</v>
      </c>
      <c r="C358" t="s">
        <v>130</v>
      </c>
      <c r="G358">
        <f t="shared" ca="1" si="10"/>
        <v>5</v>
      </c>
    </row>
    <row r="359" spans="1:7" x14ac:dyDescent="0.2">
      <c r="A359" t="s">
        <v>354</v>
      </c>
      <c r="B359" t="s">
        <v>78</v>
      </c>
      <c r="C359" t="s">
        <v>130</v>
      </c>
      <c r="G359">
        <f t="shared" ca="1" si="10"/>
        <v>1</v>
      </c>
    </row>
    <row r="360" spans="1:7" x14ac:dyDescent="0.2">
      <c r="A360" t="s">
        <v>355</v>
      </c>
      <c r="B360" t="s">
        <v>15</v>
      </c>
      <c r="C360" t="s">
        <v>15</v>
      </c>
      <c r="G360">
        <f t="shared" ca="1" si="10"/>
        <v>26</v>
      </c>
    </row>
    <row r="361" spans="1:7" x14ac:dyDescent="0.2">
      <c r="A361" t="s">
        <v>355</v>
      </c>
      <c r="B361" t="s">
        <v>66</v>
      </c>
      <c r="C361" t="s">
        <v>376</v>
      </c>
      <c r="G361">
        <f t="shared" ca="1" si="10"/>
        <v>26</v>
      </c>
    </row>
    <row r="362" spans="1:7" x14ac:dyDescent="0.2">
      <c r="A362" t="s">
        <v>355</v>
      </c>
      <c r="B362" t="s">
        <v>88</v>
      </c>
      <c r="C362" t="s">
        <v>222</v>
      </c>
      <c r="G362">
        <f t="shared" ca="1" si="10"/>
        <v>26</v>
      </c>
    </row>
    <row r="363" spans="1:7" x14ac:dyDescent="0.2">
      <c r="A363" t="s">
        <v>355</v>
      </c>
      <c r="B363" t="s">
        <v>103</v>
      </c>
      <c r="C363" t="s">
        <v>257</v>
      </c>
      <c r="G363">
        <f t="shared" ca="1" si="10"/>
        <v>26</v>
      </c>
    </row>
    <row r="364" spans="1:7" x14ac:dyDescent="0.2">
      <c r="A364" t="s">
        <v>355</v>
      </c>
      <c r="B364" t="s">
        <v>106</v>
      </c>
      <c r="C364" t="s">
        <v>388</v>
      </c>
      <c r="G364">
        <f t="shared" ca="1" si="10"/>
        <v>26</v>
      </c>
    </row>
    <row r="365" spans="1:7" x14ac:dyDescent="0.2">
      <c r="A365" t="s">
        <v>355</v>
      </c>
      <c r="B365" t="s">
        <v>107</v>
      </c>
      <c r="C365" t="s">
        <v>464</v>
      </c>
      <c r="G365">
        <f t="shared" ca="1" si="10"/>
        <v>26</v>
      </c>
    </row>
    <row r="366" spans="1:7" x14ac:dyDescent="0.2">
      <c r="A366" t="s">
        <v>355</v>
      </c>
      <c r="B366" t="s">
        <v>128</v>
      </c>
      <c r="C366" t="s">
        <v>257</v>
      </c>
      <c r="G366">
        <f t="shared" ca="1" si="10"/>
        <v>26</v>
      </c>
    </row>
    <row r="367" spans="1:7" x14ac:dyDescent="0.2">
      <c r="A367" t="s">
        <v>355</v>
      </c>
      <c r="B367" t="s">
        <v>138</v>
      </c>
      <c r="C367" t="s">
        <v>7</v>
      </c>
      <c r="G367">
        <f t="shared" ca="1" si="10"/>
        <v>26</v>
      </c>
    </row>
    <row r="368" spans="1:7" x14ac:dyDescent="0.2">
      <c r="A368" t="s">
        <v>355</v>
      </c>
      <c r="B368" t="s">
        <v>139</v>
      </c>
      <c r="C368" t="s">
        <v>257</v>
      </c>
      <c r="G368">
        <f t="shared" ca="1" si="10"/>
        <v>26</v>
      </c>
    </row>
    <row r="369" spans="1:7" x14ac:dyDescent="0.2">
      <c r="A369" t="s">
        <v>355</v>
      </c>
      <c r="B369" t="s">
        <v>140</v>
      </c>
      <c r="C369" t="s">
        <v>465</v>
      </c>
      <c r="G369">
        <f t="shared" ca="1" si="10"/>
        <v>26</v>
      </c>
    </row>
    <row r="370" spans="1:7" x14ac:dyDescent="0.2">
      <c r="A370" t="s">
        <v>355</v>
      </c>
      <c r="B370" t="s">
        <v>141</v>
      </c>
      <c r="C370" t="s">
        <v>176</v>
      </c>
      <c r="G370">
        <f t="shared" ca="1" si="10"/>
        <v>26</v>
      </c>
    </row>
    <row r="371" spans="1:7" x14ac:dyDescent="0.2">
      <c r="A371" t="s">
        <v>355</v>
      </c>
      <c r="B371" t="s">
        <v>142</v>
      </c>
      <c r="C371" t="s">
        <v>130</v>
      </c>
      <c r="G371">
        <f t="shared" ca="1" si="10"/>
        <v>26</v>
      </c>
    </row>
    <row r="372" spans="1:7" x14ac:dyDescent="0.2">
      <c r="A372" t="s">
        <v>355</v>
      </c>
      <c r="B372" t="s">
        <v>143</v>
      </c>
      <c r="C372" t="s">
        <v>257</v>
      </c>
      <c r="G372">
        <f t="shared" ca="1" si="10"/>
        <v>26</v>
      </c>
    </row>
    <row r="373" spans="1:7" x14ac:dyDescent="0.2">
      <c r="A373" t="s">
        <v>355</v>
      </c>
      <c r="B373" t="s">
        <v>153</v>
      </c>
      <c r="C373" t="s">
        <v>130</v>
      </c>
      <c r="G373">
        <f t="shared" ca="1" si="10"/>
        <v>26</v>
      </c>
    </row>
    <row r="374" spans="1:7" x14ac:dyDescent="0.2">
      <c r="A374" t="s">
        <v>355</v>
      </c>
      <c r="B374" t="s">
        <v>171</v>
      </c>
      <c r="C374" t="s">
        <v>79</v>
      </c>
      <c r="G374">
        <f t="shared" ca="1" si="10"/>
        <v>26</v>
      </c>
    </row>
    <row r="375" spans="1:7" x14ac:dyDescent="0.2">
      <c r="A375" t="s">
        <v>355</v>
      </c>
      <c r="B375" t="s">
        <v>172</v>
      </c>
      <c r="C375" t="s">
        <v>388</v>
      </c>
      <c r="G375">
        <f t="shared" ca="1" si="10"/>
        <v>26</v>
      </c>
    </row>
    <row r="376" spans="1:7" x14ac:dyDescent="0.2">
      <c r="A376" t="s">
        <v>355</v>
      </c>
      <c r="B376" t="s">
        <v>189</v>
      </c>
      <c r="C376" t="s">
        <v>7</v>
      </c>
      <c r="G376">
        <f t="shared" ca="1" si="10"/>
        <v>26</v>
      </c>
    </row>
    <row r="377" spans="1:7" x14ac:dyDescent="0.2">
      <c r="A377" t="s">
        <v>355</v>
      </c>
      <c r="B377" t="s">
        <v>190</v>
      </c>
      <c r="C377" t="s">
        <v>257</v>
      </c>
      <c r="G377">
        <f t="shared" ca="1" si="10"/>
        <v>26</v>
      </c>
    </row>
    <row r="378" spans="1:7" x14ac:dyDescent="0.2">
      <c r="A378" t="s">
        <v>355</v>
      </c>
      <c r="B378" t="s">
        <v>191</v>
      </c>
      <c r="C378" t="s">
        <v>465</v>
      </c>
      <c r="G378">
        <f t="shared" ca="1" si="10"/>
        <v>26</v>
      </c>
    </row>
    <row r="379" spans="1:7" x14ac:dyDescent="0.2">
      <c r="A379" t="s">
        <v>355</v>
      </c>
      <c r="B379" t="s">
        <v>192</v>
      </c>
      <c r="C379" t="s">
        <v>176</v>
      </c>
      <c r="G379">
        <f t="shared" ca="1" si="10"/>
        <v>26</v>
      </c>
    </row>
    <row r="380" spans="1:7" x14ac:dyDescent="0.2">
      <c r="A380" t="s">
        <v>355</v>
      </c>
      <c r="B380" t="s">
        <v>193</v>
      </c>
      <c r="C380" t="s">
        <v>130</v>
      </c>
      <c r="G380">
        <f t="shared" ca="1" si="10"/>
        <v>26</v>
      </c>
    </row>
    <row r="381" spans="1:7" x14ac:dyDescent="0.2">
      <c r="A381" t="s">
        <v>355</v>
      </c>
      <c r="B381" t="s">
        <v>194</v>
      </c>
      <c r="C381" t="s">
        <v>257</v>
      </c>
      <c r="G381">
        <f t="shared" ca="1" si="10"/>
        <v>26</v>
      </c>
    </row>
    <row r="382" spans="1:7" x14ac:dyDescent="0.2">
      <c r="A382" t="s">
        <v>355</v>
      </c>
      <c r="B382" t="s">
        <v>215</v>
      </c>
      <c r="C382" t="s">
        <v>388</v>
      </c>
      <c r="G382">
        <f t="shared" ca="1" si="10"/>
        <v>26</v>
      </c>
    </row>
    <row r="383" spans="1:7" x14ac:dyDescent="0.2">
      <c r="A383" t="s">
        <v>355</v>
      </c>
      <c r="B383" t="s">
        <v>216</v>
      </c>
      <c r="C383" t="s">
        <v>464</v>
      </c>
      <c r="G383">
        <f t="shared" ca="1" si="10"/>
        <v>26</v>
      </c>
    </row>
    <row r="384" spans="1:7" x14ac:dyDescent="0.2">
      <c r="A384" t="s">
        <v>355</v>
      </c>
      <c r="B384" t="s">
        <v>217</v>
      </c>
      <c r="C384" t="s">
        <v>79</v>
      </c>
      <c r="G384">
        <f t="shared" ca="1" si="10"/>
        <v>26</v>
      </c>
    </row>
    <row r="385" spans="1:7" x14ac:dyDescent="0.2">
      <c r="A385" t="s">
        <v>355</v>
      </c>
      <c r="B385" t="s">
        <v>1294</v>
      </c>
      <c r="C385" t="s">
        <v>130</v>
      </c>
      <c r="G385">
        <f t="shared" ca="1" si="10"/>
        <v>26</v>
      </c>
    </row>
    <row r="386" spans="1:7" x14ac:dyDescent="0.2">
      <c r="G386">
        <f t="shared" ref="G386:G449" ca="1" si="11">COUNTIF(A:A,OFFSET($A$1,ROW()-1,0))</f>
        <v>0</v>
      </c>
    </row>
    <row r="387" spans="1:7" x14ac:dyDescent="0.2">
      <c r="G387">
        <f t="shared" ca="1" si="11"/>
        <v>0</v>
      </c>
    </row>
    <row r="388" spans="1:7" x14ac:dyDescent="0.2">
      <c r="G388">
        <f t="shared" ca="1" si="11"/>
        <v>0</v>
      </c>
    </row>
    <row r="389" spans="1:7" x14ac:dyDescent="0.2">
      <c r="G389">
        <f t="shared" ca="1" si="11"/>
        <v>0</v>
      </c>
    </row>
    <row r="390" spans="1:7" x14ac:dyDescent="0.2">
      <c r="G390">
        <f t="shared" ca="1" si="11"/>
        <v>0</v>
      </c>
    </row>
    <row r="391" spans="1:7" x14ac:dyDescent="0.2">
      <c r="G391">
        <f t="shared" ca="1" si="11"/>
        <v>0</v>
      </c>
    </row>
    <row r="392" spans="1:7" x14ac:dyDescent="0.2">
      <c r="G392">
        <f t="shared" ca="1" si="11"/>
        <v>0</v>
      </c>
    </row>
    <row r="393" spans="1:7" x14ac:dyDescent="0.2">
      <c r="G393">
        <f t="shared" ca="1" si="11"/>
        <v>0</v>
      </c>
    </row>
    <row r="394" spans="1:7" x14ac:dyDescent="0.2">
      <c r="G394">
        <f t="shared" ca="1" si="11"/>
        <v>0</v>
      </c>
    </row>
    <row r="395" spans="1:7" x14ac:dyDescent="0.2">
      <c r="G395">
        <f t="shared" ca="1" si="11"/>
        <v>0</v>
      </c>
    </row>
    <row r="396" spans="1:7" x14ac:dyDescent="0.2">
      <c r="G396">
        <f t="shared" ca="1" si="11"/>
        <v>0</v>
      </c>
    </row>
    <row r="397" spans="1:7" x14ac:dyDescent="0.2">
      <c r="G397">
        <f t="shared" ca="1" si="11"/>
        <v>0</v>
      </c>
    </row>
    <row r="398" spans="1:7" x14ac:dyDescent="0.2">
      <c r="G398">
        <f t="shared" ca="1" si="11"/>
        <v>0</v>
      </c>
    </row>
    <row r="399" spans="1:7" x14ac:dyDescent="0.2">
      <c r="G399">
        <f t="shared" ca="1" si="11"/>
        <v>0</v>
      </c>
    </row>
    <row r="400" spans="1:7" x14ac:dyDescent="0.2">
      <c r="G400">
        <f t="shared" ca="1" si="11"/>
        <v>0</v>
      </c>
    </row>
    <row r="401" spans="7:7" x14ac:dyDescent="0.2">
      <c r="G401">
        <f t="shared" ca="1" si="11"/>
        <v>0</v>
      </c>
    </row>
    <row r="402" spans="7:7" x14ac:dyDescent="0.2">
      <c r="G402">
        <f t="shared" ca="1" si="11"/>
        <v>0</v>
      </c>
    </row>
    <row r="403" spans="7:7" x14ac:dyDescent="0.2">
      <c r="G403">
        <f t="shared" ca="1" si="11"/>
        <v>0</v>
      </c>
    </row>
    <row r="404" spans="7:7" x14ac:dyDescent="0.2">
      <c r="G404">
        <f t="shared" ca="1" si="11"/>
        <v>0</v>
      </c>
    </row>
    <row r="405" spans="7:7" x14ac:dyDescent="0.2">
      <c r="G405">
        <f t="shared" ca="1" si="11"/>
        <v>0</v>
      </c>
    </row>
    <row r="406" spans="7:7" x14ac:dyDescent="0.2">
      <c r="G406">
        <f t="shared" ca="1" si="11"/>
        <v>0</v>
      </c>
    </row>
    <row r="407" spans="7:7" x14ac:dyDescent="0.2">
      <c r="G407">
        <f t="shared" ca="1" si="11"/>
        <v>0</v>
      </c>
    </row>
    <row r="408" spans="7:7" x14ac:dyDescent="0.2">
      <c r="G408">
        <f t="shared" ca="1" si="11"/>
        <v>0</v>
      </c>
    </row>
    <row r="409" spans="7:7" x14ac:dyDescent="0.2">
      <c r="G409">
        <f t="shared" ca="1" si="11"/>
        <v>0</v>
      </c>
    </row>
    <row r="410" spans="7:7" x14ac:dyDescent="0.2">
      <c r="G410">
        <f t="shared" ca="1" si="11"/>
        <v>0</v>
      </c>
    </row>
    <row r="411" spans="7:7" x14ac:dyDescent="0.2">
      <c r="G411">
        <f t="shared" ca="1" si="11"/>
        <v>0</v>
      </c>
    </row>
    <row r="412" spans="7:7" x14ac:dyDescent="0.2">
      <c r="G412">
        <f t="shared" ca="1" si="11"/>
        <v>0</v>
      </c>
    </row>
    <row r="413" spans="7:7" x14ac:dyDescent="0.2">
      <c r="G413">
        <f t="shared" ca="1" si="11"/>
        <v>0</v>
      </c>
    </row>
    <row r="414" spans="7:7" x14ac:dyDescent="0.2">
      <c r="G414">
        <f t="shared" ca="1" si="11"/>
        <v>0</v>
      </c>
    </row>
    <row r="415" spans="7:7" x14ac:dyDescent="0.2">
      <c r="G415">
        <f t="shared" ca="1" si="11"/>
        <v>0</v>
      </c>
    </row>
    <row r="416" spans="7:7" x14ac:dyDescent="0.2">
      <c r="G416">
        <f t="shared" ca="1" si="11"/>
        <v>0</v>
      </c>
    </row>
    <row r="417" spans="7:7" x14ac:dyDescent="0.2">
      <c r="G417">
        <f t="shared" ca="1" si="11"/>
        <v>0</v>
      </c>
    </row>
    <row r="418" spans="7:7" x14ac:dyDescent="0.2">
      <c r="G418">
        <f t="shared" ca="1" si="11"/>
        <v>0</v>
      </c>
    </row>
    <row r="419" spans="7:7" x14ac:dyDescent="0.2">
      <c r="G419">
        <f t="shared" ca="1" si="11"/>
        <v>0</v>
      </c>
    </row>
    <row r="420" spans="7:7" x14ac:dyDescent="0.2">
      <c r="G420">
        <f t="shared" ca="1" si="11"/>
        <v>0</v>
      </c>
    </row>
    <row r="421" spans="7:7" x14ac:dyDescent="0.2">
      <c r="G421">
        <f t="shared" ca="1" si="11"/>
        <v>0</v>
      </c>
    </row>
    <row r="422" spans="7:7" x14ac:dyDescent="0.2">
      <c r="G422">
        <f t="shared" ca="1" si="11"/>
        <v>0</v>
      </c>
    </row>
    <row r="423" spans="7:7" x14ac:dyDescent="0.2">
      <c r="G423">
        <f t="shared" ca="1" si="11"/>
        <v>0</v>
      </c>
    </row>
    <row r="424" spans="7:7" x14ac:dyDescent="0.2">
      <c r="G424">
        <f t="shared" ca="1" si="11"/>
        <v>0</v>
      </c>
    </row>
    <row r="425" spans="7:7" x14ac:dyDescent="0.2">
      <c r="G425">
        <f t="shared" ca="1" si="11"/>
        <v>0</v>
      </c>
    </row>
    <row r="426" spans="7:7" x14ac:dyDescent="0.2">
      <c r="G426">
        <f t="shared" ca="1" si="11"/>
        <v>0</v>
      </c>
    </row>
    <row r="427" spans="7:7" x14ac:dyDescent="0.2">
      <c r="G427">
        <f t="shared" ca="1" si="11"/>
        <v>0</v>
      </c>
    </row>
    <row r="428" spans="7:7" x14ac:dyDescent="0.2">
      <c r="G428">
        <f t="shared" ca="1" si="11"/>
        <v>0</v>
      </c>
    </row>
    <row r="429" spans="7:7" x14ac:dyDescent="0.2">
      <c r="G429">
        <f t="shared" ca="1" si="11"/>
        <v>0</v>
      </c>
    </row>
    <row r="430" spans="7:7" x14ac:dyDescent="0.2">
      <c r="G430">
        <f t="shared" ca="1" si="11"/>
        <v>0</v>
      </c>
    </row>
    <row r="431" spans="7:7" x14ac:dyDescent="0.2">
      <c r="G431">
        <f t="shared" ca="1" si="11"/>
        <v>0</v>
      </c>
    </row>
    <row r="432" spans="7:7" x14ac:dyDescent="0.2">
      <c r="G432">
        <f t="shared" ca="1" si="11"/>
        <v>0</v>
      </c>
    </row>
    <row r="433" spans="7:7" x14ac:dyDescent="0.2">
      <c r="G433">
        <f t="shared" ca="1" si="11"/>
        <v>0</v>
      </c>
    </row>
    <row r="434" spans="7:7" x14ac:dyDescent="0.2">
      <c r="G434">
        <f t="shared" ca="1" si="11"/>
        <v>0</v>
      </c>
    </row>
    <row r="435" spans="7:7" x14ac:dyDescent="0.2">
      <c r="G435">
        <f t="shared" ca="1" si="11"/>
        <v>0</v>
      </c>
    </row>
    <row r="436" spans="7:7" x14ac:dyDescent="0.2">
      <c r="G436">
        <f t="shared" ca="1" si="11"/>
        <v>0</v>
      </c>
    </row>
    <row r="437" spans="7:7" x14ac:dyDescent="0.2">
      <c r="G437">
        <f t="shared" ca="1" si="11"/>
        <v>0</v>
      </c>
    </row>
    <row r="438" spans="7:7" x14ac:dyDescent="0.2">
      <c r="G438">
        <f t="shared" ca="1" si="11"/>
        <v>0</v>
      </c>
    </row>
    <row r="439" spans="7:7" x14ac:dyDescent="0.2">
      <c r="G439">
        <f t="shared" ca="1" si="11"/>
        <v>0</v>
      </c>
    </row>
    <row r="440" spans="7:7" x14ac:dyDescent="0.2">
      <c r="G440">
        <f t="shared" ca="1" si="11"/>
        <v>0</v>
      </c>
    </row>
    <row r="441" spans="7:7" x14ac:dyDescent="0.2">
      <c r="G441">
        <f t="shared" ca="1" si="11"/>
        <v>0</v>
      </c>
    </row>
    <row r="442" spans="7:7" x14ac:dyDescent="0.2">
      <c r="G442">
        <f t="shared" ca="1" si="11"/>
        <v>0</v>
      </c>
    </row>
    <row r="443" spans="7:7" x14ac:dyDescent="0.2">
      <c r="G443">
        <f t="shared" ca="1" si="11"/>
        <v>0</v>
      </c>
    </row>
    <row r="444" spans="7:7" x14ac:dyDescent="0.2">
      <c r="G444">
        <f t="shared" ca="1" si="11"/>
        <v>0</v>
      </c>
    </row>
    <row r="445" spans="7:7" x14ac:dyDescent="0.2">
      <c r="G445">
        <f t="shared" ca="1" si="11"/>
        <v>0</v>
      </c>
    </row>
    <row r="446" spans="7:7" x14ac:dyDescent="0.2">
      <c r="G446">
        <f t="shared" ca="1" si="11"/>
        <v>0</v>
      </c>
    </row>
    <row r="447" spans="7:7" x14ac:dyDescent="0.2">
      <c r="G447">
        <f t="shared" ca="1" si="11"/>
        <v>0</v>
      </c>
    </row>
    <row r="448" spans="7:7" x14ac:dyDescent="0.2">
      <c r="G448">
        <f t="shared" ca="1" si="11"/>
        <v>0</v>
      </c>
    </row>
    <row r="449" spans="7:7" x14ac:dyDescent="0.2">
      <c r="G449">
        <f t="shared" ca="1" si="11"/>
        <v>0</v>
      </c>
    </row>
    <row r="450" spans="7:7" x14ac:dyDescent="0.2">
      <c r="G450">
        <f t="shared" ref="G450:G513" ca="1" si="12">COUNTIF(A:A,OFFSET($A$1,ROW()-1,0))</f>
        <v>0</v>
      </c>
    </row>
    <row r="451" spans="7:7" x14ac:dyDescent="0.2">
      <c r="G451">
        <f t="shared" ca="1" si="12"/>
        <v>0</v>
      </c>
    </row>
    <row r="452" spans="7:7" x14ac:dyDescent="0.2">
      <c r="G452">
        <f t="shared" ca="1" si="12"/>
        <v>0</v>
      </c>
    </row>
    <row r="453" spans="7:7" x14ac:dyDescent="0.2">
      <c r="G453">
        <f t="shared" ca="1" si="12"/>
        <v>0</v>
      </c>
    </row>
    <row r="454" spans="7:7" x14ac:dyDescent="0.2">
      <c r="G454">
        <f t="shared" ca="1" si="12"/>
        <v>0</v>
      </c>
    </row>
    <row r="455" spans="7:7" x14ac:dyDescent="0.2">
      <c r="G455">
        <f t="shared" ca="1" si="12"/>
        <v>0</v>
      </c>
    </row>
    <row r="456" spans="7:7" x14ac:dyDescent="0.2">
      <c r="G456">
        <f t="shared" ca="1" si="12"/>
        <v>0</v>
      </c>
    </row>
    <row r="457" spans="7:7" x14ac:dyDescent="0.2">
      <c r="G457">
        <f t="shared" ca="1" si="12"/>
        <v>0</v>
      </c>
    </row>
    <row r="458" spans="7:7" x14ac:dyDescent="0.2">
      <c r="G458">
        <f t="shared" ca="1" si="12"/>
        <v>0</v>
      </c>
    </row>
    <row r="459" spans="7:7" x14ac:dyDescent="0.2">
      <c r="G459">
        <f t="shared" ca="1" si="12"/>
        <v>0</v>
      </c>
    </row>
    <row r="460" spans="7:7" x14ac:dyDescent="0.2">
      <c r="G460">
        <f t="shared" ca="1" si="12"/>
        <v>0</v>
      </c>
    </row>
    <row r="461" spans="7:7" x14ac:dyDescent="0.2">
      <c r="G461">
        <f t="shared" ca="1" si="12"/>
        <v>0</v>
      </c>
    </row>
    <row r="462" spans="7:7" x14ac:dyDescent="0.2">
      <c r="G462">
        <f t="shared" ca="1" si="12"/>
        <v>0</v>
      </c>
    </row>
    <row r="463" spans="7:7" x14ac:dyDescent="0.2">
      <c r="G463">
        <f t="shared" ca="1" si="12"/>
        <v>0</v>
      </c>
    </row>
    <row r="464" spans="7:7" x14ac:dyDescent="0.2">
      <c r="G464">
        <f t="shared" ca="1" si="12"/>
        <v>0</v>
      </c>
    </row>
    <row r="465" spans="7:7" x14ac:dyDescent="0.2">
      <c r="G465">
        <f t="shared" ca="1" si="12"/>
        <v>0</v>
      </c>
    </row>
    <row r="466" spans="7:7" x14ac:dyDescent="0.2">
      <c r="G466">
        <f t="shared" ca="1" si="12"/>
        <v>0</v>
      </c>
    </row>
    <row r="467" spans="7:7" x14ac:dyDescent="0.2">
      <c r="G467">
        <f t="shared" ca="1" si="12"/>
        <v>0</v>
      </c>
    </row>
    <row r="468" spans="7:7" x14ac:dyDescent="0.2">
      <c r="G468">
        <f t="shared" ca="1" si="12"/>
        <v>0</v>
      </c>
    </row>
    <row r="469" spans="7:7" x14ac:dyDescent="0.2">
      <c r="G469">
        <f t="shared" ca="1" si="12"/>
        <v>0</v>
      </c>
    </row>
    <row r="470" spans="7:7" x14ac:dyDescent="0.2">
      <c r="G470">
        <f t="shared" ca="1" si="12"/>
        <v>0</v>
      </c>
    </row>
    <row r="471" spans="7:7" x14ac:dyDescent="0.2">
      <c r="G471">
        <f t="shared" ca="1" si="12"/>
        <v>0</v>
      </c>
    </row>
    <row r="472" spans="7:7" x14ac:dyDescent="0.2">
      <c r="G472">
        <f t="shared" ca="1" si="12"/>
        <v>0</v>
      </c>
    </row>
    <row r="473" spans="7:7" x14ac:dyDescent="0.2">
      <c r="G473">
        <f t="shared" ca="1" si="12"/>
        <v>0</v>
      </c>
    </row>
    <row r="474" spans="7:7" x14ac:dyDescent="0.2">
      <c r="G474">
        <f t="shared" ca="1" si="12"/>
        <v>0</v>
      </c>
    </row>
    <row r="475" spans="7:7" x14ac:dyDescent="0.2">
      <c r="G475">
        <f t="shared" ca="1" si="12"/>
        <v>0</v>
      </c>
    </row>
    <row r="476" spans="7:7" x14ac:dyDescent="0.2">
      <c r="G476">
        <f t="shared" ca="1" si="12"/>
        <v>0</v>
      </c>
    </row>
    <row r="477" spans="7:7" x14ac:dyDescent="0.2">
      <c r="G477">
        <f t="shared" ca="1" si="12"/>
        <v>0</v>
      </c>
    </row>
    <row r="478" spans="7:7" x14ac:dyDescent="0.2">
      <c r="G478">
        <f t="shared" ca="1" si="12"/>
        <v>0</v>
      </c>
    </row>
    <row r="479" spans="7:7" x14ac:dyDescent="0.2">
      <c r="G479">
        <f t="shared" ca="1" si="12"/>
        <v>0</v>
      </c>
    </row>
    <row r="480" spans="7:7" x14ac:dyDescent="0.2">
      <c r="G480">
        <f t="shared" ca="1" si="12"/>
        <v>0</v>
      </c>
    </row>
    <row r="481" spans="7:7" x14ac:dyDescent="0.2">
      <c r="G481">
        <f t="shared" ca="1" si="12"/>
        <v>0</v>
      </c>
    </row>
    <row r="482" spans="7:7" x14ac:dyDescent="0.2">
      <c r="G482">
        <f t="shared" ca="1" si="12"/>
        <v>0</v>
      </c>
    </row>
    <row r="483" spans="7:7" x14ac:dyDescent="0.2">
      <c r="G483">
        <f t="shared" ca="1" si="12"/>
        <v>0</v>
      </c>
    </row>
    <row r="484" spans="7:7" x14ac:dyDescent="0.2">
      <c r="G484">
        <f t="shared" ca="1" si="12"/>
        <v>0</v>
      </c>
    </row>
    <row r="485" spans="7:7" x14ac:dyDescent="0.2">
      <c r="G485">
        <f t="shared" ca="1" si="12"/>
        <v>0</v>
      </c>
    </row>
    <row r="486" spans="7:7" x14ac:dyDescent="0.2">
      <c r="G486">
        <f t="shared" ca="1" si="12"/>
        <v>0</v>
      </c>
    </row>
    <row r="487" spans="7:7" x14ac:dyDescent="0.2">
      <c r="G487">
        <f t="shared" ca="1" si="12"/>
        <v>0</v>
      </c>
    </row>
    <row r="488" spans="7:7" x14ac:dyDescent="0.2">
      <c r="G488">
        <f t="shared" ca="1" si="12"/>
        <v>0</v>
      </c>
    </row>
    <row r="489" spans="7:7" x14ac:dyDescent="0.2">
      <c r="G489">
        <f t="shared" ca="1" si="12"/>
        <v>0</v>
      </c>
    </row>
    <row r="490" spans="7:7" x14ac:dyDescent="0.2">
      <c r="G490">
        <f t="shared" ca="1" si="12"/>
        <v>0</v>
      </c>
    </row>
    <row r="491" spans="7:7" x14ac:dyDescent="0.2">
      <c r="G491">
        <f t="shared" ca="1" si="12"/>
        <v>0</v>
      </c>
    </row>
    <row r="492" spans="7:7" x14ac:dyDescent="0.2">
      <c r="G492">
        <f t="shared" ca="1" si="12"/>
        <v>0</v>
      </c>
    </row>
    <row r="493" spans="7:7" x14ac:dyDescent="0.2">
      <c r="G493">
        <f t="shared" ca="1" si="12"/>
        <v>0</v>
      </c>
    </row>
    <row r="494" spans="7:7" x14ac:dyDescent="0.2">
      <c r="G494">
        <f t="shared" ca="1" si="12"/>
        <v>0</v>
      </c>
    </row>
    <row r="495" spans="7:7" x14ac:dyDescent="0.2">
      <c r="G495">
        <f t="shared" ca="1" si="12"/>
        <v>0</v>
      </c>
    </row>
    <row r="496" spans="7:7" x14ac:dyDescent="0.2">
      <c r="G496">
        <f t="shared" ca="1" si="12"/>
        <v>0</v>
      </c>
    </row>
    <row r="497" spans="7:7" x14ac:dyDescent="0.2">
      <c r="G497">
        <f t="shared" ca="1" si="12"/>
        <v>0</v>
      </c>
    </row>
    <row r="498" spans="7:7" x14ac:dyDescent="0.2">
      <c r="G498">
        <f t="shared" ca="1" si="12"/>
        <v>0</v>
      </c>
    </row>
    <row r="499" spans="7:7" x14ac:dyDescent="0.2">
      <c r="G499">
        <f t="shared" ca="1" si="12"/>
        <v>0</v>
      </c>
    </row>
    <row r="500" spans="7:7" x14ac:dyDescent="0.2">
      <c r="G500">
        <f t="shared" ca="1" si="12"/>
        <v>0</v>
      </c>
    </row>
    <row r="501" spans="7:7" x14ac:dyDescent="0.2">
      <c r="G501">
        <f t="shared" ca="1" si="12"/>
        <v>0</v>
      </c>
    </row>
    <row r="502" spans="7:7" x14ac:dyDescent="0.2">
      <c r="G502">
        <f t="shared" ca="1" si="12"/>
        <v>0</v>
      </c>
    </row>
    <row r="503" spans="7:7" x14ac:dyDescent="0.2">
      <c r="G503">
        <f t="shared" ca="1" si="12"/>
        <v>0</v>
      </c>
    </row>
    <row r="504" spans="7:7" x14ac:dyDescent="0.2">
      <c r="G504">
        <f t="shared" ca="1" si="12"/>
        <v>0</v>
      </c>
    </row>
    <row r="505" spans="7:7" x14ac:dyDescent="0.2">
      <c r="G505">
        <f t="shared" ca="1" si="12"/>
        <v>0</v>
      </c>
    </row>
    <row r="506" spans="7:7" x14ac:dyDescent="0.2">
      <c r="G506">
        <f t="shared" ca="1" si="12"/>
        <v>0</v>
      </c>
    </row>
    <row r="507" spans="7:7" x14ac:dyDescent="0.2">
      <c r="G507">
        <f t="shared" ca="1" si="12"/>
        <v>0</v>
      </c>
    </row>
    <row r="508" spans="7:7" x14ac:dyDescent="0.2">
      <c r="G508">
        <f t="shared" ca="1" si="12"/>
        <v>0</v>
      </c>
    </row>
    <row r="509" spans="7:7" x14ac:dyDescent="0.2">
      <c r="G509">
        <f t="shared" ca="1" si="12"/>
        <v>0</v>
      </c>
    </row>
    <row r="510" spans="7:7" x14ac:dyDescent="0.2">
      <c r="G510">
        <f t="shared" ca="1" si="12"/>
        <v>0</v>
      </c>
    </row>
    <row r="511" spans="7:7" x14ac:dyDescent="0.2">
      <c r="G511">
        <f t="shared" ca="1" si="12"/>
        <v>0</v>
      </c>
    </row>
    <row r="512" spans="7:7" x14ac:dyDescent="0.2">
      <c r="G512">
        <f t="shared" ca="1" si="12"/>
        <v>0</v>
      </c>
    </row>
    <row r="513" spans="7:7" x14ac:dyDescent="0.2">
      <c r="G513">
        <f t="shared" ca="1" si="12"/>
        <v>0</v>
      </c>
    </row>
    <row r="514" spans="7:7" x14ac:dyDescent="0.2">
      <c r="G514">
        <f t="shared" ref="G514:G563" ca="1" si="13">COUNTIF(A:A,OFFSET($A$1,ROW()-1,0))</f>
        <v>0</v>
      </c>
    </row>
    <row r="515" spans="7:7" x14ac:dyDescent="0.2">
      <c r="G515">
        <f t="shared" ca="1" si="13"/>
        <v>0</v>
      </c>
    </row>
    <row r="516" spans="7:7" x14ac:dyDescent="0.2">
      <c r="G516">
        <f t="shared" ca="1" si="13"/>
        <v>0</v>
      </c>
    </row>
    <row r="517" spans="7:7" x14ac:dyDescent="0.2">
      <c r="G517">
        <f t="shared" ca="1" si="13"/>
        <v>0</v>
      </c>
    </row>
    <row r="518" spans="7:7" x14ac:dyDescent="0.2">
      <c r="G518">
        <f t="shared" ca="1" si="13"/>
        <v>0</v>
      </c>
    </row>
    <row r="519" spans="7:7" x14ac:dyDescent="0.2">
      <c r="G519">
        <f t="shared" ca="1" si="13"/>
        <v>0</v>
      </c>
    </row>
    <row r="520" spans="7:7" x14ac:dyDescent="0.2">
      <c r="G520">
        <f t="shared" ca="1" si="13"/>
        <v>0</v>
      </c>
    </row>
    <row r="521" spans="7:7" x14ac:dyDescent="0.2">
      <c r="G521">
        <f t="shared" ca="1" si="13"/>
        <v>0</v>
      </c>
    </row>
    <row r="522" spans="7:7" x14ac:dyDescent="0.2">
      <c r="G522">
        <f t="shared" ca="1" si="13"/>
        <v>0</v>
      </c>
    </row>
    <row r="523" spans="7:7" x14ac:dyDescent="0.2">
      <c r="G523">
        <f t="shared" ca="1" si="13"/>
        <v>0</v>
      </c>
    </row>
    <row r="524" spans="7:7" x14ac:dyDescent="0.2">
      <c r="G524">
        <f t="shared" ca="1" si="13"/>
        <v>0</v>
      </c>
    </row>
    <row r="525" spans="7:7" x14ac:dyDescent="0.2">
      <c r="G525">
        <f t="shared" ca="1" si="13"/>
        <v>0</v>
      </c>
    </row>
    <row r="526" spans="7:7" x14ac:dyDescent="0.2">
      <c r="G526">
        <f t="shared" ca="1" si="13"/>
        <v>0</v>
      </c>
    </row>
    <row r="527" spans="7:7" x14ac:dyDescent="0.2">
      <c r="G527">
        <f t="shared" ca="1" si="13"/>
        <v>0</v>
      </c>
    </row>
    <row r="528" spans="7:7" x14ac:dyDescent="0.2">
      <c r="G528">
        <f t="shared" ca="1" si="13"/>
        <v>0</v>
      </c>
    </row>
    <row r="529" spans="7:7" x14ac:dyDescent="0.2">
      <c r="G529">
        <f t="shared" ca="1" si="13"/>
        <v>0</v>
      </c>
    </row>
    <row r="530" spans="7:7" x14ac:dyDescent="0.2">
      <c r="G530">
        <f t="shared" ca="1" si="13"/>
        <v>0</v>
      </c>
    </row>
    <row r="531" spans="7:7" x14ac:dyDescent="0.2">
      <c r="G531">
        <f t="shared" ca="1" si="13"/>
        <v>0</v>
      </c>
    </row>
    <row r="532" spans="7:7" x14ac:dyDescent="0.2">
      <c r="G532">
        <f t="shared" ca="1" si="13"/>
        <v>0</v>
      </c>
    </row>
    <row r="533" spans="7:7" x14ac:dyDescent="0.2">
      <c r="G533">
        <f t="shared" ca="1" si="13"/>
        <v>0</v>
      </c>
    </row>
    <row r="534" spans="7:7" x14ac:dyDescent="0.2">
      <c r="G534">
        <f t="shared" ca="1" si="13"/>
        <v>0</v>
      </c>
    </row>
    <row r="535" spans="7:7" x14ac:dyDescent="0.2">
      <c r="G535">
        <f t="shared" ca="1" si="13"/>
        <v>0</v>
      </c>
    </row>
    <row r="536" spans="7:7" x14ac:dyDescent="0.2">
      <c r="G536">
        <f t="shared" ca="1" si="13"/>
        <v>0</v>
      </c>
    </row>
    <row r="537" spans="7:7" x14ac:dyDescent="0.2">
      <c r="G537">
        <f t="shared" ca="1" si="13"/>
        <v>0</v>
      </c>
    </row>
    <row r="538" spans="7:7" x14ac:dyDescent="0.2">
      <c r="G538">
        <f t="shared" ca="1" si="13"/>
        <v>0</v>
      </c>
    </row>
    <row r="539" spans="7:7" x14ac:dyDescent="0.2">
      <c r="G539">
        <f t="shared" ca="1" si="13"/>
        <v>0</v>
      </c>
    </row>
    <row r="540" spans="7:7" x14ac:dyDescent="0.2">
      <c r="G540">
        <f t="shared" ca="1" si="13"/>
        <v>0</v>
      </c>
    </row>
    <row r="541" spans="7:7" x14ac:dyDescent="0.2">
      <c r="G541">
        <f t="shared" ca="1" si="13"/>
        <v>0</v>
      </c>
    </row>
    <row r="542" spans="7:7" x14ac:dyDescent="0.2">
      <c r="G542">
        <f t="shared" ca="1" si="13"/>
        <v>0</v>
      </c>
    </row>
    <row r="543" spans="7:7" x14ac:dyDescent="0.2">
      <c r="G543">
        <f t="shared" ca="1" si="13"/>
        <v>0</v>
      </c>
    </row>
    <row r="544" spans="7:7" x14ac:dyDescent="0.2">
      <c r="G544">
        <f t="shared" ca="1" si="13"/>
        <v>0</v>
      </c>
    </row>
    <row r="545" spans="7:7" x14ac:dyDescent="0.2">
      <c r="G545">
        <f t="shared" ca="1" si="13"/>
        <v>0</v>
      </c>
    </row>
    <row r="546" spans="7:7" x14ac:dyDescent="0.2">
      <c r="G546">
        <f t="shared" ca="1" si="13"/>
        <v>0</v>
      </c>
    </row>
    <row r="547" spans="7:7" x14ac:dyDescent="0.2">
      <c r="G547">
        <f t="shared" ca="1" si="13"/>
        <v>0</v>
      </c>
    </row>
    <row r="548" spans="7:7" x14ac:dyDescent="0.2">
      <c r="G548">
        <f t="shared" ca="1" si="13"/>
        <v>0</v>
      </c>
    </row>
    <row r="549" spans="7:7" x14ac:dyDescent="0.2">
      <c r="G549">
        <f t="shared" ca="1" si="13"/>
        <v>0</v>
      </c>
    </row>
    <row r="550" spans="7:7" x14ac:dyDescent="0.2">
      <c r="G550">
        <f t="shared" ca="1" si="13"/>
        <v>0</v>
      </c>
    </row>
    <row r="551" spans="7:7" x14ac:dyDescent="0.2">
      <c r="G551">
        <f t="shared" ca="1" si="13"/>
        <v>0</v>
      </c>
    </row>
    <row r="552" spans="7:7" x14ac:dyDescent="0.2">
      <c r="G552">
        <f t="shared" ca="1" si="13"/>
        <v>0</v>
      </c>
    </row>
    <row r="553" spans="7:7" x14ac:dyDescent="0.2">
      <c r="G553">
        <f t="shared" ca="1" si="13"/>
        <v>0</v>
      </c>
    </row>
    <row r="554" spans="7:7" x14ac:dyDescent="0.2">
      <c r="G554">
        <f t="shared" ca="1" si="13"/>
        <v>0</v>
      </c>
    </row>
    <row r="555" spans="7:7" x14ac:dyDescent="0.2">
      <c r="G555">
        <f t="shared" ca="1" si="13"/>
        <v>0</v>
      </c>
    </row>
    <row r="556" spans="7:7" x14ac:dyDescent="0.2">
      <c r="G556">
        <f t="shared" ca="1" si="13"/>
        <v>0</v>
      </c>
    </row>
    <row r="557" spans="7:7" x14ac:dyDescent="0.2">
      <c r="G557">
        <f t="shared" ca="1" si="13"/>
        <v>0</v>
      </c>
    </row>
    <row r="558" spans="7:7" x14ac:dyDescent="0.2">
      <c r="G558">
        <f t="shared" ca="1" si="13"/>
        <v>0</v>
      </c>
    </row>
    <row r="559" spans="7:7" x14ac:dyDescent="0.2">
      <c r="G559">
        <f t="shared" ca="1" si="13"/>
        <v>0</v>
      </c>
    </row>
    <row r="560" spans="7:7" x14ac:dyDescent="0.2">
      <c r="G560">
        <f t="shared" ca="1" si="13"/>
        <v>0</v>
      </c>
    </row>
    <row r="561" spans="7:7" x14ac:dyDescent="0.2">
      <c r="G561">
        <f t="shared" ca="1" si="13"/>
        <v>0</v>
      </c>
    </row>
    <row r="562" spans="7:7" x14ac:dyDescent="0.2">
      <c r="G562">
        <f t="shared" ca="1" si="13"/>
        <v>0</v>
      </c>
    </row>
    <row r="563" spans="7:7" x14ac:dyDescent="0.2">
      <c r="G563">
        <f t="shared" ca="1" si="13"/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10D0B-2346-4E2C-AA5C-4B02988D4839}">
  <sheetPr codeName="Sht_CorpOH"/>
  <dimension ref="A1:D3"/>
  <sheetViews>
    <sheetView workbookViewId="0">
      <selection activeCell="B3" sqref="B3"/>
    </sheetView>
  </sheetViews>
  <sheetFormatPr defaultRowHeight="14.25" x14ac:dyDescent="0.2"/>
  <cols>
    <col min="1" max="1" width="24.75" bestFit="1" customWidth="1"/>
    <col min="2" max="2" width="12.875" bestFit="1" customWidth="1"/>
    <col min="3" max="3" width="11.75" bestFit="1" customWidth="1"/>
    <col min="4" max="4" width="60.375" bestFit="1" customWidth="1"/>
  </cols>
  <sheetData>
    <row r="1" spans="1:4" x14ac:dyDescent="0.2">
      <c r="A1" t="s">
        <v>466</v>
      </c>
      <c r="B1" t="s">
        <v>467</v>
      </c>
      <c r="C1" t="s">
        <v>468</v>
      </c>
      <c r="D1" t="s">
        <v>469</v>
      </c>
    </row>
    <row r="2" spans="1:4" x14ac:dyDescent="0.2">
      <c r="A2" s="4" t="s">
        <v>470</v>
      </c>
      <c r="B2">
        <v>0.08</v>
      </c>
      <c r="C2" s="4" t="s">
        <v>471</v>
      </c>
      <c r="D2" s="4" t="s">
        <v>472</v>
      </c>
    </row>
    <row r="3" spans="1:4" x14ac:dyDescent="0.2">
      <c r="A3" s="4" t="s">
        <v>473</v>
      </c>
      <c r="B3">
        <v>0.13750000000000001</v>
      </c>
      <c r="C3" s="4" t="s">
        <v>471</v>
      </c>
      <c r="D3" s="4" t="s">
        <v>472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8FB9-DCE7-436D-9C45-FD258B256314}">
  <sheetPr codeName="Sheet1"/>
  <dimension ref="A2:D8"/>
  <sheetViews>
    <sheetView workbookViewId="0">
      <selection activeCell="G12" sqref="G12"/>
    </sheetView>
  </sheetViews>
  <sheetFormatPr defaultRowHeight="14.25" x14ac:dyDescent="0.2"/>
  <cols>
    <col min="1" max="1" width="15.75" customWidth="1"/>
    <col min="2" max="2" width="30.25" customWidth="1"/>
    <col min="3" max="3" width="27.625" customWidth="1"/>
    <col min="4" max="4" width="9.875" bestFit="1" customWidth="1"/>
  </cols>
  <sheetData>
    <row r="2" spans="1:4" x14ac:dyDescent="0.2">
      <c r="A2" t="s">
        <v>474</v>
      </c>
      <c r="B2" t="s">
        <v>475</v>
      </c>
      <c r="C2" t="s">
        <v>476</v>
      </c>
      <c r="D2" t="s">
        <v>477</v>
      </c>
    </row>
    <row r="3" spans="1:4" x14ac:dyDescent="0.2">
      <c r="A3">
        <v>1</v>
      </c>
      <c r="B3" t="s">
        <v>478</v>
      </c>
      <c r="C3" t="s">
        <v>479</v>
      </c>
      <c r="D3" s="100">
        <v>43781</v>
      </c>
    </row>
    <row r="4" spans="1:4" x14ac:dyDescent="0.2">
      <c r="A4">
        <v>2</v>
      </c>
      <c r="B4" t="s">
        <v>480</v>
      </c>
      <c r="C4" t="s">
        <v>479</v>
      </c>
      <c r="D4" s="100">
        <v>43889</v>
      </c>
    </row>
    <row r="5" spans="1:4" x14ac:dyDescent="0.2">
      <c r="A5">
        <v>3</v>
      </c>
      <c r="B5" t="s">
        <v>481</v>
      </c>
      <c r="C5" t="s">
        <v>479</v>
      </c>
      <c r="D5" s="100">
        <v>44294</v>
      </c>
    </row>
    <row r="6" spans="1:4" x14ac:dyDescent="0.2">
      <c r="A6">
        <v>4</v>
      </c>
      <c r="B6" t="s">
        <v>482</v>
      </c>
      <c r="C6" t="s">
        <v>479</v>
      </c>
      <c r="D6" s="100">
        <v>44302</v>
      </c>
    </row>
    <row r="7" spans="1:4" x14ac:dyDescent="0.2">
      <c r="A7">
        <v>5</v>
      </c>
      <c r="B7" t="s">
        <v>483</v>
      </c>
      <c r="C7" t="s">
        <v>479</v>
      </c>
      <c r="D7" s="100">
        <v>45022</v>
      </c>
    </row>
    <row r="8" spans="1:4" x14ac:dyDescent="0.2">
      <c r="A8">
        <v>6</v>
      </c>
      <c r="B8" t="s">
        <v>1269</v>
      </c>
      <c r="C8" t="s">
        <v>479</v>
      </c>
      <c r="D8" s="100">
        <v>45622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BF92F-2D1C-4DDB-8F0F-3654CC7B7A85}">
  <sheetPr codeName="Sht_Summary"/>
  <dimension ref="B1:Z40"/>
  <sheetViews>
    <sheetView showGridLines="0" tabSelected="1" zoomScaleNormal="100" workbookViewId="0">
      <selection activeCell="E19" sqref="E19:Q19"/>
    </sheetView>
  </sheetViews>
  <sheetFormatPr defaultRowHeight="14.25" x14ac:dyDescent="0.2"/>
  <cols>
    <col min="1" max="1" width="1.75" customWidth="1"/>
  </cols>
  <sheetData>
    <row r="1" spans="2:26" ht="3" customHeight="1" x14ac:dyDescent="0.2"/>
    <row r="2" spans="2:26" ht="23.25" x14ac:dyDescent="0.2">
      <c r="B2" s="33" t="str">
        <f>"Project Asset Register - " &amp; PR_T1_Number &amp; " " &amp; PR_Project_Name</f>
        <v>Project Asset Register - Z123 Test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V2" s="34" t="s">
        <v>484</v>
      </c>
      <c r="W2" s="34"/>
      <c r="X2" s="34"/>
      <c r="Y2" s="34"/>
      <c r="Z2" s="34"/>
    </row>
    <row r="3" spans="2:26" x14ac:dyDescent="0.2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V3" s="68" t="s">
        <v>485</v>
      </c>
      <c r="W3" s="68"/>
      <c r="X3" s="68"/>
      <c r="Y3" s="71" t="s">
        <v>486</v>
      </c>
      <c r="Z3" s="71"/>
    </row>
    <row r="4" spans="2:26" x14ac:dyDescent="0.2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V4" s="67" t="s">
        <v>487</v>
      </c>
      <c r="W4" s="67"/>
      <c r="X4" s="67"/>
      <c r="Y4" s="34"/>
      <c r="Z4" s="34"/>
    </row>
    <row r="5" spans="2:26" x14ac:dyDescent="0.2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V5" s="69" t="s">
        <v>488</v>
      </c>
      <c r="W5" s="69"/>
      <c r="X5" s="69"/>
      <c r="Y5" s="34"/>
      <c r="Z5" s="34"/>
    </row>
    <row r="6" spans="2:26" x14ac:dyDescent="0.2"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V6" s="70" t="s">
        <v>489</v>
      </c>
      <c r="W6" s="70"/>
      <c r="X6" s="70"/>
      <c r="Y6" s="34"/>
      <c r="Z6" s="34"/>
    </row>
    <row r="7" spans="2:26" ht="15.75" x14ac:dyDescent="0.25">
      <c r="B7" s="168" t="s">
        <v>490</v>
      </c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</row>
    <row r="9" spans="2:26" x14ac:dyDescent="0.2">
      <c r="B9" s="165" t="s">
        <v>491</v>
      </c>
      <c r="C9" s="165"/>
      <c r="D9" s="165"/>
      <c r="E9" s="169" t="s">
        <v>1621</v>
      </c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</row>
    <row r="10" spans="2:26" x14ac:dyDescent="0.2">
      <c r="B10" s="165" t="s">
        <v>492</v>
      </c>
      <c r="C10" s="165"/>
      <c r="D10" s="165"/>
      <c r="E10" s="169" t="s">
        <v>1622</v>
      </c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</row>
    <row r="11" spans="2:26" x14ac:dyDescent="0.2">
      <c r="B11" s="165" t="s">
        <v>493</v>
      </c>
      <c r="C11" s="165"/>
      <c r="D11" s="165"/>
      <c r="E11" s="169" t="s">
        <v>1297</v>
      </c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</row>
    <row r="12" spans="2:26" x14ac:dyDescent="0.2">
      <c r="B12" s="165" t="s">
        <v>487</v>
      </c>
      <c r="C12" s="165"/>
      <c r="D12" s="165"/>
      <c r="E12" s="169" t="s">
        <v>1298</v>
      </c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</row>
    <row r="14" spans="2:26" ht="15.75" x14ac:dyDescent="0.25">
      <c r="B14" s="168" t="s">
        <v>495</v>
      </c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</row>
    <row r="16" spans="2:26" hidden="1" x14ac:dyDescent="0.2">
      <c r="B16" s="165" t="s">
        <v>496</v>
      </c>
      <c r="C16" s="165"/>
      <c r="D16" s="165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45" t="s">
        <v>497</v>
      </c>
    </row>
    <row r="17" spans="2:18" hidden="1" x14ac:dyDescent="0.2">
      <c r="B17" s="165" t="s">
        <v>498</v>
      </c>
      <c r="C17" s="165"/>
      <c r="D17" s="165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45" t="s">
        <v>497</v>
      </c>
    </row>
    <row r="18" spans="2:18" hidden="1" x14ac:dyDescent="0.2">
      <c r="B18" s="165" t="s">
        <v>499</v>
      </c>
      <c r="C18" s="165"/>
      <c r="D18" s="165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45" t="s">
        <v>500</v>
      </c>
    </row>
    <row r="19" spans="2:18" x14ac:dyDescent="0.2">
      <c r="B19" s="165" t="s">
        <v>501</v>
      </c>
      <c r="C19" s="165"/>
      <c r="D19" s="165"/>
      <c r="E19" s="167">
        <f>165433.74+SUM(Transactions!F25:F29)</f>
        <v>165433.74</v>
      </c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45" t="s">
        <v>500</v>
      </c>
    </row>
    <row r="20" spans="2:18" hidden="1" x14ac:dyDescent="0.2">
      <c r="B20" s="165" t="s">
        <v>502</v>
      </c>
      <c r="C20" s="165"/>
      <c r="D20" s="165"/>
      <c r="E20" s="170">
        <f>E18+E19</f>
        <v>165433.74</v>
      </c>
      <c r="F20" s="170"/>
      <c r="G20" s="170"/>
      <c r="H20" s="170"/>
      <c r="I20" s="170"/>
      <c r="J20" s="170"/>
      <c r="K20" s="170"/>
      <c r="L20" s="170"/>
      <c r="M20" s="171"/>
      <c r="N20" s="171"/>
      <c r="O20" s="171"/>
      <c r="P20" s="171"/>
      <c r="Q20" s="171"/>
      <c r="R20" s="145"/>
    </row>
    <row r="21" spans="2:18" hidden="1" x14ac:dyDescent="0.2">
      <c r="B21" s="165" t="s">
        <v>503</v>
      </c>
      <c r="C21" s="165"/>
      <c r="D21" s="180"/>
      <c r="E21" s="172" t="s">
        <v>473</v>
      </c>
      <c r="F21" s="173"/>
      <c r="G21" s="173"/>
      <c r="H21" s="173"/>
      <c r="I21" s="173"/>
      <c r="J21" s="173"/>
      <c r="K21" s="173"/>
      <c r="L21" s="174"/>
      <c r="M21" s="175">
        <v>0</v>
      </c>
      <c r="N21" s="176"/>
      <c r="O21" s="176"/>
      <c r="P21" s="176"/>
      <c r="Q21" s="177"/>
      <c r="R21" s="145"/>
    </row>
    <row r="22" spans="2:18" s="2" customFormat="1" ht="26.25" hidden="1" customHeight="1" x14ac:dyDescent="0.2">
      <c r="B22" s="178" t="s">
        <v>504</v>
      </c>
      <c r="C22" s="178"/>
      <c r="D22" s="178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46" t="s">
        <v>500</v>
      </c>
    </row>
    <row r="23" spans="2:18" x14ac:dyDescent="0.2">
      <c r="R23" s="145"/>
    </row>
    <row r="24" spans="2:18" ht="15.75" x14ac:dyDescent="0.25">
      <c r="B24" s="168" t="s">
        <v>505</v>
      </c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</row>
    <row r="29" spans="2:18" x14ac:dyDescent="0.2">
      <c r="B29" s="165" t="s">
        <v>506</v>
      </c>
      <c r="C29" s="165"/>
      <c r="D29" s="165"/>
      <c r="E29" s="169" t="s">
        <v>1305</v>
      </c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</row>
    <row r="30" spans="2:18" x14ac:dyDescent="0.2">
      <c r="B30" s="165" t="s">
        <v>507</v>
      </c>
      <c r="C30" s="165"/>
      <c r="D30" s="165"/>
      <c r="E30" s="166">
        <v>45974</v>
      </c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</row>
    <row r="31" spans="2:18" x14ac:dyDescent="0.2">
      <c r="B31" s="165" t="s">
        <v>508</v>
      </c>
      <c r="C31" s="165"/>
      <c r="D31" s="165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</row>
    <row r="34" spans="2:17" x14ac:dyDescent="0.2">
      <c r="B34" s="147" t="s">
        <v>509</v>
      </c>
    </row>
    <row r="39" spans="2:17" x14ac:dyDescent="0.2">
      <c r="Q39">
        <v>171998.37</v>
      </c>
    </row>
    <row r="40" spans="2:17" x14ac:dyDescent="0.2">
      <c r="Q40">
        <f>Q39-FI_CY_Expenditure</f>
        <v>6564.6300000000047</v>
      </c>
    </row>
  </sheetData>
  <mergeCells count="32">
    <mergeCell ref="B30:D30"/>
    <mergeCell ref="E30:Q30"/>
    <mergeCell ref="B29:D29"/>
    <mergeCell ref="E29:Q29"/>
    <mergeCell ref="E21:L21"/>
    <mergeCell ref="M21:Q21"/>
    <mergeCell ref="B22:D22"/>
    <mergeCell ref="E22:Q22"/>
    <mergeCell ref="B21:D21"/>
    <mergeCell ref="B24:Q24"/>
    <mergeCell ref="B18:D18"/>
    <mergeCell ref="E18:Q18"/>
    <mergeCell ref="B19:D19"/>
    <mergeCell ref="E19:Q19"/>
    <mergeCell ref="B20:D20"/>
    <mergeCell ref="E20:Q20"/>
    <mergeCell ref="B31:D31"/>
    <mergeCell ref="E31:Q31"/>
    <mergeCell ref="B17:D17"/>
    <mergeCell ref="E17:Q17"/>
    <mergeCell ref="B7:Q7"/>
    <mergeCell ref="B9:D9"/>
    <mergeCell ref="E9:Q9"/>
    <mergeCell ref="B10:D10"/>
    <mergeCell ref="E10:Q10"/>
    <mergeCell ref="B11:D11"/>
    <mergeCell ref="E11:Q11"/>
    <mergeCell ref="B12:D12"/>
    <mergeCell ref="E12:Q12"/>
    <mergeCell ref="B14:Q14"/>
    <mergeCell ref="B16:D16"/>
    <mergeCell ref="E16:Q16"/>
  </mergeCells>
  <dataValidations count="1">
    <dataValidation type="list" allowBlank="1" showInputMessage="1" showErrorMessage="1" sqref="E29:Q29" xr:uid="{E579F57F-805F-416D-AC39-DB3FF979D278}">
      <formula1>"Full Handover, Partial Handover"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1" r:id="rId4" name="cbDispose">
          <controlPr defaultSize="0" autoLine="0" r:id="rId5">
            <anchor moveWithCells="1" sizeWithCells="1">
              <from>
                <xdr:col>11</xdr:col>
                <xdr:colOff>390525</xdr:colOff>
                <xdr:row>24</xdr:row>
                <xdr:rowOff>171450</xdr:rowOff>
              </from>
              <to>
                <xdr:col>13</xdr:col>
                <xdr:colOff>666750</xdr:colOff>
                <xdr:row>26</xdr:row>
                <xdr:rowOff>123825</xdr:rowOff>
              </to>
            </anchor>
          </controlPr>
        </control>
      </mc:Choice>
      <mc:Fallback>
        <control shapeId="1031" r:id="rId4" name="cbDispose"/>
      </mc:Fallback>
    </mc:AlternateContent>
    <mc:AlternateContent xmlns:mc="http://schemas.openxmlformats.org/markup-compatibility/2006">
      <mc:Choice Requires="x14">
        <control shapeId="1030" r:id="rId6" name="cbRenew">
          <controlPr defaultSize="0" autoLine="0" r:id="rId7">
            <anchor moveWithCells="1" sizeWithCells="1">
              <from>
                <xdr:col>6</xdr:col>
                <xdr:colOff>257175</xdr:colOff>
                <xdr:row>25</xdr:row>
                <xdr:rowOff>19050</xdr:rowOff>
              </from>
              <to>
                <xdr:col>8</xdr:col>
                <xdr:colOff>447675</xdr:colOff>
                <xdr:row>26</xdr:row>
                <xdr:rowOff>133350</xdr:rowOff>
              </to>
            </anchor>
          </controlPr>
        </control>
      </mc:Choice>
      <mc:Fallback>
        <control shapeId="1030" r:id="rId6" name="cbRenew"/>
      </mc:Fallback>
    </mc:AlternateContent>
    <mc:AlternateContent xmlns:mc="http://schemas.openxmlformats.org/markup-compatibility/2006">
      <mc:Choice Requires="x14">
        <control shapeId="1028" r:id="rId8" name="cbNew">
          <controlPr defaultSize="0" autoLine="0" r:id="rId9">
            <anchor moveWithCells="1" sizeWithCells="1">
              <from>
                <xdr:col>2</xdr:col>
                <xdr:colOff>19050</xdr:colOff>
                <xdr:row>25</xdr:row>
                <xdr:rowOff>19050</xdr:rowOff>
              </from>
              <to>
                <xdr:col>5</xdr:col>
                <xdr:colOff>95250</xdr:colOff>
                <xdr:row>26</xdr:row>
                <xdr:rowOff>123825</xdr:rowOff>
              </to>
            </anchor>
          </controlPr>
        </control>
      </mc:Choice>
      <mc:Fallback>
        <control shapeId="1028" r:id="rId8" name="cbNew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542D9C-2357-451B-B589-3D85917AA4AF}">
          <x14:formula1>
            <xm:f>Corp_Overhead!$A:$A</xm:f>
          </x14:formula1>
          <xm:sqref>E21:L21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8EC5-19CB-4CB9-AF28-30B5DE500BA9}">
  <sheetPr codeName="Sht_AHSubType"/>
  <dimension ref="A1:I563"/>
  <sheetViews>
    <sheetView topLeftCell="A533" workbookViewId="0">
      <selection activeCell="B504" sqref="B504"/>
    </sheetView>
  </sheetViews>
  <sheetFormatPr defaultRowHeight="14.25" x14ac:dyDescent="0.2"/>
  <cols>
    <col min="1" max="1" width="30.75" bestFit="1" customWidth="1"/>
    <col min="2" max="2" width="46.5" bestFit="1" customWidth="1"/>
  </cols>
  <sheetData>
    <row r="1" spans="1:9" x14ac:dyDescent="0.2">
      <c r="A1" t="s">
        <v>248</v>
      </c>
      <c r="B1" t="s">
        <v>510</v>
      </c>
    </row>
    <row r="2" spans="1:9" x14ac:dyDescent="0.2">
      <c r="A2" t="s">
        <v>251</v>
      </c>
      <c r="B2" t="s">
        <v>511</v>
      </c>
      <c r="F2">
        <f t="shared" ref="F2:F65" ca="1" si="0">IFERROR(MATCH(OFFSET($A$1,ROW()-1,0,1,1),A:A,0),"")</f>
        <v>2</v>
      </c>
      <c r="G2">
        <f t="shared" ref="G2:G65" ca="1" si="1">COUNTIF(A:A,OFFSET($A$1,ROW()-1,0))</f>
        <v>1</v>
      </c>
      <c r="I2" t="str">
        <f ca="1">IFERROR(MATCH(OFFSET($A$1,ROW()-1,0,1,1),C:C,1)-H2+1,"")</f>
        <v/>
      </c>
    </row>
    <row r="3" spans="1:9" x14ac:dyDescent="0.2">
      <c r="A3" t="s">
        <v>254</v>
      </c>
      <c r="B3" t="s">
        <v>254</v>
      </c>
      <c r="F3">
        <f t="shared" ca="1" si="0"/>
        <v>3</v>
      </c>
      <c r="G3">
        <f t="shared" ca="1" si="1"/>
        <v>1</v>
      </c>
    </row>
    <row r="4" spans="1:9" x14ac:dyDescent="0.2">
      <c r="A4" t="s">
        <v>256</v>
      </c>
      <c r="B4" t="s">
        <v>512</v>
      </c>
      <c r="F4">
        <f t="shared" ca="1" si="0"/>
        <v>4</v>
      </c>
      <c r="G4">
        <f t="shared" ca="1" si="1"/>
        <v>22</v>
      </c>
    </row>
    <row r="5" spans="1:9" x14ac:dyDescent="0.2">
      <c r="A5" t="s">
        <v>256</v>
      </c>
      <c r="B5" t="s">
        <v>274</v>
      </c>
      <c r="F5">
        <f t="shared" ca="1" si="0"/>
        <v>4</v>
      </c>
      <c r="G5">
        <f t="shared" ca="1" si="1"/>
        <v>22</v>
      </c>
    </row>
    <row r="6" spans="1:9" x14ac:dyDescent="0.2">
      <c r="A6" t="s">
        <v>256</v>
      </c>
      <c r="B6" t="s">
        <v>513</v>
      </c>
      <c r="F6">
        <f t="shared" ca="1" si="0"/>
        <v>4</v>
      </c>
      <c r="G6">
        <f t="shared" ca="1" si="1"/>
        <v>22</v>
      </c>
    </row>
    <row r="7" spans="1:9" x14ac:dyDescent="0.2">
      <c r="A7" t="s">
        <v>256</v>
      </c>
      <c r="B7" t="s">
        <v>514</v>
      </c>
      <c r="F7">
        <f t="shared" ca="1" si="0"/>
        <v>4</v>
      </c>
      <c r="G7">
        <f t="shared" ca="1" si="1"/>
        <v>22</v>
      </c>
    </row>
    <row r="8" spans="1:9" x14ac:dyDescent="0.2">
      <c r="A8" t="s">
        <v>256</v>
      </c>
      <c r="B8" t="s">
        <v>515</v>
      </c>
      <c r="F8">
        <f t="shared" ca="1" si="0"/>
        <v>4</v>
      </c>
      <c r="G8">
        <f t="shared" ca="1" si="1"/>
        <v>22</v>
      </c>
    </row>
    <row r="9" spans="1:9" x14ac:dyDescent="0.2">
      <c r="A9" t="s">
        <v>256</v>
      </c>
      <c r="B9" t="s">
        <v>375</v>
      </c>
      <c r="F9">
        <f t="shared" ca="1" si="0"/>
        <v>4</v>
      </c>
      <c r="G9">
        <f t="shared" ca="1" si="1"/>
        <v>22</v>
      </c>
    </row>
    <row r="10" spans="1:9" x14ac:dyDescent="0.2">
      <c r="A10" t="s">
        <v>256</v>
      </c>
      <c r="B10" t="s">
        <v>516</v>
      </c>
      <c r="F10">
        <f t="shared" ca="1" si="0"/>
        <v>4</v>
      </c>
      <c r="G10">
        <f t="shared" ca="1" si="1"/>
        <v>22</v>
      </c>
    </row>
    <row r="11" spans="1:9" x14ac:dyDescent="0.2">
      <c r="A11" t="s">
        <v>256</v>
      </c>
      <c r="B11" t="s">
        <v>517</v>
      </c>
      <c r="F11">
        <f t="shared" ca="1" si="0"/>
        <v>4</v>
      </c>
      <c r="G11">
        <f t="shared" ca="1" si="1"/>
        <v>22</v>
      </c>
    </row>
    <row r="12" spans="1:9" x14ac:dyDescent="0.2">
      <c r="A12" t="s">
        <v>256</v>
      </c>
      <c r="B12" t="s">
        <v>518</v>
      </c>
      <c r="F12">
        <f t="shared" ca="1" si="0"/>
        <v>4</v>
      </c>
      <c r="G12">
        <f t="shared" ca="1" si="1"/>
        <v>22</v>
      </c>
    </row>
    <row r="13" spans="1:9" x14ac:dyDescent="0.2">
      <c r="A13" t="s">
        <v>256</v>
      </c>
      <c r="B13" t="s">
        <v>519</v>
      </c>
      <c r="F13">
        <f t="shared" ca="1" si="0"/>
        <v>4</v>
      </c>
      <c r="G13">
        <f t="shared" ca="1" si="1"/>
        <v>22</v>
      </c>
    </row>
    <row r="14" spans="1:9" x14ac:dyDescent="0.2">
      <c r="A14" t="s">
        <v>256</v>
      </c>
      <c r="B14" t="s">
        <v>520</v>
      </c>
      <c r="F14">
        <f t="shared" ca="1" si="0"/>
        <v>4</v>
      </c>
      <c r="G14">
        <f t="shared" ca="1" si="1"/>
        <v>22</v>
      </c>
    </row>
    <row r="15" spans="1:9" x14ac:dyDescent="0.2">
      <c r="A15" t="s">
        <v>256</v>
      </c>
      <c r="B15" t="s">
        <v>521</v>
      </c>
      <c r="F15">
        <f t="shared" ca="1" si="0"/>
        <v>4</v>
      </c>
      <c r="G15">
        <f t="shared" ca="1" si="1"/>
        <v>22</v>
      </c>
    </row>
    <row r="16" spans="1:9" x14ac:dyDescent="0.2">
      <c r="A16" t="s">
        <v>256</v>
      </c>
      <c r="B16" t="s">
        <v>522</v>
      </c>
      <c r="F16">
        <f t="shared" ca="1" si="0"/>
        <v>4</v>
      </c>
      <c r="G16">
        <f t="shared" ca="1" si="1"/>
        <v>22</v>
      </c>
    </row>
    <row r="17" spans="1:7" x14ac:dyDescent="0.2">
      <c r="A17" t="s">
        <v>256</v>
      </c>
      <c r="B17" t="s">
        <v>324</v>
      </c>
      <c r="F17">
        <f t="shared" ca="1" si="0"/>
        <v>4</v>
      </c>
      <c r="G17">
        <f t="shared" ca="1" si="1"/>
        <v>22</v>
      </c>
    </row>
    <row r="18" spans="1:7" x14ac:dyDescent="0.2">
      <c r="A18" t="s">
        <v>256</v>
      </c>
      <c r="B18" t="s">
        <v>523</v>
      </c>
      <c r="F18">
        <f t="shared" ca="1" si="0"/>
        <v>4</v>
      </c>
      <c r="G18">
        <f t="shared" ca="1" si="1"/>
        <v>22</v>
      </c>
    </row>
    <row r="19" spans="1:7" x14ac:dyDescent="0.2">
      <c r="A19" t="s">
        <v>256</v>
      </c>
      <c r="B19" t="s">
        <v>524</v>
      </c>
      <c r="F19">
        <f t="shared" ca="1" si="0"/>
        <v>4</v>
      </c>
      <c r="G19">
        <f t="shared" ca="1" si="1"/>
        <v>22</v>
      </c>
    </row>
    <row r="20" spans="1:7" x14ac:dyDescent="0.2">
      <c r="A20" t="s">
        <v>256</v>
      </c>
      <c r="B20" t="s">
        <v>525</v>
      </c>
      <c r="F20">
        <f t="shared" ca="1" si="0"/>
        <v>4</v>
      </c>
      <c r="G20">
        <f t="shared" ca="1" si="1"/>
        <v>22</v>
      </c>
    </row>
    <row r="21" spans="1:7" x14ac:dyDescent="0.2">
      <c r="A21" t="s">
        <v>256</v>
      </c>
      <c r="B21" t="s">
        <v>526</v>
      </c>
      <c r="F21">
        <f t="shared" ca="1" si="0"/>
        <v>4</v>
      </c>
      <c r="G21">
        <f t="shared" ca="1" si="1"/>
        <v>22</v>
      </c>
    </row>
    <row r="22" spans="1:7" x14ac:dyDescent="0.2">
      <c r="A22" t="s">
        <v>256</v>
      </c>
      <c r="B22" t="s">
        <v>527</v>
      </c>
      <c r="F22">
        <f t="shared" ca="1" si="0"/>
        <v>4</v>
      </c>
      <c r="G22">
        <f t="shared" ca="1" si="1"/>
        <v>22</v>
      </c>
    </row>
    <row r="23" spans="1:7" x14ac:dyDescent="0.2">
      <c r="A23" t="s">
        <v>256</v>
      </c>
      <c r="B23" t="s">
        <v>528</v>
      </c>
      <c r="F23">
        <f t="shared" ca="1" si="0"/>
        <v>4</v>
      </c>
      <c r="G23">
        <f t="shared" ca="1" si="1"/>
        <v>22</v>
      </c>
    </row>
    <row r="24" spans="1:7" x14ac:dyDescent="0.2">
      <c r="A24" t="s">
        <v>256</v>
      </c>
      <c r="B24" t="s">
        <v>529</v>
      </c>
      <c r="F24">
        <f t="shared" ca="1" si="0"/>
        <v>4</v>
      </c>
      <c r="G24">
        <f t="shared" ca="1" si="1"/>
        <v>22</v>
      </c>
    </row>
    <row r="25" spans="1:7" x14ac:dyDescent="0.2">
      <c r="A25" t="s">
        <v>256</v>
      </c>
      <c r="B25" t="s">
        <v>530</v>
      </c>
      <c r="F25">
        <f t="shared" ca="1" si="0"/>
        <v>4</v>
      </c>
      <c r="G25">
        <f t="shared" ca="1" si="1"/>
        <v>22</v>
      </c>
    </row>
    <row r="26" spans="1:7" x14ac:dyDescent="0.2">
      <c r="A26" t="s">
        <v>259</v>
      </c>
      <c r="B26" t="s">
        <v>531</v>
      </c>
      <c r="F26">
        <f t="shared" ca="1" si="0"/>
        <v>26</v>
      </c>
      <c r="G26">
        <f t="shared" ca="1" si="1"/>
        <v>3</v>
      </c>
    </row>
    <row r="27" spans="1:7" x14ac:dyDescent="0.2">
      <c r="A27" t="s">
        <v>259</v>
      </c>
      <c r="B27" t="s">
        <v>532</v>
      </c>
      <c r="F27">
        <f t="shared" ca="1" si="0"/>
        <v>26</v>
      </c>
      <c r="G27">
        <f t="shared" ca="1" si="1"/>
        <v>3</v>
      </c>
    </row>
    <row r="28" spans="1:7" x14ac:dyDescent="0.2">
      <c r="A28" t="s">
        <v>259</v>
      </c>
      <c r="B28" t="s">
        <v>533</v>
      </c>
      <c r="F28">
        <f t="shared" ca="1" si="0"/>
        <v>26</v>
      </c>
      <c r="G28">
        <f t="shared" ca="1" si="1"/>
        <v>3</v>
      </c>
    </row>
    <row r="29" spans="1:7" x14ac:dyDescent="0.2">
      <c r="A29" t="s">
        <v>262</v>
      </c>
      <c r="B29" t="s">
        <v>534</v>
      </c>
      <c r="F29">
        <f t="shared" ca="1" si="0"/>
        <v>29</v>
      </c>
      <c r="G29">
        <f t="shared" ca="1" si="1"/>
        <v>1</v>
      </c>
    </row>
    <row r="30" spans="1:7" x14ac:dyDescent="0.2">
      <c r="A30" t="s">
        <v>870</v>
      </c>
      <c r="B30" t="s">
        <v>1165</v>
      </c>
      <c r="F30">
        <f t="shared" ca="1" si="0"/>
        <v>30</v>
      </c>
      <c r="G30">
        <f t="shared" ca="1" si="1"/>
        <v>1</v>
      </c>
    </row>
    <row r="31" spans="1:7" x14ac:dyDescent="0.2">
      <c r="A31" t="s">
        <v>265</v>
      </c>
      <c r="B31" t="s">
        <v>314</v>
      </c>
      <c r="F31">
        <f t="shared" ca="1" si="0"/>
        <v>31</v>
      </c>
      <c r="G31">
        <f t="shared" ca="1" si="1"/>
        <v>1</v>
      </c>
    </row>
    <row r="32" spans="1:7" x14ac:dyDescent="0.2">
      <c r="A32" t="s">
        <v>266</v>
      </c>
      <c r="B32" t="s">
        <v>535</v>
      </c>
      <c r="F32">
        <f t="shared" ca="1" si="0"/>
        <v>32</v>
      </c>
      <c r="G32">
        <f t="shared" ca="1" si="1"/>
        <v>2</v>
      </c>
    </row>
    <row r="33" spans="1:7" x14ac:dyDescent="0.2">
      <c r="A33" t="s">
        <v>266</v>
      </c>
      <c r="B33" t="s">
        <v>536</v>
      </c>
      <c r="F33">
        <f t="shared" ca="1" si="0"/>
        <v>32</v>
      </c>
      <c r="G33">
        <f t="shared" ca="1" si="1"/>
        <v>2</v>
      </c>
    </row>
    <row r="34" spans="1:7" x14ac:dyDescent="0.2">
      <c r="A34" t="s">
        <v>1149</v>
      </c>
      <c r="B34" t="s">
        <v>1217</v>
      </c>
      <c r="F34">
        <f t="shared" ca="1" si="0"/>
        <v>34</v>
      </c>
      <c r="G34">
        <f t="shared" ca="1" si="1"/>
        <v>2</v>
      </c>
    </row>
    <row r="35" spans="1:7" x14ac:dyDescent="0.2">
      <c r="A35" t="s">
        <v>1149</v>
      </c>
      <c r="B35" t="s">
        <v>1218</v>
      </c>
      <c r="F35">
        <f t="shared" ca="1" si="0"/>
        <v>34</v>
      </c>
      <c r="G35">
        <f t="shared" ca="1" si="1"/>
        <v>2</v>
      </c>
    </row>
    <row r="36" spans="1:7" x14ac:dyDescent="0.2">
      <c r="A36" t="s">
        <v>267</v>
      </c>
      <c r="B36" t="s">
        <v>537</v>
      </c>
      <c r="F36">
        <f t="shared" ca="1" si="0"/>
        <v>36</v>
      </c>
      <c r="G36">
        <f t="shared" ca="1" si="1"/>
        <v>7</v>
      </c>
    </row>
    <row r="37" spans="1:7" x14ac:dyDescent="0.2">
      <c r="A37" t="s">
        <v>267</v>
      </c>
      <c r="B37" t="s">
        <v>538</v>
      </c>
      <c r="F37">
        <f t="shared" ca="1" si="0"/>
        <v>36</v>
      </c>
      <c r="G37">
        <f t="shared" ca="1" si="1"/>
        <v>7</v>
      </c>
    </row>
    <row r="38" spans="1:7" x14ac:dyDescent="0.2">
      <c r="A38" t="s">
        <v>267</v>
      </c>
      <c r="B38" t="s">
        <v>539</v>
      </c>
      <c r="F38">
        <f t="shared" ca="1" si="0"/>
        <v>36</v>
      </c>
      <c r="G38">
        <f t="shared" ca="1" si="1"/>
        <v>7</v>
      </c>
    </row>
    <row r="39" spans="1:7" x14ac:dyDescent="0.2">
      <c r="A39" t="s">
        <v>267</v>
      </c>
      <c r="B39" t="s">
        <v>540</v>
      </c>
      <c r="F39">
        <f t="shared" ca="1" si="0"/>
        <v>36</v>
      </c>
      <c r="G39">
        <f t="shared" ca="1" si="1"/>
        <v>7</v>
      </c>
    </row>
    <row r="40" spans="1:7" x14ac:dyDescent="0.2">
      <c r="A40" t="s">
        <v>267</v>
      </c>
      <c r="B40" t="s">
        <v>541</v>
      </c>
      <c r="F40">
        <f t="shared" ca="1" si="0"/>
        <v>36</v>
      </c>
      <c r="G40">
        <f t="shared" ca="1" si="1"/>
        <v>7</v>
      </c>
    </row>
    <row r="41" spans="1:7" x14ac:dyDescent="0.2">
      <c r="A41" t="s">
        <v>267</v>
      </c>
      <c r="B41" t="s">
        <v>542</v>
      </c>
      <c r="F41">
        <f t="shared" ca="1" si="0"/>
        <v>36</v>
      </c>
      <c r="G41">
        <f t="shared" ca="1" si="1"/>
        <v>7</v>
      </c>
    </row>
    <row r="42" spans="1:7" x14ac:dyDescent="0.2">
      <c r="A42" t="s">
        <v>267</v>
      </c>
      <c r="B42" t="s">
        <v>543</v>
      </c>
      <c r="F42">
        <f t="shared" ca="1" si="0"/>
        <v>36</v>
      </c>
      <c r="G42">
        <f t="shared" ca="1" si="1"/>
        <v>7</v>
      </c>
    </row>
    <row r="43" spans="1:7" x14ac:dyDescent="0.2">
      <c r="A43" t="s">
        <v>268</v>
      </c>
      <c r="B43" t="s">
        <v>544</v>
      </c>
      <c r="F43">
        <f t="shared" ca="1" si="0"/>
        <v>43</v>
      </c>
      <c r="G43">
        <f t="shared" ca="1" si="1"/>
        <v>7</v>
      </c>
    </row>
    <row r="44" spans="1:7" x14ac:dyDescent="0.2">
      <c r="A44" t="s">
        <v>268</v>
      </c>
      <c r="B44" t="s">
        <v>545</v>
      </c>
      <c r="F44">
        <f t="shared" ca="1" si="0"/>
        <v>43</v>
      </c>
      <c r="G44">
        <f t="shared" ca="1" si="1"/>
        <v>7</v>
      </c>
    </row>
    <row r="45" spans="1:7" x14ac:dyDescent="0.2">
      <c r="A45" t="s">
        <v>268</v>
      </c>
      <c r="B45" t="s">
        <v>546</v>
      </c>
      <c r="F45">
        <f t="shared" ca="1" si="0"/>
        <v>43</v>
      </c>
      <c r="G45">
        <f t="shared" ca="1" si="1"/>
        <v>7</v>
      </c>
    </row>
    <row r="46" spans="1:7" x14ac:dyDescent="0.2">
      <c r="A46" t="s">
        <v>268</v>
      </c>
      <c r="B46" t="s">
        <v>547</v>
      </c>
      <c r="F46">
        <f t="shared" ca="1" si="0"/>
        <v>43</v>
      </c>
      <c r="G46">
        <f t="shared" ca="1" si="1"/>
        <v>7</v>
      </c>
    </row>
    <row r="47" spans="1:7" x14ac:dyDescent="0.2">
      <c r="A47" t="s">
        <v>268</v>
      </c>
      <c r="B47" t="s">
        <v>548</v>
      </c>
      <c r="F47">
        <f t="shared" ca="1" si="0"/>
        <v>43</v>
      </c>
      <c r="G47">
        <f t="shared" ca="1" si="1"/>
        <v>7</v>
      </c>
    </row>
    <row r="48" spans="1:7" x14ac:dyDescent="0.2">
      <c r="A48" t="s">
        <v>268</v>
      </c>
      <c r="B48" t="s">
        <v>549</v>
      </c>
      <c r="F48">
        <f t="shared" ca="1" si="0"/>
        <v>43</v>
      </c>
      <c r="G48">
        <f t="shared" ca="1" si="1"/>
        <v>7</v>
      </c>
    </row>
    <row r="49" spans="1:7" x14ac:dyDescent="0.2">
      <c r="A49" t="s">
        <v>268</v>
      </c>
      <c r="B49" t="s">
        <v>550</v>
      </c>
      <c r="F49">
        <f t="shared" ca="1" si="0"/>
        <v>43</v>
      </c>
      <c r="G49">
        <f t="shared" ca="1" si="1"/>
        <v>7</v>
      </c>
    </row>
    <row r="50" spans="1:7" x14ac:dyDescent="0.2">
      <c r="A50" t="s">
        <v>269</v>
      </c>
      <c r="B50" t="s">
        <v>269</v>
      </c>
      <c r="F50">
        <f t="shared" ca="1" si="0"/>
        <v>50</v>
      </c>
      <c r="G50">
        <f t="shared" ca="1" si="1"/>
        <v>1</v>
      </c>
    </row>
    <row r="51" spans="1:7" x14ac:dyDescent="0.2">
      <c r="A51" t="s">
        <v>270</v>
      </c>
      <c r="B51" t="s">
        <v>270</v>
      </c>
      <c r="F51">
        <f t="shared" ca="1" si="0"/>
        <v>51</v>
      </c>
      <c r="G51">
        <f t="shared" ca="1" si="1"/>
        <v>1</v>
      </c>
    </row>
    <row r="52" spans="1:7" x14ac:dyDescent="0.2">
      <c r="A52" t="s">
        <v>271</v>
      </c>
      <c r="B52" t="s">
        <v>551</v>
      </c>
      <c r="F52">
        <f t="shared" ca="1" si="0"/>
        <v>52</v>
      </c>
      <c r="G52">
        <f t="shared" ca="1" si="1"/>
        <v>10</v>
      </c>
    </row>
    <row r="53" spans="1:7" x14ac:dyDescent="0.2">
      <c r="A53" t="s">
        <v>271</v>
      </c>
      <c r="B53" t="s">
        <v>552</v>
      </c>
      <c r="F53">
        <f t="shared" ca="1" si="0"/>
        <v>52</v>
      </c>
      <c r="G53">
        <f t="shared" ca="1" si="1"/>
        <v>10</v>
      </c>
    </row>
    <row r="54" spans="1:7" x14ac:dyDescent="0.2">
      <c r="A54" t="s">
        <v>271</v>
      </c>
      <c r="B54" t="s">
        <v>553</v>
      </c>
      <c r="F54">
        <f t="shared" ca="1" si="0"/>
        <v>52</v>
      </c>
      <c r="G54">
        <f t="shared" ca="1" si="1"/>
        <v>10</v>
      </c>
    </row>
    <row r="55" spans="1:7" x14ac:dyDescent="0.2">
      <c r="A55" t="s">
        <v>271</v>
      </c>
      <c r="B55" t="s">
        <v>554</v>
      </c>
      <c r="F55">
        <f t="shared" ca="1" si="0"/>
        <v>52</v>
      </c>
      <c r="G55">
        <f t="shared" ca="1" si="1"/>
        <v>10</v>
      </c>
    </row>
    <row r="56" spans="1:7" x14ac:dyDescent="0.2">
      <c r="A56" t="s">
        <v>271</v>
      </c>
      <c r="B56" t="s">
        <v>555</v>
      </c>
      <c r="F56">
        <f t="shared" ca="1" si="0"/>
        <v>52</v>
      </c>
      <c r="G56">
        <f t="shared" ca="1" si="1"/>
        <v>10</v>
      </c>
    </row>
    <row r="57" spans="1:7" x14ac:dyDescent="0.2">
      <c r="A57" t="s">
        <v>271</v>
      </c>
      <c r="B57" t="s">
        <v>556</v>
      </c>
      <c r="F57">
        <f t="shared" ca="1" si="0"/>
        <v>52</v>
      </c>
      <c r="G57">
        <f t="shared" ca="1" si="1"/>
        <v>10</v>
      </c>
    </row>
    <row r="58" spans="1:7" x14ac:dyDescent="0.2">
      <c r="A58" t="s">
        <v>271</v>
      </c>
      <c r="B58" t="s">
        <v>175</v>
      </c>
      <c r="F58">
        <f t="shared" ca="1" si="0"/>
        <v>52</v>
      </c>
      <c r="G58">
        <f t="shared" ca="1" si="1"/>
        <v>10</v>
      </c>
    </row>
    <row r="59" spans="1:7" x14ac:dyDescent="0.2">
      <c r="A59" t="s">
        <v>271</v>
      </c>
      <c r="B59" t="s">
        <v>557</v>
      </c>
      <c r="F59">
        <f t="shared" ca="1" si="0"/>
        <v>52</v>
      </c>
      <c r="G59">
        <f t="shared" ca="1" si="1"/>
        <v>10</v>
      </c>
    </row>
    <row r="60" spans="1:7" x14ac:dyDescent="0.2">
      <c r="A60" t="s">
        <v>271</v>
      </c>
      <c r="B60" t="s">
        <v>558</v>
      </c>
      <c r="F60">
        <f t="shared" ca="1" si="0"/>
        <v>52</v>
      </c>
      <c r="G60">
        <f t="shared" ca="1" si="1"/>
        <v>10</v>
      </c>
    </row>
    <row r="61" spans="1:7" x14ac:dyDescent="0.2">
      <c r="A61" t="s">
        <v>271</v>
      </c>
      <c r="B61" t="s">
        <v>559</v>
      </c>
      <c r="F61">
        <f t="shared" ca="1" si="0"/>
        <v>52</v>
      </c>
      <c r="G61">
        <f t="shared" ca="1" si="1"/>
        <v>10</v>
      </c>
    </row>
    <row r="62" spans="1:7" x14ac:dyDescent="0.2">
      <c r="A62" t="s">
        <v>272</v>
      </c>
      <c r="B62" t="s">
        <v>560</v>
      </c>
      <c r="F62">
        <f t="shared" ca="1" si="0"/>
        <v>62</v>
      </c>
      <c r="G62">
        <f t="shared" ca="1" si="1"/>
        <v>4</v>
      </c>
    </row>
    <row r="63" spans="1:7" x14ac:dyDescent="0.2">
      <c r="A63" t="s">
        <v>272</v>
      </c>
      <c r="B63" t="s">
        <v>561</v>
      </c>
      <c r="F63">
        <f t="shared" ca="1" si="0"/>
        <v>62</v>
      </c>
      <c r="G63">
        <f t="shared" ca="1" si="1"/>
        <v>4</v>
      </c>
    </row>
    <row r="64" spans="1:7" x14ac:dyDescent="0.2">
      <c r="A64" t="s">
        <v>272</v>
      </c>
      <c r="B64" t="s">
        <v>562</v>
      </c>
      <c r="F64">
        <f t="shared" ca="1" si="0"/>
        <v>62</v>
      </c>
      <c r="G64">
        <f t="shared" ca="1" si="1"/>
        <v>4</v>
      </c>
    </row>
    <row r="65" spans="1:7" x14ac:dyDescent="0.2">
      <c r="A65" t="s">
        <v>272</v>
      </c>
      <c r="B65" t="s">
        <v>563</v>
      </c>
      <c r="F65">
        <f t="shared" ca="1" si="0"/>
        <v>62</v>
      </c>
      <c r="G65">
        <f t="shared" ca="1" si="1"/>
        <v>4</v>
      </c>
    </row>
    <row r="66" spans="1:7" x14ac:dyDescent="0.2">
      <c r="A66" t="s">
        <v>274</v>
      </c>
      <c r="B66" t="s">
        <v>564</v>
      </c>
      <c r="F66">
        <f t="shared" ref="F66:F129" ca="1" si="2">IFERROR(MATCH(OFFSET($A$1,ROW()-1,0,1,1),A:A,0),"")</f>
        <v>66</v>
      </c>
      <c r="G66">
        <f t="shared" ref="G66:G129" ca="1" si="3">COUNTIF(A:A,OFFSET($A$1,ROW()-1,0))</f>
        <v>11</v>
      </c>
    </row>
    <row r="67" spans="1:7" x14ac:dyDescent="0.2">
      <c r="A67" t="s">
        <v>274</v>
      </c>
      <c r="B67" t="s">
        <v>565</v>
      </c>
      <c r="F67">
        <f t="shared" ca="1" si="2"/>
        <v>66</v>
      </c>
      <c r="G67">
        <f t="shared" ca="1" si="3"/>
        <v>11</v>
      </c>
    </row>
    <row r="68" spans="1:7" x14ac:dyDescent="0.2">
      <c r="A68" t="s">
        <v>274</v>
      </c>
      <c r="B68" t="s">
        <v>566</v>
      </c>
      <c r="F68">
        <f t="shared" ca="1" si="2"/>
        <v>66</v>
      </c>
      <c r="G68">
        <f t="shared" ca="1" si="3"/>
        <v>11</v>
      </c>
    </row>
    <row r="69" spans="1:7" x14ac:dyDescent="0.2">
      <c r="A69" t="s">
        <v>274</v>
      </c>
      <c r="B69" t="s">
        <v>567</v>
      </c>
      <c r="F69">
        <f t="shared" ca="1" si="2"/>
        <v>66</v>
      </c>
      <c r="G69">
        <f t="shared" ca="1" si="3"/>
        <v>11</v>
      </c>
    </row>
    <row r="70" spans="1:7" x14ac:dyDescent="0.2">
      <c r="A70" t="s">
        <v>274</v>
      </c>
      <c r="B70" t="s">
        <v>568</v>
      </c>
      <c r="F70">
        <f t="shared" ca="1" si="2"/>
        <v>66</v>
      </c>
      <c r="G70">
        <f t="shared" ca="1" si="3"/>
        <v>11</v>
      </c>
    </row>
    <row r="71" spans="1:7" x14ac:dyDescent="0.2">
      <c r="A71" t="s">
        <v>274</v>
      </c>
      <c r="B71" t="s">
        <v>569</v>
      </c>
      <c r="F71">
        <f t="shared" ca="1" si="2"/>
        <v>66</v>
      </c>
      <c r="G71">
        <f t="shared" ca="1" si="3"/>
        <v>11</v>
      </c>
    </row>
    <row r="72" spans="1:7" x14ac:dyDescent="0.2">
      <c r="A72" t="s">
        <v>274</v>
      </c>
      <c r="B72" t="s">
        <v>276</v>
      </c>
      <c r="F72">
        <f t="shared" ca="1" si="2"/>
        <v>66</v>
      </c>
      <c r="G72">
        <f t="shared" ca="1" si="3"/>
        <v>11</v>
      </c>
    </row>
    <row r="73" spans="1:7" x14ac:dyDescent="0.2">
      <c r="A73" t="s">
        <v>274</v>
      </c>
      <c r="B73" t="s">
        <v>397</v>
      </c>
      <c r="F73">
        <f t="shared" ca="1" si="2"/>
        <v>66</v>
      </c>
      <c r="G73">
        <f t="shared" ca="1" si="3"/>
        <v>11</v>
      </c>
    </row>
    <row r="74" spans="1:7" x14ac:dyDescent="0.2">
      <c r="A74" t="s">
        <v>274</v>
      </c>
      <c r="B74" t="s">
        <v>570</v>
      </c>
      <c r="F74">
        <f t="shared" ca="1" si="2"/>
        <v>66</v>
      </c>
      <c r="G74">
        <f t="shared" ca="1" si="3"/>
        <v>11</v>
      </c>
    </row>
    <row r="75" spans="1:7" x14ac:dyDescent="0.2">
      <c r="A75" t="s">
        <v>274</v>
      </c>
      <c r="B75" t="s">
        <v>571</v>
      </c>
      <c r="F75">
        <f t="shared" ca="1" si="2"/>
        <v>66</v>
      </c>
      <c r="G75">
        <f t="shared" ca="1" si="3"/>
        <v>11</v>
      </c>
    </row>
    <row r="76" spans="1:7" x14ac:dyDescent="0.2">
      <c r="A76" t="s">
        <v>274</v>
      </c>
      <c r="B76" t="s">
        <v>572</v>
      </c>
      <c r="F76">
        <f t="shared" ca="1" si="2"/>
        <v>66</v>
      </c>
      <c r="G76">
        <f t="shared" ca="1" si="3"/>
        <v>11</v>
      </c>
    </row>
    <row r="77" spans="1:7" x14ac:dyDescent="0.2">
      <c r="A77" t="s">
        <v>277</v>
      </c>
      <c r="B77" t="s">
        <v>573</v>
      </c>
      <c r="F77">
        <f t="shared" ca="1" si="2"/>
        <v>77</v>
      </c>
      <c r="G77">
        <f t="shared" ca="1" si="3"/>
        <v>7</v>
      </c>
    </row>
    <row r="78" spans="1:7" x14ac:dyDescent="0.2">
      <c r="A78" t="s">
        <v>277</v>
      </c>
      <c r="B78" t="s">
        <v>574</v>
      </c>
      <c r="F78">
        <f t="shared" ca="1" si="2"/>
        <v>77</v>
      </c>
      <c r="G78">
        <f t="shared" ca="1" si="3"/>
        <v>7</v>
      </c>
    </row>
    <row r="79" spans="1:7" x14ac:dyDescent="0.2">
      <c r="A79" t="s">
        <v>277</v>
      </c>
      <c r="B79" t="s">
        <v>575</v>
      </c>
      <c r="F79">
        <f t="shared" ca="1" si="2"/>
        <v>77</v>
      </c>
      <c r="G79">
        <f t="shared" ca="1" si="3"/>
        <v>7</v>
      </c>
    </row>
    <row r="80" spans="1:7" x14ac:dyDescent="0.2">
      <c r="A80" t="s">
        <v>277</v>
      </c>
      <c r="B80" t="s">
        <v>576</v>
      </c>
      <c r="F80">
        <f t="shared" ca="1" si="2"/>
        <v>77</v>
      </c>
      <c r="G80">
        <f t="shared" ca="1" si="3"/>
        <v>7</v>
      </c>
    </row>
    <row r="81" spans="1:7" x14ac:dyDescent="0.2">
      <c r="A81" t="s">
        <v>277</v>
      </c>
      <c r="B81" t="s">
        <v>577</v>
      </c>
      <c r="F81">
        <f t="shared" ca="1" si="2"/>
        <v>77</v>
      </c>
      <c r="G81">
        <f t="shared" ca="1" si="3"/>
        <v>7</v>
      </c>
    </row>
    <row r="82" spans="1:7" x14ac:dyDescent="0.2">
      <c r="A82" t="s">
        <v>277</v>
      </c>
      <c r="B82" t="s">
        <v>578</v>
      </c>
      <c r="F82">
        <f t="shared" ca="1" si="2"/>
        <v>77</v>
      </c>
      <c r="G82">
        <f t="shared" ca="1" si="3"/>
        <v>7</v>
      </c>
    </row>
    <row r="83" spans="1:7" x14ac:dyDescent="0.2">
      <c r="A83" t="s">
        <v>277</v>
      </c>
      <c r="B83" t="s">
        <v>1219</v>
      </c>
      <c r="F83">
        <f t="shared" ca="1" si="2"/>
        <v>77</v>
      </c>
      <c r="G83">
        <f t="shared" ca="1" si="3"/>
        <v>7</v>
      </c>
    </row>
    <row r="84" spans="1:7" x14ac:dyDescent="0.2">
      <c r="A84" t="s">
        <v>278</v>
      </c>
      <c r="B84" t="s">
        <v>278</v>
      </c>
      <c r="F84">
        <f t="shared" ca="1" si="2"/>
        <v>84</v>
      </c>
      <c r="G84">
        <f t="shared" ca="1" si="3"/>
        <v>1</v>
      </c>
    </row>
    <row r="85" spans="1:7" x14ac:dyDescent="0.2">
      <c r="A85" t="s">
        <v>279</v>
      </c>
      <c r="B85" t="s">
        <v>579</v>
      </c>
      <c r="F85">
        <f t="shared" ca="1" si="2"/>
        <v>85</v>
      </c>
      <c r="G85">
        <f t="shared" ca="1" si="3"/>
        <v>1</v>
      </c>
    </row>
    <row r="86" spans="1:7" x14ac:dyDescent="0.2">
      <c r="A86" t="s">
        <v>280</v>
      </c>
      <c r="B86" t="s">
        <v>1220</v>
      </c>
      <c r="F86">
        <f t="shared" ca="1" si="2"/>
        <v>86</v>
      </c>
      <c r="G86">
        <f t="shared" ca="1" si="3"/>
        <v>7</v>
      </c>
    </row>
    <row r="87" spans="1:7" x14ac:dyDescent="0.2">
      <c r="A87" t="s">
        <v>280</v>
      </c>
      <c r="B87" t="s">
        <v>580</v>
      </c>
      <c r="F87">
        <f t="shared" ca="1" si="2"/>
        <v>86</v>
      </c>
      <c r="G87">
        <f t="shared" ca="1" si="3"/>
        <v>7</v>
      </c>
    </row>
    <row r="88" spans="1:7" x14ac:dyDescent="0.2">
      <c r="A88" t="s">
        <v>280</v>
      </c>
      <c r="B88" t="s">
        <v>581</v>
      </c>
      <c r="F88">
        <f t="shared" ca="1" si="2"/>
        <v>86</v>
      </c>
      <c r="G88">
        <f t="shared" ca="1" si="3"/>
        <v>7</v>
      </c>
    </row>
    <row r="89" spans="1:7" x14ac:dyDescent="0.2">
      <c r="A89" t="s">
        <v>280</v>
      </c>
      <c r="B89" t="s">
        <v>582</v>
      </c>
      <c r="F89">
        <f t="shared" ca="1" si="2"/>
        <v>86</v>
      </c>
      <c r="G89">
        <f t="shared" ca="1" si="3"/>
        <v>7</v>
      </c>
    </row>
    <row r="90" spans="1:7" x14ac:dyDescent="0.2">
      <c r="A90" t="s">
        <v>280</v>
      </c>
      <c r="B90" t="s">
        <v>583</v>
      </c>
      <c r="F90">
        <f t="shared" ca="1" si="2"/>
        <v>86</v>
      </c>
      <c r="G90">
        <f t="shared" ca="1" si="3"/>
        <v>7</v>
      </c>
    </row>
    <row r="91" spans="1:7" x14ac:dyDescent="0.2">
      <c r="A91" t="s">
        <v>280</v>
      </c>
      <c r="B91" t="s">
        <v>584</v>
      </c>
      <c r="F91">
        <f t="shared" ca="1" si="2"/>
        <v>86</v>
      </c>
      <c r="G91">
        <f t="shared" ca="1" si="3"/>
        <v>7</v>
      </c>
    </row>
    <row r="92" spans="1:7" x14ac:dyDescent="0.2">
      <c r="A92" t="s">
        <v>280</v>
      </c>
      <c r="B92" t="s">
        <v>585</v>
      </c>
      <c r="F92">
        <f t="shared" ca="1" si="2"/>
        <v>86</v>
      </c>
      <c r="G92">
        <f t="shared" ca="1" si="3"/>
        <v>7</v>
      </c>
    </row>
    <row r="93" spans="1:7" x14ac:dyDescent="0.2">
      <c r="A93" t="s">
        <v>281</v>
      </c>
      <c r="B93" t="s">
        <v>1221</v>
      </c>
      <c r="F93">
        <f t="shared" ca="1" si="2"/>
        <v>93</v>
      </c>
      <c r="G93">
        <f t="shared" ca="1" si="3"/>
        <v>2</v>
      </c>
    </row>
    <row r="94" spans="1:7" x14ac:dyDescent="0.2">
      <c r="A94" t="s">
        <v>281</v>
      </c>
      <c r="B94" t="s">
        <v>1222</v>
      </c>
      <c r="F94">
        <f t="shared" ca="1" si="2"/>
        <v>93</v>
      </c>
      <c r="G94">
        <f t="shared" ca="1" si="3"/>
        <v>2</v>
      </c>
    </row>
    <row r="95" spans="1:7" x14ac:dyDescent="0.2">
      <c r="A95" t="s">
        <v>1150</v>
      </c>
      <c r="B95" t="s">
        <v>1223</v>
      </c>
      <c r="F95">
        <f t="shared" ca="1" si="2"/>
        <v>95</v>
      </c>
      <c r="G95">
        <f t="shared" ca="1" si="3"/>
        <v>1</v>
      </c>
    </row>
    <row r="96" spans="1:7" x14ac:dyDescent="0.2">
      <c r="A96" t="s">
        <v>283</v>
      </c>
      <c r="B96" t="s">
        <v>586</v>
      </c>
      <c r="F96">
        <f t="shared" ca="1" si="2"/>
        <v>96</v>
      </c>
      <c r="G96">
        <f t="shared" ca="1" si="3"/>
        <v>3</v>
      </c>
    </row>
    <row r="97" spans="1:7" x14ac:dyDescent="0.2">
      <c r="A97" t="s">
        <v>283</v>
      </c>
      <c r="B97" t="s">
        <v>587</v>
      </c>
      <c r="F97">
        <f t="shared" ca="1" si="2"/>
        <v>96</v>
      </c>
      <c r="G97">
        <f t="shared" ca="1" si="3"/>
        <v>3</v>
      </c>
    </row>
    <row r="98" spans="1:7" x14ac:dyDescent="0.2">
      <c r="A98" t="s">
        <v>283</v>
      </c>
      <c r="B98" t="s">
        <v>588</v>
      </c>
      <c r="F98">
        <f t="shared" ca="1" si="2"/>
        <v>96</v>
      </c>
      <c r="G98">
        <f t="shared" ca="1" si="3"/>
        <v>3</v>
      </c>
    </row>
    <row r="99" spans="1:7" x14ac:dyDescent="0.2">
      <c r="A99" t="s">
        <v>285</v>
      </c>
      <c r="B99" t="s">
        <v>589</v>
      </c>
      <c r="F99">
        <f t="shared" ca="1" si="2"/>
        <v>99</v>
      </c>
      <c r="G99">
        <f t="shared" ca="1" si="3"/>
        <v>5</v>
      </c>
    </row>
    <row r="100" spans="1:7" x14ac:dyDescent="0.2">
      <c r="A100" t="s">
        <v>285</v>
      </c>
      <c r="B100" t="s">
        <v>587</v>
      </c>
      <c r="F100">
        <f t="shared" ca="1" si="2"/>
        <v>99</v>
      </c>
      <c r="G100">
        <f t="shared" ca="1" si="3"/>
        <v>5</v>
      </c>
    </row>
    <row r="101" spans="1:7" x14ac:dyDescent="0.2">
      <c r="A101" t="s">
        <v>285</v>
      </c>
      <c r="B101" t="s">
        <v>590</v>
      </c>
      <c r="F101">
        <f t="shared" ca="1" si="2"/>
        <v>99</v>
      </c>
      <c r="G101">
        <f t="shared" ca="1" si="3"/>
        <v>5</v>
      </c>
    </row>
    <row r="102" spans="1:7" x14ac:dyDescent="0.2">
      <c r="A102" t="s">
        <v>285</v>
      </c>
      <c r="B102" t="s">
        <v>591</v>
      </c>
      <c r="F102">
        <f t="shared" ca="1" si="2"/>
        <v>99</v>
      </c>
      <c r="G102">
        <f t="shared" ca="1" si="3"/>
        <v>5</v>
      </c>
    </row>
    <row r="103" spans="1:7" x14ac:dyDescent="0.2">
      <c r="A103" t="s">
        <v>285</v>
      </c>
      <c r="B103" t="s">
        <v>592</v>
      </c>
      <c r="F103">
        <f t="shared" ca="1" si="2"/>
        <v>99</v>
      </c>
      <c r="G103">
        <f t="shared" ca="1" si="3"/>
        <v>5</v>
      </c>
    </row>
    <row r="104" spans="1:7" x14ac:dyDescent="0.2">
      <c r="A104" t="s">
        <v>286</v>
      </c>
      <c r="B104" t="s">
        <v>286</v>
      </c>
      <c r="F104">
        <f t="shared" ca="1" si="2"/>
        <v>104</v>
      </c>
      <c r="G104">
        <f t="shared" ca="1" si="3"/>
        <v>1</v>
      </c>
    </row>
    <row r="105" spans="1:7" x14ac:dyDescent="0.2">
      <c r="A105" t="s">
        <v>1151</v>
      </c>
      <c r="B105" t="s">
        <v>1224</v>
      </c>
      <c r="F105">
        <f t="shared" ca="1" si="2"/>
        <v>105</v>
      </c>
      <c r="G105">
        <f t="shared" ca="1" si="3"/>
        <v>1</v>
      </c>
    </row>
    <row r="106" spans="1:7" x14ac:dyDescent="0.2">
      <c r="A106" t="s">
        <v>287</v>
      </c>
      <c r="B106" t="s">
        <v>593</v>
      </c>
      <c r="F106">
        <f t="shared" ca="1" si="2"/>
        <v>106</v>
      </c>
      <c r="G106">
        <f t="shared" ca="1" si="3"/>
        <v>4</v>
      </c>
    </row>
    <row r="107" spans="1:7" x14ac:dyDescent="0.2">
      <c r="A107" t="s">
        <v>287</v>
      </c>
      <c r="B107" t="s">
        <v>287</v>
      </c>
      <c r="F107">
        <f t="shared" ca="1" si="2"/>
        <v>106</v>
      </c>
      <c r="G107">
        <f t="shared" ca="1" si="3"/>
        <v>4</v>
      </c>
    </row>
    <row r="108" spans="1:7" x14ac:dyDescent="0.2">
      <c r="A108" t="s">
        <v>287</v>
      </c>
      <c r="B108" t="s">
        <v>333</v>
      </c>
      <c r="F108">
        <f t="shared" ca="1" si="2"/>
        <v>106</v>
      </c>
      <c r="G108">
        <f t="shared" ca="1" si="3"/>
        <v>4</v>
      </c>
    </row>
    <row r="109" spans="1:7" x14ac:dyDescent="0.2">
      <c r="A109" t="s">
        <v>287</v>
      </c>
      <c r="B109" t="s">
        <v>594</v>
      </c>
      <c r="F109">
        <f t="shared" ca="1" si="2"/>
        <v>106</v>
      </c>
      <c r="G109">
        <f t="shared" ca="1" si="3"/>
        <v>4</v>
      </c>
    </row>
    <row r="110" spans="1:7" x14ac:dyDescent="0.2">
      <c r="A110" t="s">
        <v>288</v>
      </c>
      <c r="B110" t="s">
        <v>595</v>
      </c>
      <c r="F110">
        <f t="shared" ca="1" si="2"/>
        <v>110</v>
      </c>
      <c r="G110">
        <f t="shared" ca="1" si="3"/>
        <v>9</v>
      </c>
    </row>
    <row r="111" spans="1:7" x14ac:dyDescent="0.2">
      <c r="A111" t="s">
        <v>288</v>
      </c>
      <c r="B111" t="s">
        <v>596</v>
      </c>
      <c r="F111">
        <f t="shared" ca="1" si="2"/>
        <v>110</v>
      </c>
      <c r="G111">
        <f t="shared" ca="1" si="3"/>
        <v>9</v>
      </c>
    </row>
    <row r="112" spans="1:7" x14ac:dyDescent="0.2">
      <c r="A112" t="s">
        <v>288</v>
      </c>
      <c r="B112" t="s">
        <v>288</v>
      </c>
      <c r="F112">
        <f t="shared" ca="1" si="2"/>
        <v>110</v>
      </c>
      <c r="G112">
        <f t="shared" ca="1" si="3"/>
        <v>9</v>
      </c>
    </row>
    <row r="113" spans="1:7" x14ac:dyDescent="0.2">
      <c r="A113" t="s">
        <v>288</v>
      </c>
      <c r="B113" t="s">
        <v>597</v>
      </c>
      <c r="F113">
        <f t="shared" ca="1" si="2"/>
        <v>110</v>
      </c>
      <c r="G113">
        <f t="shared" ca="1" si="3"/>
        <v>9</v>
      </c>
    </row>
    <row r="114" spans="1:7" x14ac:dyDescent="0.2">
      <c r="A114" t="s">
        <v>288</v>
      </c>
      <c r="B114" t="s">
        <v>598</v>
      </c>
      <c r="F114">
        <f t="shared" ca="1" si="2"/>
        <v>110</v>
      </c>
      <c r="G114">
        <f t="shared" ca="1" si="3"/>
        <v>9</v>
      </c>
    </row>
    <row r="115" spans="1:7" x14ac:dyDescent="0.2">
      <c r="A115" t="s">
        <v>288</v>
      </c>
      <c r="B115" t="s">
        <v>599</v>
      </c>
      <c r="F115">
        <f t="shared" ca="1" si="2"/>
        <v>110</v>
      </c>
      <c r="G115">
        <f t="shared" ca="1" si="3"/>
        <v>9</v>
      </c>
    </row>
    <row r="116" spans="1:7" x14ac:dyDescent="0.2">
      <c r="A116" t="s">
        <v>288</v>
      </c>
      <c r="B116" t="s">
        <v>600</v>
      </c>
      <c r="F116">
        <f t="shared" ca="1" si="2"/>
        <v>110</v>
      </c>
      <c r="G116">
        <f t="shared" ca="1" si="3"/>
        <v>9</v>
      </c>
    </row>
    <row r="117" spans="1:7" x14ac:dyDescent="0.2">
      <c r="A117" t="s">
        <v>288</v>
      </c>
      <c r="B117" t="s">
        <v>601</v>
      </c>
      <c r="F117">
        <f t="shared" ca="1" si="2"/>
        <v>110</v>
      </c>
      <c r="G117">
        <f t="shared" ca="1" si="3"/>
        <v>9</v>
      </c>
    </row>
    <row r="118" spans="1:7" x14ac:dyDescent="0.2">
      <c r="A118" t="s">
        <v>288</v>
      </c>
      <c r="B118" t="s">
        <v>602</v>
      </c>
      <c r="F118">
        <f t="shared" ca="1" si="2"/>
        <v>110</v>
      </c>
      <c r="G118">
        <f t="shared" ca="1" si="3"/>
        <v>9</v>
      </c>
    </row>
    <row r="119" spans="1:7" x14ac:dyDescent="0.2">
      <c r="A119" t="s">
        <v>86</v>
      </c>
      <c r="B119" t="s">
        <v>603</v>
      </c>
      <c r="F119">
        <f t="shared" ca="1" si="2"/>
        <v>119</v>
      </c>
      <c r="G119">
        <f t="shared" ca="1" si="3"/>
        <v>4</v>
      </c>
    </row>
    <row r="120" spans="1:7" x14ac:dyDescent="0.2">
      <c r="A120" t="s">
        <v>86</v>
      </c>
      <c r="B120" t="s">
        <v>604</v>
      </c>
      <c r="F120">
        <f t="shared" ca="1" si="2"/>
        <v>119</v>
      </c>
      <c r="G120">
        <f t="shared" ca="1" si="3"/>
        <v>4</v>
      </c>
    </row>
    <row r="121" spans="1:7" x14ac:dyDescent="0.2">
      <c r="A121" t="s">
        <v>86</v>
      </c>
      <c r="B121" t="s">
        <v>605</v>
      </c>
      <c r="F121">
        <f t="shared" ca="1" si="2"/>
        <v>119</v>
      </c>
      <c r="G121">
        <f t="shared" ca="1" si="3"/>
        <v>4</v>
      </c>
    </row>
    <row r="122" spans="1:7" x14ac:dyDescent="0.2">
      <c r="A122" t="s">
        <v>86</v>
      </c>
      <c r="B122" t="s">
        <v>606</v>
      </c>
      <c r="F122">
        <f t="shared" ca="1" si="2"/>
        <v>119</v>
      </c>
      <c r="G122">
        <f t="shared" ca="1" si="3"/>
        <v>4</v>
      </c>
    </row>
    <row r="123" spans="1:7" x14ac:dyDescent="0.2">
      <c r="A123" t="s">
        <v>290</v>
      </c>
      <c r="B123" t="s">
        <v>607</v>
      </c>
      <c r="F123">
        <f t="shared" ca="1" si="2"/>
        <v>123</v>
      </c>
      <c r="G123">
        <f t="shared" ca="1" si="3"/>
        <v>4</v>
      </c>
    </row>
    <row r="124" spans="1:7" x14ac:dyDescent="0.2">
      <c r="A124" t="s">
        <v>290</v>
      </c>
      <c r="B124" t="s">
        <v>522</v>
      </c>
      <c r="F124">
        <f t="shared" ca="1" si="2"/>
        <v>123</v>
      </c>
      <c r="G124">
        <f t="shared" ca="1" si="3"/>
        <v>4</v>
      </c>
    </row>
    <row r="125" spans="1:7" x14ac:dyDescent="0.2">
      <c r="A125" t="s">
        <v>290</v>
      </c>
      <c r="B125" t="s">
        <v>608</v>
      </c>
      <c r="F125">
        <f t="shared" ca="1" si="2"/>
        <v>123</v>
      </c>
      <c r="G125">
        <f t="shared" ca="1" si="3"/>
        <v>4</v>
      </c>
    </row>
    <row r="126" spans="1:7" x14ac:dyDescent="0.2">
      <c r="A126" t="s">
        <v>290</v>
      </c>
      <c r="B126" t="s">
        <v>609</v>
      </c>
      <c r="F126">
        <f t="shared" ca="1" si="2"/>
        <v>123</v>
      </c>
      <c r="G126">
        <f t="shared" ca="1" si="3"/>
        <v>4</v>
      </c>
    </row>
    <row r="127" spans="1:7" x14ac:dyDescent="0.2">
      <c r="A127" t="s">
        <v>291</v>
      </c>
      <c r="B127" t="s">
        <v>291</v>
      </c>
      <c r="F127">
        <f t="shared" ca="1" si="2"/>
        <v>127</v>
      </c>
      <c r="G127">
        <f t="shared" ca="1" si="3"/>
        <v>3</v>
      </c>
    </row>
    <row r="128" spans="1:7" x14ac:dyDescent="0.2">
      <c r="A128" t="s">
        <v>291</v>
      </c>
      <c r="B128" t="s">
        <v>610</v>
      </c>
      <c r="F128">
        <f t="shared" ca="1" si="2"/>
        <v>127</v>
      </c>
      <c r="G128">
        <f t="shared" ca="1" si="3"/>
        <v>3</v>
      </c>
    </row>
    <row r="129" spans="1:7" x14ac:dyDescent="0.2">
      <c r="A129" t="s">
        <v>291</v>
      </c>
      <c r="B129" t="s">
        <v>611</v>
      </c>
      <c r="F129">
        <f t="shared" ca="1" si="2"/>
        <v>127</v>
      </c>
      <c r="G129">
        <f t="shared" ca="1" si="3"/>
        <v>3</v>
      </c>
    </row>
    <row r="130" spans="1:7" x14ac:dyDescent="0.2">
      <c r="A130" t="s">
        <v>90</v>
      </c>
      <c r="B130" t="s">
        <v>612</v>
      </c>
      <c r="F130">
        <f t="shared" ref="F130:F193" ca="1" si="4">IFERROR(MATCH(OFFSET($A$1,ROW()-1,0,1,1),A:A,0),"")</f>
        <v>130</v>
      </c>
      <c r="G130">
        <f t="shared" ref="G130:G193" ca="1" si="5">COUNTIF(A:A,OFFSET($A$1,ROW()-1,0))</f>
        <v>2</v>
      </c>
    </row>
    <row r="131" spans="1:7" x14ac:dyDescent="0.2">
      <c r="A131" t="s">
        <v>90</v>
      </c>
      <c r="B131" t="s">
        <v>613</v>
      </c>
      <c r="F131">
        <f t="shared" ca="1" si="4"/>
        <v>130</v>
      </c>
      <c r="G131">
        <f t="shared" ca="1" si="5"/>
        <v>2</v>
      </c>
    </row>
    <row r="132" spans="1:7" x14ac:dyDescent="0.2">
      <c r="A132" t="s">
        <v>292</v>
      </c>
      <c r="B132" t="s">
        <v>614</v>
      </c>
      <c r="F132">
        <f t="shared" ca="1" si="4"/>
        <v>132</v>
      </c>
      <c r="G132">
        <f t="shared" ca="1" si="5"/>
        <v>12</v>
      </c>
    </row>
    <row r="133" spans="1:7" x14ac:dyDescent="0.2">
      <c r="A133" t="s">
        <v>292</v>
      </c>
      <c r="B133" t="s">
        <v>615</v>
      </c>
      <c r="F133">
        <f t="shared" ca="1" si="4"/>
        <v>132</v>
      </c>
      <c r="G133">
        <f t="shared" ca="1" si="5"/>
        <v>12</v>
      </c>
    </row>
    <row r="134" spans="1:7" x14ac:dyDescent="0.2">
      <c r="A134" t="s">
        <v>292</v>
      </c>
      <c r="B134" t="s">
        <v>616</v>
      </c>
      <c r="F134">
        <f t="shared" ca="1" si="4"/>
        <v>132</v>
      </c>
      <c r="G134">
        <f t="shared" ca="1" si="5"/>
        <v>12</v>
      </c>
    </row>
    <row r="135" spans="1:7" x14ac:dyDescent="0.2">
      <c r="A135" t="s">
        <v>292</v>
      </c>
      <c r="B135" t="s">
        <v>617</v>
      </c>
      <c r="F135">
        <f t="shared" ca="1" si="4"/>
        <v>132</v>
      </c>
      <c r="G135">
        <f t="shared" ca="1" si="5"/>
        <v>12</v>
      </c>
    </row>
    <row r="136" spans="1:7" x14ac:dyDescent="0.2">
      <c r="A136" t="s">
        <v>292</v>
      </c>
      <c r="B136" t="s">
        <v>618</v>
      </c>
      <c r="F136">
        <f t="shared" ca="1" si="4"/>
        <v>132</v>
      </c>
      <c r="G136">
        <f t="shared" ca="1" si="5"/>
        <v>12</v>
      </c>
    </row>
    <row r="137" spans="1:7" x14ac:dyDescent="0.2">
      <c r="A137" t="s">
        <v>292</v>
      </c>
      <c r="B137" t="s">
        <v>619</v>
      </c>
      <c r="F137">
        <f t="shared" ca="1" si="4"/>
        <v>132</v>
      </c>
      <c r="G137">
        <f t="shared" ca="1" si="5"/>
        <v>12</v>
      </c>
    </row>
    <row r="138" spans="1:7" x14ac:dyDescent="0.2">
      <c r="A138" t="s">
        <v>292</v>
      </c>
      <c r="B138" t="s">
        <v>1225</v>
      </c>
      <c r="F138">
        <f t="shared" ca="1" si="4"/>
        <v>132</v>
      </c>
      <c r="G138">
        <f t="shared" ca="1" si="5"/>
        <v>12</v>
      </c>
    </row>
    <row r="139" spans="1:7" x14ac:dyDescent="0.2">
      <c r="A139" t="s">
        <v>292</v>
      </c>
      <c r="B139" t="s">
        <v>620</v>
      </c>
      <c r="F139">
        <f t="shared" ca="1" si="4"/>
        <v>132</v>
      </c>
      <c r="G139">
        <f t="shared" ca="1" si="5"/>
        <v>12</v>
      </c>
    </row>
    <row r="140" spans="1:7" x14ac:dyDescent="0.2">
      <c r="A140" t="s">
        <v>292</v>
      </c>
      <c r="B140" t="s">
        <v>621</v>
      </c>
      <c r="F140">
        <f t="shared" ca="1" si="4"/>
        <v>132</v>
      </c>
      <c r="G140">
        <f t="shared" ca="1" si="5"/>
        <v>12</v>
      </c>
    </row>
    <row r="141" spans="1:7" x14ac:dyDescent="0.2">
      <c r="A141" t="s">
        <v>292</v>
      </c>
      <c r="B141" t="s">
        <v>622</v>
      </c>
      <c r="F141">
        <f t="shared" ca="1" si="4"/>
        <v>132</v>
      </c>
      <c r="G141">
        <f t="shared" ca="1" si="5"/>
        <v>12</v>
      </c>
    </row>
    <row r="142" spans="1:7" x14ac:dyDescent="0.2">
      <c r="A142" t="s">
        <v>292</v>
      </c>
      <c r="B142" t="s">
        <v>623</v>
      </c>
      <c r="F142">
        <f t="shared" ca="1" si="4"/>
        <v>132</v>
      </c>
      <c r="G142">
        <f t="shared" ca="1" si="5"/>
        <v>12</v>
      </c>
    </row>
    <row r="143" spans="1:7" x14ac:dyDescent="0.2">
      <c r="A143" t="s">
        <v>292</v>
      </c>
      <c r="B143" t="s">
        <v>624</v>
      </c>
      <c r="F143">
        <f t="shared" ca="1" si="4"/>
        <v>132</v>
      </c>
      <c r="G143">
        <f t="shared" ca="1" si="5"/>
        <v>12</v>
      </c>
    </row>
    <row r="144" spans="1:7" x14ac:dyDescent="0.2">
      <c r="A144" t="s">
        <v>293</v>
      </c>
      <c r="B144" t="s">
        <v>625</v>
      </c>
      <c r="F144">
        <f t="shared" ca="1" si="4"/>
        <v>144</v>
      </c>
      <c r="G144">
        <f t="shared" ca="1" si="5"/>
        <v>4</v>
      </c>
    </row>
    <row r="145" spans="1:7" x14ac:dyDescent="0.2">
      <c r="A145" t="s">
        <v>293</v>
      </c>
      <c r="B145" t="s">
        <v>626</v>
      </c>
      <c r="F145">
        <f t="shared" ca="1" si="4"/>
        <v>144</v>
      </c>
      <c r="G145">
        <f t="shared" ca="1" si="5"/>
        <v>4</v>
      </c>
    </row>
    <row r="146" spans="1:7" x14ac:dyDescent="0.2">
      <c r="A146" t="s">
        <v>293</v>
      </c>
      <c r="B146" t="s">
        <v>627</v>
      </c>
      <c r="F146">
        <f t="shared" ca="1" si="4"/>
        <v>144</v>
      </c>
      <c r="G146">
        <f t="shared" ca="1" si="5"/>
        <v>4</v>
      </c>
    </row>
    <row r="147" spans="1:7" x14ac:dyDescent="0.2">
      <c r="A147" t="s">
        <v>293</v>
      </c>
      <c r="B147" t="s">
        <v>659</v>
      </c>
      <c r="F147">
        <f t="shared" ca="1" si="4"/>
        <v>144</v>
      </c>
      <c r="G147">
        <f t="shared" ca="1" si="5"/>
        <v>4</v>
      </c>
    </row>
    <row r="148" spans="1:7" x14ac:dyDescent="0.2">
      <c r="A148" t="s">
        <v>294</v>
      </c>
      <c r="B148" t="s">
        <v>1226</v>
      </c>
      <c r="F148">
        <f t="shared" ca="1" si="4"/>
        <v>148</v>
      </c>
      <c r="G148">
        <f t="shared" ca="1" si="5"/>
        <v>7</v>
      </c>
    </row>
    <row r="149" spans="1:7" x14ac:dyDescent="0.2">
      <c r="A149" t="s">
        <v>294</v>
      </c>
      <c r="B149" t="s">
        <v>628</v>
      </c>
      <c r="F149">
        <f t="shared" ca="1" si="4"/>
        <v>148</v>
      </c>
      <c r="G149">
        <f t="shared" ca="1" si="5"/>
        <v>7</v>
      </c>
    </row>
    <row r="150" spans="1:7" x14ac:dyDescent="0.2">
      <c r="A150" t="s">
        <v>294</v>
      </c>
      <c r="B150" t="s">
        <v>629</v>
      </c>
      <c r="F150">
        <f t="shared" ca="1" si="4"/>
        <v>148</v>
      </c>
      <c r="G150">
        <f t="shared" ca="1" si="5"/>
        <v>7</v>
      </c>
    </row>
    <row r="151" spans="1:7" x14ac:dyDescent="0.2">
      <c r="A151" t="s">
        <v>294</v>
      </c>
      <c r="B151" t="s">
        <v>825</v>
      </c>
      <c r="F151">
        <f t="shared" ca="1" si="4"/>
        <v>148</v>
      </c>
      <c r="G151">
        <f t="shared" ca="1" si="5"/>
        <v>7</v>
      </c>
    </row>
    <row r="152" spans="1:7" x14ac:dyDescent="0.2">
      <c r="A152" t="s">
        <v>294</v>
      </c>
      <c r="B152" t="s">
        <v>630</v>
      </c>
      <c r="F152">
        <f t="shared" ca="1" si="4"/>
        <v>148</v>
      </c>
      <c r="G152">
        <f t="shared" ca="1" si="5"/>
        <v>7</v>
      </c>
    </row>
    <row r="153" spans="1:7" x14ac:dyDescent="0.2">
      <c r="A153" t="s">
        <v>294</v>
      </c>
      <c r="B153" t="s">
        <v>631</v>
      </c>
      <c r="F153">
        <f t="shared" ca="1" si="4"/>
        <v>148</v>
      </c>
      <c r="G153">
        <f t="shared" ca="1" si="5"/>
        <v>7</v>
      </c>
    </row>
    <row r="154" spans="1:7" x14ac:dyDescent="0.2">
      <c r="A154" t="s">
        <v>294</v>
      </c>
      <c r="B154" t="s">
        <v>632</v>
      </c>
      <c r="F154">
        <f t="shared" ca="1" si="4"/>
        <v>148</v>
      </c>
      <c r="G154">
        <f t="shared" ca="1" si="5"/>
        <v>7</v>
      </c>
    </row>
    <row r="155" spans="1:7" x14ac:dyDescent="0.2">
      <c r="A155" t="s">
        <v>295</v>
      </c>
      <c r="B155" t="s">
        <v>633</v>
      </c>
      <c r="F155">
        <f t="shared" ca="1" si="4"/>
        <v>155</v>
      </c>
      <c r="G155">
        <f t="shared" ca="1" si="5"/>
        <v>1</v>
      </c>
    </row>
    <row r="156" spans="1:7" x14ac:dyDescent="0.2">
      <c r="A156" t="s">
        <v>296</v>
      </c>
      <c r="B156" t="s">
        <v>634</v>
      </c>
      <c r="F156">
        <f t="shared" ca="1" si="4"/>
        <v>156</v>
      </c>
      <c r="G156">
        <f t="shared" ca="1" si="5"/>
        <v>1</v>
      </c>
    </row>
    <row r="157" spans="1:7" x14ac:dyDescent="0.2">
      <c r="A157" t="s">
        <v>297</v>
      </c>
      <c r="B157" t="s">
        <v>635</v>
      </c>
      <c r="F157">
        <f t="shared" ca="1" si="4"/>
        <v>157</v>
      </c>
      <c r="G157">
        <f t="shared" ca="1" si="5"/>
        <v>2</v>
      </c>
    </row>
    <row r="158" spans="1:7" x14ac:dyDescent="0.2">
      <c r="A158" t="s">
        <v>297</v>
      </c>
      <c r="B158" t="s">
        <v>636</v>
      </c>
      <c r="F158">
        <f t="shared" ca="1" si="4"/>
        <v>157</v>
      </c>
      <c r="G158">
        <f t="shared" ca="1" si="5"/>
        <v>2</v>
      </c>
    </row>
    <row r="159" spans="1:7" x14ac:dyDescent="0.2">
      <c r="A159" t="s">
        <v>298</v>
      </c>
      <c r="B159" t="s">
        <v>637</v>
      </c>
      <c r="F159">
        <f t="shared" ca="1" si="4"/>
        <v>159</v>
      </c>
      <c r="G159">
        <f t="shared" ca="1" si="5"/>
        <v>1</v>
      </c>
    </row>
    <row r="160" spans="1:7" x14ac:dyDescent="0.2">
      <c r="A160" t="s">
        <v>299</v>
      </c>
      <c r="B160" t="s">
        <v>638</v>
      </c>
      <c r="F160">
        <f t="shared" ca="1" si="4"/>
        <v>160</v>
      </c>
      <c r="G160">
        <f t="shared" ca="1" si="5"/>
        <v>6</v>
      </c>
    </row>
    <row r="161" spans="1:7" x14ac:dyDescent="0.2">
      <c r="A161" t="s">
        <v>299</v>
      </c>
      <c r="B161" t="s">
        <v>639</v>
      </c>
      <c r="F161">
        <f t="shared" ca="1" si="4"/>
        <v>160</v>
      </c>
      <c r="G161">
        <f t="shared" ca="1" si="5"/>
        <v>6</v>
      </c>
    </row>
    <row r="162" spans="1:7" x14ac:dyDescent="0.2">
      <c r="A162" t="s">
        <v>299</v>
      </c>
      <c r="B162" t="s">
        <v>640</v>
      </c>
      <c r="F162">
        <f t="shared" ca="1" si="4"/>
        <v>160</v>
      </c>
      <c r="G162">
        <f t="shared" ca="1" si="5"/>
        <v>6</v>
      </c>
    </row>
    <row r="163" spans="1:7" x14ac:dyDescent="0.2">
      <c r="A163" t="s">
        <v>299</v>
      </c>
      <c r="B163" t="s">
        <v>641</v>
      </c>
      <c r="F163">
        <f t="shared" ca="1" si="4"/>
        <v>160</v>
      </c>
      <c r="G163">
        <f t="shared" ca="1" si="5"/>
        <v>6</v>
      </c>
    </row>
    <row r="164" spans="1:7" x14ac:dyDescent="0.2">
      <c r="A164" t="s">
        <v>299</v>
      </c>
      <c r="B164" t="s">
        <v>642</v>
      </c>
      <c r="F164">
        <f t="shared" ca="1" si="4"/>
        <v>160</v>
      </c>
      <c r="G164">
        <f t="shared" ca="1" si="5"/>
        <v>6</v>
      </c>
    </row>
    <row r="165" spans="1:7" x14ac:dyDescent="0.2">
      <c r="A165" t="s">
        <v>299</v>
      </c>
      <c r="B165" t="s">
        <v>643</v>
      </c>
      <c r="F165">
        <f t="shared" ca="1" si="4"/>
        <v>160</v>
      </c>
      <c r="G165">
        <f t="shared" ca="1" si="5"/>
        <v>6</v>
      </c>
    </row>
    <row r="166" spans="1:7" x14ac:dyDescent="0.2">
      <c r="A166" t="s">
        <v>300</v>
      </c>
      <c r="B166" t="s">
        <v>644</v>
      </c>
      <c r="F166">
        <f t="shared" ca="1" si="4"/>
        <v>166</v>
      </c>
      <c r="G166">
        <f t="shared" ca="1" si="5"/>
        <v>4</v>
      </c>
    </row>
    <row r="167" spans="1:7" x14ac:dyDescent="0.2">
      <c r="A167" t="s">
        <v>300</v>
      </c>
      <c r="B167" t="s">
        <v>645</v>
      </c>
      <c r="F167">
        <f t="shared" ca="1" si="4"/>
        <v>166</v>
      </c>
      <c r="G167">
        <f t="shared" ca="1" si="5"/>
        <v>4</v>
      </c>
    </row>
    <row r="168" spans="1:7" x14ac:dyDescent="0.2">
      <c r="A168" t="s">
        <v>300</v>
      </c>
      <c r="B168" t="s">
        <v>646</v>
      </c>
      <c r="F168">
        <f t="shared" ca="1" si="4"/>
        <v>166</v>
      </c>
      <c r="G168">
        <f t="shared" ca="1" si="5"/>
        <v>4</v>
      </c>
    </row>
    <row r="169" spans="1:7" x14ac:dyDescent="0.2">
      <c r="A169" t="s">
        <v>300</v>
      </c>
      <c r="B169" t="s">
        <v>647</v>
      </c>
      <c r="F169">
        <f t="shared" ca="1" si="4"/>
        <v>166</v>
      </c>
      <c r="G169">
        <f t="shared" ca="1" si="5"/>
        <v>4</v>
      </c>
    </row>
    <row r="170" spans="1:7" x14ac:dyDescent="0.2">
      <c r="A170" t="s">
        <v>1152</v>
      </c>
      <c r="B170" t="s">
        <v>1227</v>
      </c>
      <c r="F170">
        <f t="shared" ca="1" si="4"/>
        <v>170</v>
      </c>
      <c r="G170">
        <f t="shared" ca="1" si="5"/>
        <v>1</v>
      </c>
    </row>
    <row r="171" spans="1:7" x14ac:dyDescent="0.2">
      <c r="A171" t="s">
        <v>301</v>
      </c>
      <c r="B171" t="s">
        <v>648</v>
      </c>
      <c r="F171">
        <f t="shared" ca="1" si="4"/>
        <v>171</v>
      </c>
      <c r="G171">
        <f t="shared" ca="1" si="5"/>
        <v>4</v>
      </c>
    </row>
    <row r="172" spans="1:7" x14ac:dyDescent="0.2">
      <c r="A172" t="s">
        <v>301</v>
      </c>
      <c r="B172" t="s">
        <v>649</v>
      </c>
      <c r="F172">
        <f t="shared" ca="1" si="4"/>
        <v>171</v>
      </c>
      <c r="G172">
        <f t="shared" ca="1" si="5"/>
        <v>4</v>
      </c>
    </row>
    <row r="173" spans="1:7" x14ac:dyDescent="0.2">
      <c r="A173" t="s">
        <v>301</v>
      </c>
      <c r="B173" t="s">
        <v>650</v>
      </c>
      <c r="F173">
        <f t="shared" ca="1" si="4"/>
        <v>171</v>
      </c>
      <c r="G173">
        <f t="shared" ca="1" si="5"/>
        <v>4</v>
      </c>
    </row>
    <row r="174" spans="1:7" x14ac:dyDescent="0.2">
      <c r="A174" t="s">
        <v>301</v>
      </c>
      <c r="B174" t="s">
        <v>331</v>
      </c>
      <c r="F174">
        <f t="shared" ca="1" si="4"/>
        <v>171</v>
      </c>
      <c r="G174">
        <f t="shared" ca="1" si="5"/>
        <v>4</v>
      </c>
    </row>
    <row r="175" spans="1:7" x14ac:dyDescent="0.2">
      <c r="A175" t="s">
        <v>302</v>
      </c>
      <c r="B175" t="s">
        <v>651</v>
      </c>
      <c r="F175">
        <f t="shared" ca="1" si="4"/>
        <v>175</v>
      </c>
      <c r="G175">
        <f t="shared" ca="1" si="5"/>
        <v>1</v>
      </c>
    </row>
    <row r="176" spans="1:7" x14ac:dyDescent="0.2">
      <c r="A176" t="s">
        <v>1153</v>
      </c>
      <c r="B176" t="s">
        <v>1228</v>
      </c>
      <c r="F176">
        <f t="shared" ca="1" si="4"/>
        <v>176</v>
      </c>
      <c r="G176">
        <f t="shared" ca="1" si="5"/>
        <v>1</v>
      </c>
    </row>
    <row r="177" spans="1:7" x14ac:dyDescent="0.2">
      <c r="A177" t="s">
        <v>303</v>
      </c>
      <c r="B177" t="s">
        <v>652</v>
      </c>
      <c r="F177">
        <f t="shared" ca="1" si="4"/>
        <v>177</v>
      </c>
      <c r="G177">
        <f t="shared" ca="1" si="5"/>
        <v>5</v>
      </c>
    </row>
    <row r="178" spans="1:7" x14ac:dyDescent="0.2">
      <c r="A178" t="s">
        <v>303</v>
      </c>
      <c r="B178" t="s">
        <v>653</v>
      </c>
      <c r="F178">
        <f t="shared" ca="1" si="4"/>
        <v>177</v>
      </c>
      <c r="G178">
        <f t="shared" ca="1" si="5"/>
        <v>5</v>
      </c>
    </row>
    <row r="179" spans="1:7" x14ac:dyDescent="0.2">
      <c r="A179" t="s">
        <v>303</v>
      </c>
      <c r="B179" t="s">
        <v>654</v>
      </c>
      <c r="F179">
        <f t="shared" ca="1" si="4"/>
        <v>177</v>
      </c>
      <c r="G179">
        <f t="shared" ca="1" si="5"/>
        <v>5</v>
      </c>
    </row>
    <row r="180" spans="1:7" x14ac:dyDescent="0.2">
      <c r="A180" t="s">
        <v>303</v>
      </c>
      <c r="B180" t="s">
        <v>655</v>
      </c>
      <c r="F180">
        <f t="shared" ca="1" si="4"/>
        <v>177</v>
      </c>
      <c r="G180">
        <f t="shared" ca="1" si="5"/>
        <v>5</v>
      </c>
    </row>
    <row r="181" spans="1:7" x14ac:dyDescent="0.2">
      <c r="A181" t="s">
        <v>303</v>
      </c>
      <c r="B181" t="s">
        <v>656</v>
      </c>
      <c r="F181">
        <f t="shared" ca="1" si="4"/>
        <v>177</v>
      </c>
      <c r="G181">
        <f t="shared" ca="1" si="5"/>
        <v>5</v>
      </c>
    </row>
    <row r="182" spans="1:7" x14ac:dyDescent="0.2">
      <c r="A182" t="s">
        <v>304</v>
      </c>
      <c r="B182" t="s">
        <v>657</v>
      </c>
      <c r="F182">
        <f t="shared" ca="1" si="4"/>
        <v>182</v>
      </c>
      <c r="G182">
        <f t="shared" ca="1" si="5"/>
        <v>1</v>
      </c>
    </row>
    <row r="183" spans="1:7" x14ac:dyDescent="0.2">
      <c r="A183" t="s">
        <v>305</v>
      </c>
      <c r="B183" t="s">
        <v>658</v>
      </c>
      <c r="F183">
        <f t="shared" ca="1" si="4"/>
        <v>183</v>
      </c>
      <c r="G183">
        <f t="shared" ca="1" si="5"/>
        <v>3</v>
      </c>
    </row>
    <row r="184" spans="1:7" x14ac:dyDescent="0.2">
      <c r="A184" t="s">
        <v>305</v>
      </c>
      <c r="B184" t="s">
        <v>626</v>
      </c>
      <c r="F184">
        <f t="shared" ca="1" si="4"/>
        <v>183</v>
      </c>
      <c r="G184">
        <f t="shared" ca="1" si="5"/>
        <v>3</v>
      </c>
    </row>
    <row r="185" spans="1:7" x14ac:dyDescent="0.2">
      <c r="A185" t="s">
        <v>305</v>
      </c>
      <c r="B185" t="s">
        <v>659</v>
      </c>
      <c r="F185">
        <f t="shared" ca="1" si="4"/>
        <v>183</v>
      </c>
      <c r="G185">
        <f t="shared" ca="1" si="5"/>
        <v>3</v>
      </c>
    </row>
    <row r="186" spans="1:7" x14ac:dyDescent="0.2">
      <c r="A186" t="s">
        <v>306</v>
      </c>
      <c r="B186" t="s">
        <v>660</v>
      </c>
      <c r="F186">
        <f t="shared" ca="1" si="4"/>
        <v>186</v>
      </c>
      <c r="G186">
        <f t="shared" ca="1" si="5"/>
        <v>1</v>
      </c>
    </row>
    <row r="187" spans="1:7" x14ac:dyDescent="0.2">
      <c r="A187" t="s">
        <v>307</v>
      </c>
      <c r="B187" t="s">
        <v>661</v>
      </c>
      <c r="F187">
        <f t="shared" ca="1" si="4"/>
        <v>187</v>
      </c>
      <c r="G187">
        <f t="shared" ca="1" si="5"/>
        <v>4</v>
      </c>
    </row>
    <row r="188" spans="1:7" x14ac:dyDescent="0.2">
      <c r="A188" t="s">
        <v>307</v>
      </c>
      <c r="B188" t="s">
        <v>662</v>
      </c>
      <c r="F188">
        <f t="shared" ca="1" si="4"/>
        <v>187</v>
      </c>
      <c r="G188">
        <f t="shared" ca="1" si="5"/>
        <v>4</v>
      </c>
    </row>
    <row r="189" spans="1:7" x14ac:dyDescent="0.2">
      <c r="A189" t="s">
        <v>307</v>
      </c>
      <c r="B189" t="s">
        <v>663</v>
      </c>
      <c r="F189">
        <f t="shared" ca="1" si="4"/>
        <v>187</v>
      </c>
      <c r="G189">
        <f t="shared" ca="1" si="5"/>
        <v>4</v>
      </c>
    </row>
    <row r="190" spans="1:7" x14ac:dyDescent="0.2">
      <c r="A190" t="s">
        <v>307</v>
      </c>
      <c r="B190" t="s">
        <v>664</v>
      </c>
      <c r="F190">
        <f t="shared" ca="1" si="4"/>
        <v>187</v>
      </c>
      <c r="G190">
        <f t="shared" ca="1" si="5"/>
        <v>4</v>
      </c>
    </row>
    <row r="191" spans="1:7" x14ac:dyDescent="0.2">
      <c r="A191" t="s">
        <v>103</v>
      </c>
      <c r="B191" t="s">
        <v>665</v>
      </c>
      <c r="F191">
        <f t="shared" ca="1" si="4"/>
        <v>191</v>
      </c>
      <c r="G191">
        <f t="shared" ca="1" si="5"/>
        <v>12</v>
      </c>
    </row>
    <row r="192" spans="1:7" x14ac:dyDescent="0.2">
      <c r="A192" t="s">
        <v>103</v>
      </c>
      <c r="B192" t="s">
        <v>666</v>
      </c>
      <c r="F192">
        <f t="shared" ca="1" si="4"/>
        <v>191</v>
      </c>
      <c r="G192">
        <f t="shared" ca="1" si="5"/>
        <v>12</v>
      </c>
    </row>
    <row r="193" spans="1:7" x14ac:dyDescent="0.2">
      <c r="A193" t="s">
        <v>103</v>
      </c>
      <c r="B193" t="s">
        <v>667</v>
      </c>
      <c r="F193">
        <f t="shared" ca="1" si="4"/>
        <v>191</v>
      </c>
      <c r="G193">
        <f t="shared" ca="1" si="5"/>
        <v>12</v>
      </c>
    </row>
    <row r="194" spans="1:7" x14ac:dyDescent="0.2">
      <c r="A194" t="s">
        <v>103</v>
      </c>
      <c r="B194" t="s">
        <v>668</v>
      </c>
      <c r="F194">
        <f t="shared" ref="F194:F257" ca="1" si="6">IFERROR(MATCH(OFFSET($A$1,ROW()-1,0,1,1),A:A,0),"")</f>
        <v>191</v>
      </c>
      <c r="G194">
        <f t="shared" ref="G194:G257" ca="1" si="7">COUNTIF(A:A,OFFSET($A$1,ROW()-1,0))</f>
        <v>12</v>
      </c>
    </row>
    <row r="195" spans="1:7" x14ac:dyDescent="0.2">
      <c r="A195" t="s">
        <v>103</v>
      </c>
      <c r="B195" t="s">
        <v>669</v>
      </c>
      <c r="F195">
        <f t="shared" ca="1" si="6"/>
        <v>191</v>
      </c>
      <c r="G195">
        <f t="shared" ca="1" si="7"/>
        <v>12</v>
      </c>
    </row>
    <row r="196" spans="1:7" x14ac:dyDescent="0.2">
      <c r="A196" t="s">
        <v>103</v>
      </c>
      <c r="B196" t="s">
        <v>670</v>
      </c>
      <c r="F196">
        <f t="shared" ca="1" si="6"/>
        <v>191</v>
      </c>
      <c r="G196">
        <f t="shared" ca="1" si="7"/>
        <v>12</v>
      </c>
    </row>
    <row r="197" spans="1:7" x14ac:dyDescent="0.2">
      <c r="A197" t="s">
        <v>103</v>
      </c>
      <c r="B197" t="s">
        <v>671</v>
      </c>
      <c r="F197">
        <f t="shared" ca="1" si="6"/>
        <v>191</v>
      </c>
      <c r="G197">
        <f t="shared" ca="1" si="7"/>
        <v>12</v>
      </c>
    </row>
    <row r="198" spans="1:7" x14ac:dyDescent="0.2">
      <c r="A198" t="s">
        <v>103</v>
      </c>
      <c r="B198" t="s">
        <v>672</v>
      </c>
      <c r="F198">
        <f t="shared" ca="1" si="6"/>
        <v>191</v>
      </c>
      <c r="G198">
        <f t="shared" ca="1" si="7"/>
        <v>12</v>
      </c>
    </row>
    <row r="199" spans="1:7" x14ac:dyDescent="0.2">
      <c r="A199" t="s">
        <v>103</v>
      </c>
      <c r="B199" t="s">
        <v>673</v>
      </c>
      <c r="F199">
        <f t="shared" ca="1" si="6"/>
        <v>191</v>
      </c>
      <c r="G199">
        <f t="shared" ca="1" si="7"/>
        <v>12</v>
      </c>
    </row>
    <row r="200" spans="1:7" x14ac:dyDescent="0.2">
      <c r="A200" t="s">
        <v>103</v>
      </c>
      <c r="B200" t="s">
        <v>674</v>
      </c>
      <c r="F200">
        <f t="shared" ca="1" si="6"/>
        <v>191</v>
      </c>
      <c r="G200">
        <f t="shared" ca="1" si="7"/>
        <v>12</v>
      </c>
    </row>
    <row r="201" spans="1:7" x14ac:dyDescent="0.2">
      <c r="A201" t="s">
        <v>103</v>
      </c>
      <c r="B201" t="s">
        <v>675</v>
      </c>
      <c r="F201">
        <f t="shared" ca="1" si="6"/>
        <v>191</v>
      </c>
      <c r="G201">
        <f t="shared" ca="1" si="7"/>
        <v>12</v>
      </c>
    </row>
    <row r="202" spans="1:7" x14ac:dyDescent="0.2">
      <c r="A202" t="s">
        <v>103</v>
      </c>
      <c r="B202" t="s">
        <v>676</v>
      </c>
      <c r="F202">
        <f t="shared" ca="1" si="6"/>
        <v>191</v>
      </c>
      <c r="G202">
        <f t="shared" ca="1" si="7"/>
        <v>12</v>
      </c>
    </row>
    <row r="203" spans="1:7" x14ac:dyDescent="0.2">
      <c r="A203" t="s">
        <v>308</v>
      </c>
      <c r="B203" t="s">
        <v>677</v>
      </c>
      <c r="F203">
        <f t="shared" ca="1" si="6"/>
        <v>203</v>
      </c>
      <c r="G203">
        <f t="shared" ca="1" si="7"/>
        <v>2</v>
      </c>
    </row>
    <row r="204" spans="1:7" x14ac:dyDescent="0.2">
      <c r="A204" t="s">
        <v>308</v>
      </c>
      <c r="B204" t="s">
        <v>1229</v>
      </c>
      <c r="F204">
        <f t="shared" ca="1" si="6"/>
        <v>203</v>
      </c>
      <c r="G204">
        <f t="shared" ca="1" si="7"/>
        <v>2</v>
      </c>
    </row>
    <row r="205" spans="1:7" x14ac:dyDescent="0.2">
      <c r="A205" t="s">
        <v>1230</v>
      </c>
      <c r="B205" t="s">
        <v>1231</v>
      </c>
      <c r="F205">
        <f t="shared" ca="1" si="6"/>
        <v>205</v>
      </c>
      <c r="G205">
        <f t="shared" ca="1" si="7"/>
        <v>1</v>
      </c>
    </row>
    <row r="206" spans="1:7" x14ac:dyDescent="0.2">
      <c r="A206" t="s">
        <v>309</v>
      </c>
      <c r="B206" t="s">
        <v>309</v>
      </c>
      <c r="F206">
        <f t="shared" ca="1" si="6"/>
        <v>206</v>
      </c>
      <c r="G206">
        <f t="shared" ca="1" si="7"/>
        <v>1</v>
      </c>
    </row>
    <row r="207" spans="1:7" x14ac:dyDescent="0.2">
      <c r="A207" t="s">
        <v>310</v>
      </c>
      <c r="B207" t="s">
        <v>310</v>
      </c>
      <c r="F207">
        <f t="shared" ca="1" si="6"/>
        <v>207</v>
      </c>
      <c r="G207">
        <f t="shared" ca="1" si="7"/>
        <v>1</v>
      </c>
    </row>
    <row r="208" spans="1:7" x14ac:dyDescent="0.2">
      <c r="A208" t="s">
        <v>311</v>
      </c>
      <c r="B208" t="s">
        <v>678</v>
      </c>
      <c r="F208">
        <f t="shared" ca="1" si="6"/>
        <v>208</v>
      </c>
      <c r="G208">
        <f t="shared" ca="1" si="7"/>
        <v>6</v>
      </c>
    </row>
    <row r="209" spans="1:7" x14ac:dyDescent="0.2">
      <c r="A209" t="s">
        <v>311</v>
      </c>
      <c r="B209" t="s">
        <v>679</v>
      </c>
      <c r="F209">
        <f t="shared" ca="1" si="6"/>
        <v>208</v>
      </c>
      <c r="G209">
        <f t="shared" ca="1" si="7"/>
        <v>6</v>
      </c>
    </row>
    <row r="210" spans="1:7" x14ac:dyDescent="0.2">
      <c r="A210" t="s">
        <v>311</v>
      </c>
      <c r="B210" t="s">
        <v>680</v>
      </c>
      <c r="F210">
        <f t="shared" ca="1" si="6"/>
        <v>208</v>
      </c>
      <c r="G210">
        <f t="shared" ca="1" si="7"/>
        <v>6</v>
      </c>
    </row>
    <row r="211" spans="1:7" x14ac:dyDescent="0.2">
      <c r="A211" t="s">
        <v>311</v>
      </c>
      <c r="B211" t="s">
        <v>681</v>
      </c>
      <c r="F211">
        <f t="shared" ca="1" si="6"/>
        <v>208</v>
      </c>
      <c r="G211">
        <f t="shared" ca="1" si="7"/>
        <v>6</v>
      </c>
    </row>
    <row r="212" spans="1:7" x14ac:dyDescent="0.2">
      <c r="A212" t="s">
        <v>311</v>
      </c>
      <c r="B212" t="s">
        <v>682</v>
      </c>
      <c r="F212">
        <f t="shared" ca="1" si="6"/>
        <v>208</v>
      </c>
      <c r="G212">
        <f t="shared" ca="1" si="7"/>
        <v>6</v>
      </c>
    </row>
    <row r="213" spans="1:7" x14ac:dyDescent="0.2">
      <c r="A213" t="s">
        <v>311</v>
      </c>
      <c r="B213" t="s">
        <v>683</v>
      </c>
      <c r="F213">
        <f t="shared" ca="1" si="6"/>
        <v>208</v>
      </c>
      <c r="G213">
        <f t="shared" ca="1" si="7"/>
        <v>6</v>
      </c>
    </row>
    <row r="214" spans="1:7" x14ac:dyDescent="0.2">
      <c r="A214" t="s">
        <v>313</v>
      </c>
      <c r="B214" t="s">
        <v>1232</v>
      </c>
      <c r="F214">
        <f t="shared" ca="1" si="6"/>
        <v>214</v>
      </c>
      <c r="G214">
        <f t="shared" ca="1" si="7"/>
        <v>2</v>
      </c>
    </row>
    <row r="215" spans="1:7" x14ac:dyDescent="0.2">
      <c r="A215" t="s">
        <v>313</v>
      </c>
      <c r="B215" t="s">
        <v>313</v>
      </c>
      <c r="F215">
        <f t="shared" ca="1" si="6"/>
        <v>214</v>
      </c>
      <c r="G215">
        <f t="shared" ca="1" si="7"/>
        <v>2</v>
      </c>
    </row>
    <row r="216" spans="1:7" x14ac:dyDescent="0.2">
      <c r="A216" t="s">
        <v>314</v>
      </c>
      <c r="B216" t="s">
        <v>265</v>
      </c>
      <c r="F216">
        <f t="shared" ca="1" si="6"/>
        <v>216</v>
      </c>
      <c r="G216">
        <f t="shared" ca="1" si="7"/>
        <v>6</v>
      </c>
    </row>
    <row r="217" spans="1:7" x14ac:dyDescent="0.2">
      <c r="A217" t="s">
        <v>314</v>
      </c>
      <c r="B217" t="s">
        <v>68</v>
      </c>
      <c r="F217">
        <f t="shared" ca="1" si="6"/>
        <v>216</v>
      </c>
      <c r="G217">
        <f t="shared" ca="1" si="7"/>
        <v>6</v>
      </c>
    </row>
    <row r="218" spans="1:7" x14ac:dyDescent="0.2">
      <c r="A218" t="s">
        <v>314</v>
      </c>
      <c r="B218" t="s">
        <v>684</v>
      </c>
      <c r="F218">
        <f t="shared" ca="1" si="6"/>
        <v>216</v>
      </c>
      <c r="G218">
        <f t="shared" ca="1" si="7"/>
        <v>6</v>
      </c>
    </row>
    <row r="219" spans="1:7" x14ac:dyDescent="0.2">
      <c r="A219" t="s">
        <v>314</v>
      </c>
      <c r="B219" t="s">
        <v>314</v>
      </c>
      <c r="F219">
        <f t="shared" ca="1" si="6"/>
        <v>216</v>
      </c>
      <c r="G219">
        <f t="shared" ca="1" si="7"/>
        <v>6</v>
      </c>
    </row>
    <row r="220" spans="1:7" x14ac:dyDescent="0.2">
      <c r="A220" t="s">
        <v>314</v>
      </c>
      <c r="B220" t="s">
        <v>685</v>
      </c>
      <c r="F220">
        <f t="shared" ca="1" si="6"/>
        <v>216</v>
      </c>
      <c r="G220">
        <f t="shared" ca="1" si="7"/>
        <v>6</v>
      </c>
    </row>
    <row r="221" spans="1:7" x14ac:dyDescent="0.2">
      <c r="A221" t="s">
        <v>314</v>
      </c>
      <c r="B221" t="s">
        <v>768</v>
      </c>
      <c r="F221">
        <f t="shared" ca="1" si="6"/>
        <v>216</v>
      </c>
      <c r="G221">
        <f t="shared" ca="1" si="7"/>
        <v>6</v>
      </c>
    </row>
    <row r="222" spans="1:7" x14ac:dyDescent="0.2">
      <c r="A222" t="s">
        <v>315</v>
      </c>
      <c r="B222" t="s">
        <v>686</v>
      </c>
      <c r="F222">
        <f t="shared" ca="1" si="6"/>
        <v>222</v>
      </c>
      <c r="G222">
        <f t="shared" ca="1" si="7"/>
        <v>3</v>
      </c>
    </row>
    <row r="223" spans="1:7" x14ac:dyDescent="0.2">
      <c r="A223" t="s">
        <v>315</v>
      </c>
      <c r="B223" t="s">
        <v>687</v>
      </c>
      <c r="F223">
        <f t="shared" ca="1" si="6"/>
        <v>222</v>
      </c>
      <c r="G223">
        <f t="shared" ca="1" si="7"/>
        <v>3</v>
      </c>
    </row>
    <row r="224" spans="1:7" x14ac:dyDescent="0.2">
      <c r="A224" t="s">
        <v>315</v>
      </c>
      <c r="B224" t="s">
        <v>315</v>
      </c>
      <c r="F224">
        <f t="shared" ca="1" si="6"/>
        <v>222</v>
      </c>
      <c r="G224">
        <f t="shared" ca="1" si="7"/>
        <v>3</v>
      </c>
    </row>
    <row r="225" spans="1:7" x14ac:dyDescent="0.2">
      <c r="A225" t="s">
        <v>316</v>
      </c>
      <c r="B225" t="s">
        <v>688</v>
      </c>
      <c r="F225">
        <f t="shared" ca="1" si="6"/>
        <v>225</v>
      </c>
      <c r="G225">
        <f t="shared" ca="1" si="7"/>
        <v>6</v>
      </c>
    </row>
    <row r="226" spans="1:7" x14ac:dyDescent="0.2">
      <c r="A226" t="s">
        <v>316</v>
      </c>
      <c r="B226" t="s">
        <v>389</v>
      </c>
      <c r="F226">
        <f t="shared" ca="1" si="6"/>
        <v>225</v>
      </c>
      <c r="G226">
        <f t="shared" ca="1" si="7"/>
        <v>6</v>
      </c>
    </row>
    <row r="227" spans="1:7" x14ac:dyDescent="0.2">
      <c r="A227" t="s">
        <v>316</v>
      </c>
      <c r="B227" t="s">
        <v>316</v>
      </c>
      <c r="F227">
        <f t="shared" ca="1" si="6"/>
        <v>225</v>
      </c>
      <c r="G227">
        <f t="shared" ca="1" si="7"/>
        <v>6</v>
      </c>
    </row>
    <row r="228" spans="1:7" x14ac:dyDescent="0.2">
      <c r="A228" t="s">
        <v>316</v>
      </c>
      <c r="B228" t="s">
        <v>689</v>
      </c>
      <c r="F228">
        <f t="shared" ca="1" si="6"/>
        <v>225</v>
      </c>
      <c r="G228">
        <f t="shared" ca="1" si="7"/>
        <v>6</v>
      </c>
    </row>
    <row r="229" spans="1:7" x14ac:dyDescent="0.2">
      <c r="A229" t="s">
        <v>316</v>
      </c>
      <c r="B229" t="s">
        <v>690</v>
      </c>
      <c r="F229">
        <f t="shared" ca="1" si="6"/>
        <v>225</v>
      </c>
      <c r="G229">
        <f t="shared" ca="1" si="7"/>
        <v>6</v>
      </c>
    </row>
    <row r="230" spans="1:7" x14ac:dyDescent="0.2">
      <c r="A230" t="s">
        <v>316</v>
      </c>
      <c r="B230" t="s">
        <v>691</v>
      </c>
      <c r="F230">
        <f t="shared" ca="1" si="6"/>
        <v>225</v>
      </c>
      <c r="G230">
        <f t="shared" ca="1" si="7"/>
        <v>6</v>
      </c>
    </row>
    <row r="231" spans="1:7" x14ac:dyDescent="0.2">
      <c r="A231" t="s">
        <v>121</v>
      </c>
      <c r="B231" t="s">
        <v>75</v>
      </c>
      <c r="F231">
        <f t="shared" ca="1" si="6"/>
        <v>231</v>
      </c>
      <c r="G231">
        <f t="shared" ca="1" si="7"/>
        <v>2</v>
      </c>
    </row>
    <row r="232" spans="1:7" x14ac:dyDescent="0.2">
      <c r="A232" t="s">
        <v>121</v>
      </c>
      <c r="B232" t="s">
        <v>121</v>
      </c>
      <c r="F232">
        <f t="shared" ca="1" si="6"/>
        <v>231</v>
      </c>
      <c r="G232">
        <f t="shared" ca="1" si="7"/>
        <v>2</v>
      </c>
    </row>
    <row r="233" spans="1:7" x14ac:dyDescent="0.2">
      <c r="A233" t="s">
        <v>317</v>
      </c>
      <c r="B233" t="s">
        <v>692</v>
      </c>
      <c r="F233">
        <f t="shared" ca="1" si="6"/>
        <v>233</v>
      </c>
      <c r="G233">
        <f t="shared" ca="1" si="7"/>
        <v>8</v>
      </c>
    </row>
    <row r="234" spans="1:7" x14ac:dyDescent="0.2">
      <c r="A234" t="s">
        <v>317</v>
      </c>
      <c r="B234" t="s">
        <v>693</v>
      </c>
      <c r="F234">
        <f t="shared" ca="1" si="6"/>
        <v>233</v>
      </c>
      <c r="G234">
        <f t="shared" ca="1" si="7"/>
        <v>8</v>
      </c>
    </row>
    <row r="235" spans="1:7" x14ac:dyDescent="0.2">
      <c r="A235" t="s">
        <v>317</v>
      </c>
      <c r="B235" t="s">
        <v>694</v>
      </c>
      <c r="F235">
        <f t="shared" ca="1" si="6"/>
        <v>233</v>
      </c>
      <c r="G235">
        <f t="shared" ca="1" si="7"/>
        <v>8</v>
      </c>
    </row>
    <row r="236" spans="1:7" x14ac:dyDescent="0.2">
      <c r="A236" t="s">
        <v>317</v>
      </c>
      <c r="B236" t="s">
        <v>695</v>
      </c>
      <c r="F236">
        <f t="shared" ca="1" si="6"/>
        <v>233</v>
      </c>
      <c r="G236">
        <f t="shared" ca="1" si="7"/>
        <v>8</v>
      </c>
    </row>
    <row r="237" spans="1:7" x14ac:dyDescent="0.2">
      <c r="A237" t="s">
        <v>317</v>
      </c>
      <c r="B237" t="s">
        <v>696</v>
      </c>
      <c r="F237">
        <f t="shared" ca="1" si="6"/>
        <v>233</v>
      </c>
      <c r="G237">
        <f t="shared" ca="1" si="7"/>
        <v>8</v>
      </c>
    </row>
    <row r="238" spans="1:7" x14ac:dyDescent="0.2">
      <c r="A238" t="s">
        <v>317</v>
      </c>
      <c r="B238" t="s">
        <v>697</v>
      </c>
      <c r="F238">
        <f t="shared" ca="1" si="6"/>
        <v>233</v>
      </c>
      <c r="G238">
        <f t="shared" ca="1" si="7"/>
        <v>8</v>
      </c>
    </row>
    <row r="239" spans="1:7" x14ac:dyDescent="0.2">
      <c r="A239" t="s">
        <v>317</v>
      </c>
      <c r="B239" t="s">
        <v>698</v>
      </c>
      <c r="F239">
        <f t="shared" ca="1" si="6"/>
        <v>233</v>
      </c>
      <c r="G239">
        <f t="shared" ca="1" si="7"/>
        <v>8</v>
      </c>
    </row>
    <row r="240" spans="1:7" x14ac:dyDescent="0.2">
      <c r="A240" t="s">
        <v>317</v>
      </c>
      <c r="B240" t="s">
        <v>699</v>
      </c>
      <c r="F240">
        <f t="shared" ca="1" si="6"/>
        <v>233</v>
      </c>
      <c r="G240">
        <f t="shared" ca="1" si="7"/>
        <v>8</v>
      </c>
    </row>
    <row r="241" spans="1:7" x14ac:dyDescent="0.2">
      <c r="A241" t="s">
        <v>318</v>
      </c>
      <c r="B241" t="s">
        <v>700</v>
      </c>
      <c r="F241">
        <f t="shared" ca="1" si="6"/>
        <v>241</v>
      </c>
      <c r="G241">
        <f t="shared" ca="1" si="7"/>
        <v>31</v>
      </c>
    </row>
    <row r="242" spans="1:7" x14ac:dyDescent="0.2">
      <c r="A242" t="s">
        <v>318</v>
      </c>
      <c r="B242" t="s">
        <v>701</v>
      </c>
      <c r="F242">
        <f t="shared" ca="1" si="6"/>
        <v>241</v>
      </c>
      <c r="G242">
        <f t="shared" ca="1" si="7"/>
        <v>31</v>
      </c>
    </row>
    <row r="243" spans="1:7" x14ac:dyDescent="0.2">
      <c r="A243" t="s">
        <v>318</v>
      </c>
      <c r="B243" t="s">
        <v>702</v>
      </c>
      <c r="F243">
        <f t="shared" ca="1" si="6"/>
        <v>241</v>
      </c>
      <c r="G243">
        <f t="shared" ca="1" si="7"/>
        <v>31</v>
      </c>
    </row>
    <row r="244" spans="1:7" x14ac:dyDescent="0.2">
      <c r="A244" t="s">
        <v>318</v>
      </c>
      <c r="B244" t="s">
        <v>703</v>
      </c>
      <c r="F244">
        <f t="shared" ca="1" si="6"/>
        <v>241</v>
      </c>
      <c r="G244">
        <f t="shared" ca="1" si="7"/>
        <v>31</v>
      </c>
    </row>
    <row r="245" spans="1:7" x14ac:dyDescent="0.2">
      <c r="A245" t="s">
        <v>318</v>
      </c>
      <c r="B245" t="s">
        <v>704</v>
      </c>
      <c r="F245">
        <f t="shared" ca="1" si="6"/>
        <v>241</v>
      </c>
      <c r="G245">
        <f t="shared" ca="1" si="7"/>
        <v>31</v>
      </c>
    </row>
    <row r="246" spans="1:7" x14ac:dyDescent="0.2">
      <c r="A246" t="s">
        <v>318</v>
      </c>
      <c r="B246" t="s">
        <v>705</v>
      </c>
      <c r="F246">
        <f t="shared" ca="1" si="6"/>
        <v>241</v>
      </c>
      <c r="G246">
        <f t="shared" ca="1" si="7"/>
        <v>31</v>
      </c>
    </row>
    <row r="247" spans="1:7" x14ac:dyDescent="0.2">
      <c r="A247" t="s">
        <v>318</v>
      </c>
      <c r="B247" t="s">
        <v>706</v>
      </c>
      <c r="F247">
        <f t="shared" ca="1" si="6"/>
        <v>241</v>
      </c>
      <c r="G247">
        <f t="shared" ca="1" si="7"/>
        <v>31</v>
      </c>
    </row>
    <row r="248" spans="1:7" x14ac:dyDescent="0.2">
      <c r="A248" t="s">
        <v>318</v>
      </c>
      <c r="B248" t="s">
        <v>707</v>
      </c>
      <c r="F248">
        <f t="shared" ca="1" si="6"/>
        <v>241</v>
      </c>
      <c r="G248">
        <f t="shared" ca="1" si="7"/>
        <v>31</v>
      </c>
    </row>
    <row r="249" spans="1:7" x14ac:dyDescent="0.2">
      <c r="A249" t="s">
        <v>318</v>
      </c>
      <c r="B249" t="s">
        <v>708</v>
      </c>
      <c r="F249">
        <f t="shared" ca="1" si="6"/>
        <v>241</v>
      </c>
      <c r="G249">
        <f t="shared" ca="1" si="7"/>
        <v>31</v>
      </c>
    </row>
    <row r="250" spans="1:7" x14ac:dyDescent="0.2">
      <c r="A250" t="s">
        <v>318</v>
      </c>
      <c r="B250" t="s">
        <v>709</v>
      </c>
      <c r="F250">
        <f t="shared" ca="1" si="6"/>
        <v>241</v>
      </c>
      <c r="G250">
        <f t="shared" ca="1" si="7"/>
        <v>31</v>
      </c>
    </row>
    <row r="251" spans="1:7" x14ac:dyDescent="0.2">
      <c r="A251" t="s">
        <v>318</v>
      </c>
      <c r="B251" t="s">
        <v>710</v>
      </c>
      <c r="F251">
        <f t="shared" ca="1" si="6"/>
        <v>241</v>
      </c>
      <c r="G251">
        <f t="shared" ca="1" si="7"/>
        <v>31</v>
      </c>
    </row>
    <row r="252" spans="1:7" x14ac:dyDescent="0.2">
      <c r="A252" t="s">
        <v>318</v>
      </c>
      <c r="B252" t="s">
        <v>711</v>
      </c>
      <c r="F252">
        <f t="shared" ca="1" si="6"/>
        <v>241</v>
      </c>
      <c r="G252">
        <f t="shared" ca="1" si="7"/>
        <v>31</v>
      </c>
    </row>
    <row r="253" spans="1:7" x14ac:dyDescent="0.2">
      <c r="A253" t="s">
        <v>318</v>
      </c>
      <c r="B253" t="s">
        <v>712</v>
      </c>
      <c r="F253">
        <f t="shared" ca="1" si="6"/>
        <v>241</v>
      </c>
      <c r="G253">
        <f t="shared" ca="1" si="7"/>
        <v>31</v>
      </c>
    </row>
    <row r="254" spans="1:7" x14ac:dyDescent="0.2">
      <c r="A254" t="s">
        <v>318</v>
      </c>
      <c r="B254" t="s">
        <v>713</v>
      </c>
      <c r="F254">
        <f t="shared" ca="1" si="6"/>
        <v>241</v>
      </c>
      <c r="G254">
        <f t="shared" ca="1" si="7"/>
        <v>31</v>
      </c>
    </row>
    <row r="255" spans="1:7" x14ac:dyDescent="0.2">
      <c r="A255" t="s">
        <v>318</v>
      </c>
      <c r="B255" t="s">
        <v>272</v>
      </c>
      <c r="F255">
        <f t="shared" ca="1" si="6"/>
        <v>241</v>
      </c>
      <c r="G255">
        <f t="shared" ca="1" si="7"/>
        <v>31</v>
      </c>
    </row>
    <row r="256" spans="1:7" x14ac:dyDescent="0.2">
      <c r="A256" t="s">
        <v>318</v>
      </c>
      <c r="B256" t="s">
        <v>49</v>
      </c>
      <c r="F256">
        <f t="shared" ca="1" si="6"/>
        <v>241</v>
      </c>
      <c r="G256">
        <f t="shared" ca="1" si="7"/>
        <v>31</v>
      </c>
    </row>
    <row r="257" spans="1:7" x14ac:dyDescent="0.2">
      <c r="A257" t="s">
        <v>318</v>
      </c>
      <c r="B257" t="s">
        <v>714</v>
      </c>
      <c r="F257">
        <f t="shared" ca="1" si="6"/>
        <v>241</v>
      </c>
      <c r="G257">
        <f t="shared" ca="1" si="7"/>
        <v>31</v>
      </c>
    </row>
    <row r="258" spans="1:7" x14ac:dyDescent="0.2">
      <c r="A258" t="s">
        <v>318</v>
      </c>
      <c r="B258" t="s">
        <v>715</v>
      </c>
      <c r="F258">
        <f t="shared" ref="F258:F321" ca="1" si="8">IFERROR(MATCH(OFFSET($A$1,ROW()-1,0,1,1),A:A,0),"")</f>
        <v>241</v>
      </c>
      <c r="G258">
        <f t="shared" ref="G258:G321" ca="1" si="9">COUNTIF(A:A,OFFSET($A$1,ROW()-1,0))</f>
        <v>31</v>
      </c>
    </row>
    <row r="259" spans="1:7" x14ac:dyDescent="0.2">
      <c r="A259" t="s">
        <v>318</v>
      </c>
      <c r="B259" t="s">
        <v>716</v>
      </c>
      <c r="F259">
        <f t="shared" ca="1" si="8"/>
        <v>241</v>
      </c>
      <c r="G259">
        <f t="shared" ca="1" si="9"/>
        <v>31</v>
      </c>
    </row>
    <row r="260" spans="1:7" x14ac:dyDescent="0.2">
      <c r="A260" t="s">
        <v>318</v>
      </c>
      <c r="B260" t="s">
        <v>717</v>
      </c>
      <c r="F260">
        <f t="shared" ca="1" si="8"/>
        <v>241</v>
      </c>
      <c r="G260">
        <f t="shared" ca="1" si="9"/>
        <v>31</v>
      </c>
    </row>
    <row r="261" spans="1:7" x14ac:dyDescent="0.2">
      <c r="A261" t="s">
        <v>318</v>
      </c>
      <c r="B261" t="s">
        <v>718</v>
      </c>
      <c r="F261">
        <f t="shared" ca="1" si="8"/>
        <v>241</v>
      </c>
      <c r="G261">
        <f t="shared" ca="1" si="9"/>
        <v>31</v>
      </c>
    </row>
    <row r="262" spans="1:7" x14ac:dyDescent="0.2">
      <c r="A262" t="s">
        <v>318</v>
      </c>
      <c r="B262" t="s">
        <v>719</v>
      </c>
      <c r="F262">
        <f t="shared" ca="1" si="8"/>
        <v>241</v>
      </c>
      <c r="G262">
        <f t="shared" ca="1" si="9"/>
        <v>31</v>
      </c>
    </row>
    <row r="263" spans="1:7" x14ac:dyDescent="0.2">
      <c r="A263" t="s">
        <v>318</v>
      </c>
      <c r="B263" t="s">
        <v>720</v>
      </c>
      <c r="F263">
        <f t="shared" ca="1" si="8"/>
        <v>241</v>
      </c>
      <c r="G263">
        <f t="shared" ca="1" si="9"/>
        <v>31</v>
      </c>
    </row>
    <row r="264" spans="1:7" x14ac:dyDescent="0.2">
      <c r="A264" t="s">
        <v>318</v>
      </c>
      <c r="B264" t="s">
        <v>721</v>
      </c>
      <c r="F264">
        <f t="shared" ca="1" si="8"/>
        <v>241</v>
      </c>
      <c r="G264">
        <f t="shared" ca="1" si="9"/>
        <v>31</v>
      </c>
    </row>
    <row r="265" spans="1:7" x14ac:dyDescent="0.2">
      <c r="A265" t="s">
        <v>318</v>
      </c>
      <c r="B265" t="s">
        <v>722</v>
      </c>
      <c r="F265">
        <f t="shared" ca="1" si="8"/>
        <v>241</v>
      </c>
      <c r="G265">
        <f t="shared" ca="1" si="9"/>
        <v>31</v>
      </c>
    </row>
    <row r="266" spans="1:7" x14ac:dyDescent="0.2">
      <c r="A266" t="s">
        <v>318</v>
      </c>
      <c r="B266" t="s">
        <v>723</v>
      </c>
      <c r="F266">
        <f t="shared" ca="1" si="8"/>
        <v>241</v>
      </c>
      <c r="G266">
        <f t="shared" ca="1" si="9"/>
        <v>31</v>
      </c>
    </row>
    <row r="267" spans="1:7" x14ac:dyDescent="0.2">
      <c r="A267" t="s">
        <v>318</v>
      </c>
      <c r="B267" t="s">
        <v>724</v>
      </c>
      <c r="F267">
        <f t="shared" ca="1" si="8"/>
        <v>241</v>
      </c>
      <c r="G267">
        <f t="shared" ca="1" si="9"/>
        <v>31</v>
      </c>
    </row>
    <row r="268" spans="1:7" x14ac:dyDescent="0.2">
      <c r="A268" t="s">
        <v>318</v>
      </c>
      <c r="B268" t="s">
        <v>725</v>
      </c>
      <c r="F268">
        <f t="shared" ca="1" si="8"/>
        <v>241</v>
      </c>
      <c r="G268">
        <f t="shared" ca="1" si="9"/>
        <v>31</v>
      </c>
    </row>
    <row r="269" spans="1:7" x14ac:dyDescent="0.2">
      <c r="A269" t="s">
        <v>318</v>
      </c>
      <c r="B269" t="s">
        <v>579</v>
      </c>
      <c r="F269">
        <f t="shared" ca="1" si="8"/>
        <v>241</v>
      </c>
      <c r="G269">
        <f t="shared" ca="1" si="9"/>
        <v>31</v>
      </c>
    </row>
    <row r="270" spans="1:7" x14ac:dyDescent="0.2">
      <c r="A270" t="s">
        <v>318</v>
      </c>
      <c r="B270" t="s">
        <v>1233</v>
      </c>
      <c r="F270">
        <f t="shared" ca="1" si="8"/>
        <v>241</v>
      </c>
      <c r="G270">
        <f t="shared" ca="1" si="9"/>
        <v>31</v>
      </c>
    </row>
    <row r="271" spans="1:7" x14ac:dyDescent="0.2">
      <c r="A271" t="s">
        <v>318</v>
      </c>
      <c r="B271" t="s">
        <v>585</v>
      </c>
      <c r="F271">
        <f t="shared" ca="1" si="8"/>
        <v>241</v>
      </c>
      <c r="G271">
        <f t="shared" ca="1" si="9"/>
        <v>31</v>
      </c>
    </row>
    <row r="272" spans="1:7" x14ac:dyDescent="0.2">
      <c r="A272" t="s">
        <v>1154</v>
      </c>
      <c r="B272" t="s">
        <v>1234</v>
      </c>
      <c r="F272">
        <f t="shared" ca="1" si="8"/>
        <v>272</v>
      </c>
      <c r="G272">
        <f t="shared" ca="1" si="9"/>
        <v>1</v>
      </c>
    </row>
    <row r="273" spans="1:7" x14ac:dyDescent="0.2">
      <c r="A273" t="s">
        <v>319</v>
      </c>
      <c r="B273" t="s">
        <v>726</v>
      </c>
      <c r="F273">
        <f t="shared" ca="1" si="8"/>
        <v>273</v>
      </c>
      <c r="G273">
        <f t="shared" ca="1" si="9"/>
        <v>1</v>
      </c>
    </row>
    <row r="274" spans="1:7" x14ac:dyDescent="0.2">
      <c r="A274" t="s">
        <v>129</v>
      </c>
      <c r="B274" t="s">
        <v>1235</v>
      </c>
      <c r="F274">
        <f t="shared" ca="1" si="8"/>
        <v>274</v>
      </c>
      <c r="G274">
        <f t="shared" ca="1" si="9"/>
        <v>20</v>
      </c>
    </row>
    <row r="275" spans="1:7" x14ac:dyDescent="0.2">
      <c r="A275" t="s">
        <v>129</v>
      </c>
      <c r="B275" t="s">
        <v>49</v>
      </c>
      <c r="F275">
        <f t="shared" ca="1" si="8"/>
        <v>274</v>
      </c>
      <c r="G275">
        <f t="shared" ca="1" si="9"/>
        <v>20</v>
      </c>
    </row>
    <row r="276" spans="1:7" x14ac:dyDescent="0.2">
      <c r="A276" t="s">
        <v>129</v>
      </c>
      <c r="B276" t="s">
        <v>1236</v>
      </c>
      <c r="F276">
        <f t="shared" ca="1" si="8"/>
        <v>274</v>
      </c>
      <c r="G276">
        <f t="shared" ca="1" si="9"/>
        <v>20</v>
      </c>
    </row>
    <row r="277" spans="1:7" x14ac:dyDescent="0.2">
      <c r="A277" t="s">
        <v>129</v>
      </c>
      <c r="B277" t="s">
        <v>1237</v>
      </c>
      <c r="F277">
        <f t="shared" ca="1" si="8"/>
        <v>274</v>
      </c>
      <c r="G277">
        <f t="shared" ca="1" si="9"/>
        <v>20</v>
      </c>
    </row>
    <row r="278" spans="1:7" x14ac:dyDescent="0.2">
      <c r="A278" t="s">
        <v>129</v>
      </c>
      <c r="B278" t="s">
        <v>1238</v>
      </c>
      <c r="F278">
        <f t="shared" ca="1" si="8"/>
        <v>274</v>
      </c>
      <c r="G278">
        <f t="shared" ca="1" si="9"/>
        <v>20</v>
      </c>
    </row>
    <row r="279" spans="1:7" x14ac:dyDescent="0.2">
      <c r="A279" t="s">
        <v>129</v>
      </c>
      <c r="B279" t="s">
        <v>729</v>
      </c>
      <c r="F279">
        <f t="shared" ca="1" si="8"/>
        <v>274</v>
      </c>
      <c r="G279">
        <f t="shared" ca="1" si="9"/>
        <v>20</v>
      </c>
    </row>
    <row r="280" spans="1:7" x14ac:dyDescent="0.2">
      <c r="A280" t="s">
        <v>129</v>
      </c>
      <c r="B280" t="s">
        <v>730</v>
      </c>
      <c r="F280">
        <f t="shared" ca="1" si="8"/>
        <v>274</v>
      </c>
      <c r="G280">
        <f t="shared" ca="1" si="9"/>
        <v>20</v>
      </c>
    </row>
    <row r="281" spans="1:7" x14ac:dyDescent="0.2">
      <c r="A281" t="s">
        <v>129</v>
      </c>
      <c r="B281" t="s">
        <v>731</v>
      </c>
      <c r="F281">
        <f t="shared" ca="1" si="8"/>
        <v>274</v>
      </c>
      <c r="G281">
        <f t="shared" ca="1" si="9"/>
        <v>20</v>
      </c>
    </row>
    <row r="282" spans="1:7" x14ac:dyDescent="0.2">
      <c r="A282" t="s">
        <v>129</v>
      </c>
      <c r="B282" t="s">
        <v>732</v>
      </c>
      <c r="F282">
        <f t="shared" ca="1" si="8"/>
        <v>274</v>
      </c>
      <c r="G282">
        <f t="shared" ca="1" si="9"/>
        <v>20</v>
      </c>
    </row>
    <row r="283" spans="1:7" x14ac:dyDescent="0.2">
      <c r="A283" t="s">
        <v>129</v>
      </c>
      <c r="B283" t="s">
        <v>733</v>
      </c>
      <c r="F283">
        <f t="shared" ca="1" si="8"/>
        <v>274</v>
      </c>
      <c r="G283">
        <f t="shared" ca="1" si="9"/>
        <v>20</v>
      </c>
    </row>
    <row r="284" spans="1:7" x14ac:dyDescent="0.2">
      <c r="A284" t="s">
        <v>129</v>
      </c>
      <c r="B284" t="s">
        <v>1239</v>
      </c>
      <c r="F284">
        <f t="shared" ca="1" si="8"/>
        <v>274</v>
      </c>
      <c r="G284">
        <f t="shared" ca="1" si="9"/>
        <v>20</v>
      </c>
    </row>
    <row r="285" spans="1:7" x14ac:dyDescent="0.2">
      <c r="A285" t="s">
        <v>129</v>
      </c>
      <c r="B285" t="s">
        <v>734</v>
      </c>
      <c r="F285">
        <f t="shared" ca="1" si="8"/>
        <v>274</v>
      </c>
      <c r="G285">
        <f t="shared" ca="1" si="9"/>
        <v>20</v>
      </c>
    </row>
    <row r="286" spans="1:7" x14ac:dyDescent="0.2">
      <c r="A286" t="s">
        <v>129</v>
      </c>
      <c r="B286" t="s">
        <v>735</v>
      </c>
      <c r="F286">
        <f t="shared" ca="1" si="8"/>
        <v>274</v>
      </c>
      <c r="G286">
        <f t="shared" ca="1" si="9"/>
        <v>20</v>
      </c>
    </row>
    <row r="287" spans="1:7" x14ac:dyDescent="0.2">
      <c r="A287" t="s">
        <v>129</v>
      </c>
      <c r="B287" t="s">
        <v>736</v>
      </c>
      <c r="F287">
        <f t="shared" ca="1" si="8"/>
        <v>274</v>
      </c>
      <c r="G287">
        <f t="shared" ca="1" si="9"/>
        <v>20</v>
      </c>
    </row>
    <row r="288" spans="1:7" x14ac:dyDescent="0.2">
      <c r="A288" t="s">
        <v>129</v>
      </c>
      <c r="B288" t="s">
        <v>737</v>
      </c>
      <c r="F288">
        <f t="shared" ca="1" si="8"/>
        <v>274</v>
      </c>
      <c r="G288">
        <f t="shared" ca="1" si="9"/>
        <v>20</v>
      </c>
    </row>
    <row r="289" spans="1:7" x14ac:dyDescent="0.2">
      <c r="A289" t="s">
        <v>129</v>
      </c>
      <c r="B289" t="s">
        <v>170</v>
      </c>
      <c r="F289">
        <f t="shared" ca="1" si="8"/>
        <v>274</v>
      </c>
      <c r="G289">
        <f t="shared" ca="1" si="9"/>
        <v>20</v>
      </c>
    </row>
    <row r="290" spans="1:7" x14ac:dyDescent="0.2">
      <c r="A290" t="s">
        <v>129</v>
      </c>
      <c r="B290" t="s">
        <v>1240</v>
      </c>
      <c r="F290">
        <f t="shared" ca="1" si="8"/>
        <v>274</v>
      </c>
      <c r="G290">
        <f t="shared" ca="1" si="9"/>
        <v>20</v>
      </c>
    </row>
    <row r="291" spans="1:7" x14ac:dyDescent="0.2">
      <c r="A291" t="s">
        <v>129</v>
      </c>
      <c r="B291" t="s">
        <v>585</v>
      </c>
      <c r="F291">
        <f t="shared" ca="1" si="8"/>
        <v>274</v>
      </c>
      <c r="G291">
        <f t="shared" ca="1" si="9"/>
        <v>20</v>
      </c>
    </row>
    <row r="292" spans="1:7" x14ac:dyDescent="0.2">
      <c r="A292" t="s">
        <v>129</v>
      </c>
      <c r="B292" t="s">
        <v>1241</v>
      </c>
      <c r="F292">
        <f t="shared" ca="1" si="8"/>
        <v>274</v>
      </c>
      <c r="G292">
        <f t="shared" ca="1" si="9"/>
        <v>20</v>
      </c>
    </row>
    <row r="293" spans="1:7" x14ac:dyDescent="0.2">
      <c r="A293" t="s">
        <v>129</v>
      </c>
      <c r="B293" t="s">
        <v>613</v>
      </c>
      <c r="F293">
        <f t="shared" ca="1" si="8"/>
        <v>274</v>
      </c>
      <c r="G293">
        <f t="shared" ca="1" si="9"/>
        <v>20</v>
      </c>
    </row>
    <row r="294" spans="1:7" x14ac:dyDescent="0.2">
      <c r="A294" t="s">
        <v>320</v>
      </c>
      <c r="B294" t="s">
        <v>738</v>
      </c>
      <c r="F294">
        <f t="shared" ca="1" si="8"/>
        <v>294</v>
      </c>
      <c r="G294">
        <f t="shared" ca="1" si="9"/>
        <v>21</v>
      </c>
    </row>
    <row r="295" spans="1:7" x14ac:dyDescent="0.2">
      <c r="A295" t="s">
        <v>320</v>
      </c>
      <c r="B295" t="s">
        <v>739</v>
      </c>
      <c r="F295">
        <f t="shared" ca="1" si="8"/>
        <v>294</v>
      </c>
      <c r="G295">
        <f t="shared" ca="1" si="9"/>
        <v>21</v>
      </c>
    </row>
    <row r="296" spans="1:7" x14ac:dyDescent="0.2">
      <c r="A296" t="s">
        <v>320</v>
      </c>
      <c r="B296" t="s">
        <v>740</v>
      </c>
      <c r="F296">
        <f t="shared" ca="1" si="8"/>
        <v>294</v>
      </c>
      <c r="G296">
        <f t="shared" ca="1" si="9"/>
        <v>21</v>
      </c>
    </row>
    <row r="297" spans="1:7" x14ac:dyDescent="0.2">
      <c r="A297" t="s">
        <v>320</v>
      </c>
      <c r="B297" t="s">
        <v>741</v>
      </c>
      <c r="F297">
        <f t="shared" ca="1" si="8"/>
        <v>294</v>
      </c>
      <c r="G297">
        <f t="shared" ca="1" si="9"/>
        <v>21</v>
      </c>
    </row>
    <row r="298" spans="1:7" x14ac:dyDescent="0.2">
      <c r="A298" t="s">
        <v>320</v>
      </c>
      <c r="B298" t="s">
        <v>742</v>
      </c>
      <c r="F298">
        <f t="shared" ca="1" si="8"/>
        <v>294</v>
      </c>
      <c r="G298">
        <f t="shared" ca="1" si="9"/>
        <v>21</v>
      </c>
    </row>
    <row r="299" spans="1:7" x14ac:dyDescent="0.2">
      <c r="A299" t="s">
        <v>320</v>
      </c>
      <c r="B299" t="s">
        <v>743</v>
      </c>
      <c r="F299">
        <f t="shared" ca="1" si="8"/>
        <v>294</v>
      </c>
      <c r="G299">
        <f t="shared" ca="1" si="9"/>
        <v>21</v>
      </c>
    </row>
    <row r="300" spans="1:7" x14ac:dyDescent="0.2">
      <c r="A300" t="s">
        <v>320</v>
      </c>
      <c r="B300" t="s">
        <v>744</v>
      </c>
      <c r="F300">
        <f t="shared" ca="1" si="8"/>
        <v>294</v>
      </c>
      <c r="G300">
        <f t="shared" ca="1" si="9"/>
        <v>21</v>
      </c>
    </row>
    <row r="301" spans="1:7" x14ac:dyDescent="0.2">
      <c r="A301" t="s">
        <v>320</v>
      </c>
      <c r="B301" t="s">
        <v>745</v>
      </c>
      <c r="F301">
        <f t="shared" ca="1" si="8"/>
        <v>294</v>
      </c>
      <c r="G301">
        <f t="shared" ca="1" si="9"/>
        <v>21</v>
      </c>
    </row>
    <row r="302" spans="1:7" x14ac:dyDescent="0.2">
      <c r="A302" t="s">
        <v>320</v>
      </c>
      <c r="B302" t="s">
        <v>746</v>
      </c>
      <c r="F302">
        <f t="shared" ca="1" si="8"/>
        <v>294</v>
      </c>
      <c r="G302">
        <f t="shared" ca="1" si="9"/>
        <v>21</v>
      </c>
    </row>
    <row r="303" spans="1:7" x14ac:dyDescent="0.2">
      <c r="A303" t="s">
        <v>320</v>
      </c>
      <c r="B303" t="s">
        <v>747</v>
      </c>
      <c r="F303">
        <f t="shared" ca="1" si="8"/>
        <v>294</v>
      </c>
      <c r="G303">
        <f t="shared" ca="1" si="9"/>
        <v>21</v>
      </c>
    </row>
    <row r="304" spans="1:7" x14ac:dyDescent="0.2">
      <c r="A304" t="s">
        <v>320</v>
      </c>
      <c r="B304" t="s">
        <v>748</v>
      </c>
      <c r="F304">
        <f t="shared" ca="1" si="8"/>
        <v>294</v>
      </c>
      <c r="G304">
        <f t="shared" ca="1" si="9"/>
        <v>21</v>
      </c>
    </row>
    <row r="305" spans="1:7" x14ac:dyDescent="0.2">
      <c r="A305" t="s">
        <v>320</v>
      </c>
      <c r="B305" t="s">
        <v>749</v>
      </c>
      <c r="F305">
        <f t="shared" ca="1" si="8"/>
        <v>294</v>
      </c>
      <c r="G305">
        <f t="shared" ca="1" si="9"/>
        <v>21</v>
      </c>
    </row>
    <row r="306" spans="1:7" x14ac:dyDescent="0.2">
      <c r="A306" t="s">
        <v>320</v>
      </c>
      <c r="B306" t="s">
        <v>750</v>
      </c>
      <c r="F306">
        <f t="shared" ca="1" si="8"/>
        <v>294</v>
      </c>
      <c r="G306">
        <f t="shared" ca="1" si="9"/>
        <v>21</v>
      </c>
    </row>
    <row r="307" spans="1:7" x14ac:dyDescent="0.2">
      <c r="A307" t="s">
        <v>320</v>
      </c>
      <c r="B307" t="s">
        <v>751</v>
      </c>
      <c r="F307">
        <f t="shared" ca="1" si="8"/>
        <v>294</v>
      </c>
      <c r="G307">
        <f t="shared" ca="1" si="9"/>
        <v>21</v>
      </c>
    </row>
    <row r="308" spans="1:7" x14ac:dyDescent="0.2">
      <c r="A308" t="s">
        <v>320</v>
      </c>
      <c r="B308" t="s">
        <v>752</v>
      </c>
      <c r="F308">
        <f t="shared" ca="1" si="8"/>
        <v>294</v>
      </c>
      <c r="G308">
        <f t="shared" ca="1" si="9"/>
        <v>21</v>
      </c>
    </row>
    <row r="309" spans="1:7" x14ac:dyDescent="0.2">
      <c r="A309" t="s">
        <v>320</v>
      </c>
      <c r="B309" t="s">
        <v>753</v>
      </c>
      <c r="F309">
        <f t="shared" ca="1" si="8"/>
        <v>294</v>
      </c>
      <c r="G309">
        <f t="shared" ca="1" si="9"/>
        <v>21</v>
      </c>
    </row>
    <row r="310" spans="1:7" x14ac:dyDescent="0.2">
      <c r="A310" t="s">
        <v>320</v>
      </c>
      <c r="B310" t="s">
        <v>754</v>
      </c>
      <c r="F310">
        <f t="shared" ca="1" si="8"/>
        <v>294</v>
      </c>
      <c r="G310">
        <f t="shared" ca="1" si="9"/>
        <v>21</v>
      </c>
    </row>
    <row r="311" spans="1:7" x14ac:dyDescent="0.2">
      <c r="A311" t="s">
        <v>320</v>
      </c>
      <c r="B311" t="s">
        <v>755</v>
      </c>
      <c r="F311">
        <f t="shared" ca="1" si="8"/>
        <v>294</v>
      </c>
      <c r="G311">
        <f t="shared" ca="1" si="9"/>
        <v>21</v>
      </c>
    </row>
    <row r="312" spans="1:7" x14ac:dyDescent="0.2">
      <c r="A312" t="s">
        <v>320</v>
      </c>
      <c r="B312" t="s">
        <v>756</v>
      </c>
      <c r="F312">
        <f t="shared" ca="1" si="8"/>
        <v>294</v>
      </c>
      <c r="G312">
        <f t="shared" ca="1" si="9"/>
        <v>21</v>
      </c>
    </row>
    <row r="313" spans="1:7" x14ac:dyDescent="0.2">
      <c r="A313" t="s">
        <v>320</v>
      </c>
      <c r="B313" t="s">
        <v>757</v>
      </c>
      <c r="F313">
        <f t="shared" ca="1" si="8"/>
        <v>294</v>
      </c>
      <c r="G313">
        <f t="shared" ca="1" si="9"/>
        <v>21</v>
      </c>
    </row>
    <row r="314" spans="1:7" x14ac:dyDescent="0.2">
      <c r="A314" t="s">
        <v>320</v>
      </c>
      <c r="B314" t="s">
        <v>758</v>
      </c>
      <c r="F314">
        <f t="shared" ca="1" si="8"/>
        <v>294</v>
      </c>
      <c r="G314">
        <f t="shared" ca="1" si="9"/>
        <v>21</v>
      </c>
    </row>
    <row r="315" spans="1:7" x14ac:dyDescent="0.2">
      <c r="A315" t="s">
        <v>321</v>
      </c>
      <c r="B315" t="s">
        <v>1242</v>
      </c>
      <c r="F315">
        <f t="shared" ca="1" si="8"/>
        <v>315</v>
      </c>
      <c r="G315">
        <f t="shared" ca="1" si="9"/>
        <v>1</v>
      </c>
    </row>
    <row r="316" spans="1:7" x14ac:dyDescent="0.2">
      <c r="A316" t="s">
        <v>322</v>
      </c>
      <c r="B316" t="s">
        <v>759</v>
      </c>
      <c r="F316">
        <f t="shared" ca="1" si="8"/>
        <v>316</v>
      </c>
      <c r="G316">
        <f t="shared" ca="1" si="9"/>
        <v>2</v>
      </c>
    </row>
    <row r="317" spans="1:7" x14ac:dyDescent="0.2">
      <c r="A317" t="s">
        <v>322</v>
      </c>
      <c r="B317" t="s">
        <v>760</v>
      </c>
      <c r="F317">
        <f t="shared" ca="1" si="8"/>
        <v>316</v>
      </c>
      <c r="G317">
        <f t="shared" ca="1" si="9"/>
        <v>2</v>
      </c>
    </row>
    <row r="318" spans="1:7" x14ac:dyDescent="0.2">
      <c r="A318" t="s">
        <v>323</v>
      </c>
      <c r="B318" t="s">
        <v>740</v>
      </c>
      <c r="F318">
        <f t="shared" ca="1" si="8"/>
        <v>318</v>
      </c>
      <c r="G318">
        <f t="shared" ca="1" si="9"/>
        <v>10</v>
      </c>
    </row>
    <row r="319" spans="1:7" x14ac:dyDescent="0.2">
      <c r="A319" t="s">
        <v>323</v>
      </c>
      <c r="B319" t="s">
        <v>761</v>
      </c>
      <c r="F319">
        <f t="shared" ca="1" si="8"/>
        <v>318</v>
      </c>
      <c r="G319">
        <f t="shared" ca="1" si="9"/>
        <v>10</v>
      </c>
    </row>
    <row r="320" spans="1:7" x14ac:dyDescent="0.2">
      <c r="A320" t="s">
        <v>323</v>
      </c>
      <c r="B320" t="s">
        <v>762</v>
      </c>
      <c r="F320">
        <f t="shared" ca="1" si="8"/>
        <v>318</v>
      </c>
      <c r="G320">
        <f t="shared" ca="1" si="9"/>
        <v>10</v>
      </c>
    </row>
    <row r="321" spans="1:7" x14ac:dyDescent="0.2">
      <c r="A321" t="s">
        <v>323</v>
      </c>
      <c r="B321" t="s">
        <v>763</v>
      </c>
      <c r="F321">
        <f t="shared" ca="1" si="8"/>
        <v>318</v>
      </c>
      <c r="G321">
        <f t="shared" ca="1" si="9"/>
        <v>10</v>
      </c>
    </row>
    <row r="322" spans="1:7" x14ac:dyDescent="0.2">
      <c r="A322" t="s">
        <v>323</v>
      </c>
      <c r="B322" t="s">
        <v>764</v>
      </c>
      <c r="F322">
        <f t="shared" ref="F322:F385" ca="1" si="10">IFERROR(MATCH(OFFSET($A$1,ROW()-1,0,1,1),A:A,0),"")</f>
        <v>318</v>
      </c>
      <c r="G322">
        <f t="shared" ref="G322:G385" ca="1" si="11">COUNTIF(A:A,OFFSET($A$1,ROW()-1,0))</f>
        <v>10</v>
      </c>
    </row>
    <row r="323" spans="1:7" x14ac:dyDescent="0.2">
      <c r="A323" t="s">
        <v>323</v>
      </c>
      <c r="B323" t="s">
        <v>765</v>
      </c>
      <c r="F323">
        <f t="shared" ca="1" si="10"/>
        <v>318</v>
      </c>
      <c r="G323">
        <f t="shared" ca="1" si="11"/>
        <v>10</v>
      </c>
    </row>
    <row r="324" spans="1:7" x14ac:dyDescent="0.2">
      <c r="A324" t="s">
        <v>323</v>
      </c>
      <c r="B324" t="s">
        <v>766</v>
      </c>
      <c r="F324">
        <f t="shared" ca="1" si="10"/>
        <v>318</v>
      </c>
      <c r="G324">
        <f t="shared" ca="1" si="11"/>
        <v>10</v>
      </c>
    </row>
    <row r="325" spans="1:7" x14ac:dyDescent="0.2">
      <c r="A325" t="s">
        <v>323</v>
      </c>
      <c r="B325" t="s">
        <v>767</v>
      </c>
      <c r="F325">
        <f t="shared" ca="1" si="10"/>
        <v>318</v>
      </c>
      <c r="G325">
        <f t="shared" ca="1" si="11"/>
        <v>10</v>
      </c>
    </row>
    <row r="326" spans="1:7" x14ac:dyDescent="0.2">
      <c r="A326" t="s">
        <v>323</v>
      </c>
      <c r="B326" t="s">
        <v>768</v>
      </c>
      <c r="F326">
        <f t="shared" ca="1" si="10"/>
        <v>318</v>
      </c>
      <c r="G326">
        <f t="shared" ca="1" si="11"/>
        <v>10</v>
      </c>
    </row>
    <row r="327" spans="1:7" x14ac:dyDescent="0.2">
      <c r="A327" t="s">
        <v>323</v>
      </c>
      <c r="B327" t="s">
        <v>769</v>
      </c>
      <c r="F327">
        <f t="shared" ca="1" si="10"/>
        <v>318</v>
      </c>
      <c r="G327">
        <f t="shared" ca="1" si="11"/>
        <v>10</v>
      </c>
    </row>
    <row r="328" spans="1:7" x14ac:dyDescent="0.2">
      <c r="A328" t="s">
        <v>324</v>
      </c>
      <c r="B328" t="s">
        <v>770</v>
      </c>
      <c r="F328">
        <f t="shared" ca="1" si="10"/>
        <v>328</v>
      </c>
      <c r="G328">
        <f t="shared" ca="1" si="11"/>
        <v>5</v>
      </c>
    </row>
    <row r="329" spans="1:7" x14ac:dyDescent="0.2">
      <c r="A329" t="s">
        <v>324</v>
      </c>
      <c r="B329" t="s">
        <v>771</v>
      </c>
      <c r="F329">
        <f t="shared" ca="1" si="10"/>
        <v>328</v>
      </c>
      <c r="G329">
        <f t="shared" ca="1" si="11"/>
        <v>5</v>
      </c>
    </row>
    <row r="330" spans="1:7" x14ac:dyDescent="0.2">
      <c r="A330" t="s">
        <v>324</v>
      </c>
      <c r="B330" t="s">
        <v>324</v>
      </c>
      <c r="F330">
        <f t="shared" ca="1" si="10"/>
        <v>328</v>
      </c>
      <c r="G330">
        <f t="shared" ca="1" si="11"/>
        <v>5</v>
      </c>
    </row>
    <row r="331" spans="1:7" x14ac:dyDescent="0.2">
      <c r="A331" t="s">
        <v>324</v>
      </c>
      <c r="B331" t="s">
        <v>772</v>
      </c>
      <c r="F331">
        <f t="shared" ca="1" si="10"/>
        <v>328</v>
      </c>
      <c r="G331">
        <f t="shared" ca="1" si="11"/>
        <v>5</v>
      </c>
    </row>
    <row r="332" spans="1:7" x14ac:dyDescent="0.2">
      <c r="A332" t="s">
        <v>324</v>
      </c>
      <c r="B332" t="s">
        <v>773</v>
      </c>
      <c r="F332">
        <f t="shared" ca="1" si="10"/>
        <v>328</v>
      </c>
      <c r="G332">
        <f t="shared" ca="1" si="11"/>
        <v>5</v>
      </c>
    </row>
    <row r="333" spans="1:7" x14ac:dyDescent="0.2">
      <c r="A333" t="s">
        <v>1155</v>
      </c>
      <c r="B333" t="s">
        <v>1243</v>
      </c>
      <c r="F333">
        <f t="shared" ca="1" si="10"/>
        <v>333</v>
      </c>
      <c r="G333">
        <f t="shared" ca="1" si="11"/>
        <v>2</v>
      </c>
    </row>
    <row r="334" spans="1:7" x14ac:dyDescent="0.2">
      <c r="A334" t="s">
        <v>1155</v>
      </c>
      <c r="B334" t="s">
        <v>1244</v>
      </c>
      <c r="F334">
        <f t="shared" ca="1" si="10"/>
        <v>333</v>
      </c>
      <c r="G334">
        <f t="shared" ca="1" si="11"/>
        <v>2</v>
      </c>
    </row>
    <row r="335" spans="1:7" x14ac:dyDescent="0.2">
      <c r="A335" t="s">
        <v>871</v>
      </c>
      <c r="B335" t="s">
        <v>1245</v>
      </c>
      <c r="F335">
        <f t="shared" ca="1" si="10"/>
        <v>335</v>
      </c>
      <c r="G335">
        <f t="shared" ca="1" si="11"/>
        <v>1</v>
      </c>
    </row>
    <row r="336" spans="1:7" x14ac:dyDescent="0.2">
      <c r="A336" t="s">
        <v>325</v>
      </c>
      <c r="B336" t="s">
        <v>775</v>
      </c>
      <c r="F336">
        <f t="shared" ca="1" si="10"/>
        <v>336</v>
      </c>
      <c r="G336">
        <f t="shared" ca="1" si="11"/>
        <v>9</v>
      </c>
    </row>
    <row r="337" spans="1:7" x14ac:dyDescent="0.2">
      <c r="A337" t="s">
        <v>325</v>
      </c>
      <c r="B337" t="s">
        <v>776</v>
      </c>
      <c r="F337">
        <f t="shared" ca="1" si="10"/>
        <v>336</v>
      </c>
      <c r="G337">
        <f t="shared" ca="1" si="11"/>
        <v>9</v>
      </c>
    </row>
    <row r="338" spans="1:7" x14ac:dyDescent="0.2">
      <c r="A338" t="s">
        <v>325</v>
      </c>
      <c r="B338" t="s">
        <v>777</v>
      </c>
      <c r="F338">
        <f t="shared" ca="1" si="10"/>
        <v>336</v>
      </c>
      <c r="G338">
        <f t="shared" ca="1" si="11"/>
        <v>9</v>
      </c>
    </row>
    <row r="339" spans="1:7" x14ac:dyDescent="0.2">
      <c r="A339" t="s">
        <v>325</v>
      </c>
      <c r="B339" t="s">
        <v>778</v>
      </c>
      <c r="F339">
        <f t="shared" ca="1" si="10"/>
        <v>336</v>
      </c>
      <c r="G339">
        <f t="shared" ca="1" si="11"/>
        <v>9</v>
      </c>
    </row>
    <row r="340" spans="1:7" x14ac:dyDescent="0.2">
      <c r="A340" t="s">
        <v>325</v>
      </c>
      <c r="B340" t="s">
        <v>779</v>
      </c>
      <c r="F340">
        <f t="shared" ca="1" si="10"/>
        <v>336</v>
      </c>
      <c r="G340">
        <f t="shared" ca="1" si="11"/>
        <v>9</v>
      </c>
    </row>
    <row r="341" spans="1:7" x14ac:dyDescent="0.2">
      <c r="A341" t="s">
        <v>325</v>
      </c>
      <c r="B341" t="s">
        <v>780</v>
      </c>
      <c r="F341">
        <f t="shared" ca="1" si="10"/>
        <v>336</v>
      </c>
      <c r="G341">
        <f t="shared" ca="1" si="11"/>
        <v>9</v>
      </c>
    </row>
    <row r="342" spans="1:7" x14ac:dyDescent="0.2">
      <c r="A342" t="s">
        <v>325</v>
      </c>
      <c r="B342" t="s">
        <v>781</v>
      </c>
      <c r="F342">
        <f t="shared" ca="1" si="10"/>
        <v>336</v>
      </c>
      <c r="G342">
        <f t="shared" ca="1" si="11"/>
        <v>9</v>
      </c>
    </row>
    <row r="343" spans="1:7" x14ac:dyDescent="0.2">
      <c r="A343" t="s">
        <v>325</v>
      </c>
      <c r="B343" t="s">
        <v>782</v>
      </c>
      <c r="F343">
        <f t="shared" ca="1" si="10"/>
        <v>336</v>
      </c>
      <c r="G343">
        <f t="shared" ca="1" si="11"/>
        <v>9</v>
      </c>
    </row>
    <row r="344" spans="1:7" x14ac:dyDescent="0.2">
      <c r="A344" t="s">
        <v>325</v>
      </c>
      <c r="B344" t="s">
        <v>783</v>
      </c>
      <c r="F344">
        <f t="shared" ca="1" si="10"/>
        <v>336</v>
      </c>
      <c r="G344">
        <f t="shared" ca="1" si="11"/>
        <v>9</v>
      </c>
    </row>
    <row r="345" spans="1:7" x14ac:dyDescent="0.2">
      <c r="A345" t="s">
        <v>326</v>
      </c>
      <c r="B345" t="s">
        <v>309</v>
      </c>
      <c r="F345">
        <f t="shared" ca="1" si="10"/>
        <v>345</v>
      </c>
      <c r="G345">
        <f t="shared" ca="1" si="11"/>
        <v>9</v>
      </c>
    </row>
    <row r="346" spans="1:7" x14ac:dyDescent="0.2">
      <c r="A346" t="s">
        <v>326</v>
      </c>
      <c r="B346" t="s">
        <v>310</v>
      </c>
      <c r="F346">
        <f t="shared" ca="1" si="10"/>
        <v>345</v>
      </c>
      <c r="G346">
        <f t="shared" ca="1" si="11"/>
        <v>9</v>
      </c>
    </row>
    <row r="347" spans="1:7" x14ac:dyDescent="0.2">
      <c r="A347" t="s">
        <v>326</v>
      </c>
      <c r="B347" t="s">
        <v>315</v>
      </c>
      <c r="F347">
        <f t="shared" ca="1" si="10"/>
        <v>345</v>
      </c>
      <c r="G347">
        <f t="shared" ca="1" si="11"/>
        <v>9</v>
      </c>
    </row>
    <row r="348" spans="1:7" x14ac:dyDescent="0.2">
      <c r="A348" t="s">
        <v>326</v>
      </c>
      <c r="B348" t="s">
        <v>1246</v>
      </c>
      <c r="F348">
        <f t="shared" ca="1" si="10"/>
        <v>345</v>
      </c>
      <c r="G348">
        <f t="shared" ca="1" si="11"/>
        <v>9</v>
      </c>
    </row>
    <row r="349" spans="1:7" x14ac:dyDescent="0.2">
      <c r="A349" t="s">
        <v>326</v>
      </c>
      <c r="B349" t="s">
        <v>1247</v>
      </c>
      <c r="F349">
        <f t="shared" ca="1" si="10"/>
        <v>345</v>
      </c>
      <c r="G349">
        <f t="shared" ca="1" si="11"/>
        <v>9</v>
      </c>
    </row>
    <row r="350" spans="1:7" x14ac:dyDescent="0.2">
      <c r="A350" t="s">
        <v>326</v>
      </c>
      <c r="B350" t="s">
        <v>768</v>
      </c>
      <c r="F350">
        <f t="shared" ca="1" si="10"/>
        <v>345</v>
      </c>
      <c r="G350">
        <f t="shared" ca="1" si="11"/>
        <v>9</v>
      </c>
    </row>
    <row r="351" spans="1:7" x14ac:dyDescent="0.2">
      <c r="A351" t="s">
        <v>326</v>
      </c>
      <c r="B351" t="s">
        <v>1248</v>
      </c>
      <c r="F351">
        <f t="shared" ca="1" si="10"/>
        <v>345</v>
      </c>
      <c r="G351">
        <f t="shared" ca="1" si="11"/>
        <v>9</v>
      </c>
    </row>
    <row r="352" spans="1:7" x14ac:dyDescent="0.2">
      <c r="A352" t="s">
        <v>326</v>
      </c>
      <c r="B352" t="s">
        <v>784</v>
      </c>
      <c r="F352">
        <f t="shared" ca="1" si="10"/>
        <v>345</v>
      </c>
      <c r="G352">
        <f t="shared" ca="1" si="11"/>
        <v>9</v>
      </c>
    </row>
    <row r="353" spans="1:7" x14ac:dyDescent="0.2">
      <c r="A353" t="s">
        <v>326</v>
      </c>
      <c r="B353" t="s">
        <v>785</v>
      </c>
      <c r="F353">
        <f t="shared" ca="1" si="10"/>
        <v>345</v>
      </c>
      <c r="G353">
        <f t="shared" ca="1" si="11"/>
        <v>9</v>
      </c>
    </row>
    <row r="354" spans="1:7" x14ac:dyDescent="0.2">
      <c r="A354" t="s">
        <v>327</v>
      </c>
      <c r="B354" t="s">
        <v>327</v>
      </c>
      <c r="F354">
        <f t="shared" ca="1" si="10"/>
        <v>354</v>
      </c>
      <c r="G354">
        <f t="shared" ca="1" si="11"/>
        <v>1</v>
      </c>
    </row>
    <row r="355" spans="1:7" x14ac:dyDescent="0.2">
      <c r="A355" t="s">
        <v>779</v>
      </c>
      <c r="B355" t="s">
        <v>1249</v>
      </c>
      <c r="F355">
        <f t="shared" ca="1" si="10"/>
        <v>355</v>
      </c>
      <c r="G355">
        <f t="shared" ca="1" si="11"/>
        <v>1</v>
      </c>
    </row>
    <row r="356" spans="1:7" x14ac:dyDescent="0.2">
      <c r="A356" t="s">
        <v>328</v>
      </c>
      <c r="B356" t="s">
        <v>786</v>
      </c>
      <c r="F356">
        <f t="shared" ca="1" si="10"/>
        <v>356</v>
      </c>
      <c r="G356">
        <f t="shared" ca="1" si="11"/>
        <v>11</v>
      </c>
    </row>
    <row r="357" spans="1:7" x14ac:dyDescent="0.2">
      <c r="A357" t="s">
        <v>328</v>
      </c>
      <c r="B357" t="s">
        <v>787</v>
      </c>
      <c r="F357">
        <f t="shared" ca="1" si="10"/>
        <v>356</v>
      </c>
      <c r="G357">
        <f t="shared" ca="1" si="11"/>
        <v>11</v>
      </c>
    </row>
    <row r="358" spans="1:7" x14ac:dyDescent="0.2">
      <c r="A358" t="s">
        <v>328</v>
      </c>
      <c r="B358" t="s">
        <v>788</v>
      </c>
      <c r="F358">
        <f t="shared" ca="1" si="10"/>
        <v>356</v>
      </c>
      <c r="G358">
        <f t="shared" ca="1" si="11"/>
        <v>11</v>
      </c>
    </row>
    <row r="359" spans="1:7" x14ac:dyDescent="0.2">
      <c r="A359" t="s">
        <v>328</v>
      </c>
      <c r="B359" t="s">
        <v>655</v>
      </c>
      <c r="F359">
        <f t="shared" ca="1" si="10"/>
        <v>356</v>
      </c>
      <c r="G359">
        <f t="shared" ca="1" si="11"/>
        <v>11</v>
      </c>
    </row>
    <row r="360" spans="1:7" x14ac:dyDescent="0.2">
      <c r="A360" t="s">
        <v>328</v>
      </c>
      <c r="B360" t="s">
        <v>324</v>
      </c>
      <c r="F360">
        <f t="shared" ca="1" si="10"/>
        <v>356</v>
      </c>
      <c r="G360">
        <f t="shared" ca="1" si="11"/>
        <v>11</v>
      </c>
    </row>
    <row r="361" spans="1:7" x14ac:dyDescent="0.2">
      <c r="A361" t="s">
        <v>328</v>
      </c>
      <c r="B361" t="s">
        <v>789</v>
      </c>
      <c r="F361">
        <f t="shared" ca="1" si="10"/>
        <v>356</v>
      </c>
      <c r="G361">
        <f t="shared" ca="1" si="11"/>
        <v>11</v>
      </c>
    </row>
    <row r="362" spans="1:7" x14ac:dyDescent="0.2">
      <c r="A362" t="s">
        <v>328</v>
      </c>
      <c r="B362" t="s">
        <v>790</v>
      </c>
      <c r="F362">
        <f t="shared" ca="1" si="10"/>
        <v>356</v>
      </c>
      <c r="G362">
        <f t="shared" ca="1" si="11"/>
        <v>11</v>
      </c>
    </row>
    <row r="363" spans="1:7" x14ac:dyDescent="0.2">
      <c r="A363" t="s">
        <v>328</v>
      </c>
      <c r="B363" t="s">
        <v>791</v>
      </c>
      <c r="F363">
        <f t="shared" ca="1" si="10"/>
        <v>356</v>
      </c>
      <c r="G363">
        <f t="shared" ca="1" si="11"/>
        <v>11</v>
      </c>
    </row>
    <row r="364" spans="1:7" x14ac:dyDescent="0.2">
      <c r="A364" t="s">
        <v>328</v>
      </c>
      <c r="B364" t="s">
        <v>792</v>
      </c>
      <c r="F364">
        <f t="shared" ca="1" si="10"/>
        <v>356</v>
      </c>
      <c r="G364">
        <f t="shared" ca="1" si="11"/>
        <v>11</v>
      </c>
    </row>
    <row r="365" spans="1:7" x14ac:dyDescent="0.2">
      <c r="A365" t="s">
        <v>328</v>
      </c>
      <c r="B365" t="s">
        <v>793</v>
      </c>
      <c r="F365">
        <f t="shared" ca="1" si="10"/>
        <v>356</v>
      </c>
      <c r="G365">
        <f t="shared" ca="1" si="11"/>
        <v>11</v>
      </c>
    </row>
    <row r="366" spans="1:7" x14ac:dyDescent="0.2">
      <c r="A366" t="s">
        <v>328</v>
      </c>
      <c r="B366" t="s">
        <v>794</v>
      </c>
      <c r="F366">
        <f t="shared" ca="1" si="10"/>
        <v>356</v>
      </c>
      <c r="G366">
        <f t="shared" ca="1" si="11"/>
        <v>11</v>
      </c>
    </row>
    <row r="367" spans="1:7" x14ac:dyDescent="0.2">
      <c r="A367" t="s">
        <v>329</v>
      </c>
      <c r="B367" t="s">
        <v>795</v>
      </c>
      <c r="F367">
        <f t="shared" ca="1" si="10"/>
        <v>367</v>
      </c>
      <c r="G367">
        <f t="shared" ca="1" si="11"/>
        <v>5</v>
      </c>
    </row>
    <row r="368" spans="1:7" x14ac:dyDescent="0.2">
      <c r="A368" t="s">
        <v>329</v>
      </c>
      <c r="B368" t="s">
        <v>796</v>
      </c>
      <c r="F368">
        <f t="shared" ca="1" si="10"/>
        <v>367</v>
      </c>
      <c r="G368">
        <f t="shared" ca="1" si="11"/>
        <v>5</v>
      </c>
    </row>
    <row r="369" spans="1:7" x14ac:dyDescent="0.2">
      <c r="A369" t="s">
        <v>329</v>
      </c>
      <c r="B369" t="s">
        <v>797</v>
      </c>
      <c r="F369">
        <f t="shared" ca="1" si="10"/>
        <v>367</v>
      </c>
      <c r="G369">
        <f t="shared" ca="1" si="11"/>
        <v>5</v>
      </c>
    </row>
    <row r="370" spans="1:7" x14ac:dyDescent="0.2">
      <c r="A370" t="s">
        <v>329</v>
      </c>
      <c r="B370" t="s">
        <v>798</v>
      </c>
      <c r="F370">
        <f t="shared" ca="1" si="10"/>
        <v>367</v>
      </c>
      <c r="G370">
        <f t="shared" ca="1" si="11"/>
        <v>5</v>
      </c>
    </row>
    <row r="371" spans="1:7" x14ac:dyDescent="0.2">
      <c r="A371" t="s">
        <v>329</v>
      </c>
      <c r="B371" t="s">
        <v>465</v>
      </c>
      <c r="F371">
        <f t="shared" ca="1" si="10"/>
        <v>367</v>
      </c>
      <c r="G371">
        <f t="shared" ca="1" si="11"/>
        <v>5</v>
      </c>
    </row>
    <row r="372" spans="1:7" x14ac:dyDescent="0.2">
      <c r="A372" t="s">
        <v>1156</v>
      </c>
      <c r="B372" t="s">
        <v>1250</v>
      </c>
      <c r="F372">
        <f t="shared" ca="1" si="10"/>
        <v>372</v>
      </c>
      <c r="G372">
        <f t="shared" ca="1" si="11"/>
        <v>3</v>
      </c>
    </row>
    <row r="373" spans="1:7" x14ac:dyDescent="0.2">
      <c r="A373" t="s">
        <v>1156</v>
      </c>
      <c r="B373" t="s">
        <v>1221</v>
      </c>
      <c r="F373">
        <f t="shared" ca="1" si="10"/>
        <v>372</v>
      </c>
      <c r="G373">
        <f t="shared" ca="1" si="11"/>
        <v>3</v>
      </c>
    </row>
    <row r="374" spans="1:7" x14ac:dyDescent="0.2">
      <c r="A374" t="s">
        <v>1156</v>
      </c>
      <c r="B374" t="s">
        <v>1222</v>
      </c>
      <c r="F374">
        <f t="shared" ca="1" si="10"/>
        <v>372</v>
      </c>
      <c r="G374">
        <f t="shared" ca="1" si="11"/>
        <v>3</v>
      </c>
    </row>
    <row r="375" spans="1:7" x14ac:dyDescent="0.2">
      <c r="A375" t="s">
        <v>330</v>
      </c>
      <c r="B375" t="s">
        <v>799</v>
      </c>
      <c r="F375">
        <f t="shared" ca="1" si="10"/>
        <v>375</v>
      </c>
      <c r="G375">
        <f t="shared" ca="1" si="11"/>
        <v>3</v>
      </c>
    </row>
    <row r="376" spans="1:7" x14ac:dyDescent="0.2">
      <c r="A376" t="s">
        <v>330</v>
      </c>
      <c r="B376" t="s">
        <v>1251</v>
      </c>
      <c r="F376">
        <f t="shared" ca="1" si="10"/>
        <v>375</v>
      </c>
      <c r="G376">
        <f t="shared" ca="1" si="11"/>
        <v>3</v>
      </c>
    </row>
    <row r="377" spans="1:7" x14ac:dyDescent="0.2">
      <c r="A377" t="s">
        <v>330</v>
      </c>
      <c r="B377" t="s">
        <v>800</v>
      </c>
      <c r="F377">
        <f t="shared" ca="1" si="10"/>
        <v>375</v>
      </c>
      <c r="G377">
        <f t="shared" ca="1" si="11"/>
        <v>3</v>
      </c>
    </row>
    <row r="378" spans="1:7" x14ac:dyDescent="0.2">
      <c r="A378" t="s">
        <v>151</v>
      </c>
      <c r="B378" t="s">
        <v>801</v>
      </c>
      <c r="F378">
        <f t="shared" ca="1" si="10"/>
        <v>378</v>
      </c>
      <c r="G378">
        <f t="shared" ca="1" si="11"/>
        <v>1</v>
      </c>
    </row>
    <row r="379" spans="1:7" x14ac:dyDescent="0.2">
      <c r="A379" t="s">
        <v>1157</v>
      </c>
      <c r="B379" t="s">
        <v>1252</v>
      </c>
      <c r="F379">
        <f t="shared" ca="1" si="10"/>
        <v>379</v>
      </c>
      <c r="G379">
        <f t="shared" ca="1" si="11"/>
        <v>1</v>
      </c>
    </row>
    <row r="380" spans="1:7" x14ac:dyDescent="0.2">
      <c r="A380" t="s">
        <v>332</v>
      </c>
      <c r="B380" t="s">
        <v>802</v>
      </c>
      <c r="F380">
        <f t="shared" ca="1" si="10"/>
        <v>380</v>
      </c>
      <c r="G380">
        <f t="shared" ca="1" si="11"/>
        <v>2</v>
      </c>
    </row>
    <row r="381" spans="1:7" x14ac:dyDescent="0.2">
      <c r="A381" t="s">
        <v>332</v>
      </c>
      <c r="B381" t="s">
        <v>803</v>
      </c>
      <c r="F381">
        <f t="shared" ca="1" si="10"/>
        <v>380</v>
      </c>
      <c r="G381">
        <f t="shared" ca="1" si="11"/>
        <v>2</v>
      </c>
    </row>
    <row r="382" spans="1:7" x14ac:dyDescent="0.2">
      <c r="A382" t="s">
        <v>333</v>
      </c>
      <c r="B382" t="s">
        <v>804</v>
      </c>
      <c r="F382">
        <f t="shared" ca="1" si="10"/>
        <v>382</v>
      </c>
      <c r="G382">
        <f t="shared" ca="1" si="11"/>
        <v>7</v>
      </c>
    </row>
    <row r="383" spans="1:7" x14ac:dyDescent="0.2">
      <c r="A383" t="s">
        <v>333</v>
      </c>
      <c r="B383" t="s">
        <v>130</v>
      </c>
      <c r="F383">
        <f t="shared" ca="1" si="10"/>
        <v>382</v>
      </c>
      <c r="G383">
        <f t="shared" ca="1" si="11"/>
        <v>7</v>
      </c>
    </row>
    <row r="384" spans="1:7" x14ac:dyDescent="0.2">
      <c r="A384" t="s">
        <v>333</v>
      </c>
      <c r="B384" t="s">
        <v>727</v>
      </c>
      <c r="F384">
        <f t="shared" ca="1" si="10"/>
        <v>382</v>
      </c>
      <c r="G384">
        <f t="shared" ca="1" si="11"/>
        <v>7</v>
      </c>
    </row>
    <row r="385" spans="1:7" x14ac:dyDescent="0.2">
      <c r="A385" t="s">
        <v>333</v>
      </c>
      <c r="B385" t="s">
        <v>728</v>
      </c>
      <c r="F385">
        <f t="shared" ca="1" si="10"/>
        <v>382</v>
      </c>
      <c r="G385">
        <f t="shared" ca="1" si="11"/>
        <v>7</v>
      </c>
    </row>
    <row r="386" spans="1:7" x14ac:dyDescent="0.2">
      <c r="A386" t="s">
        <v>333</v>
      </c>
      <c r="B386" t="s">
        <v>805</v>
      </c>
      <c r="F386">
        <f t="shared" ref="F386:F449" ca="1" si="12">IFERROR(MATCH(OFFSET($A$1,ROW()-1,0,1,1),A:A,0),"")</f>
        <v>382</v>
      </c>
      <c r="G386">
        <f t="shared" ref="G386:G449" ca="1" si="13">COUNTIF(A:A,OFFSET($A$1,ROW()-1,0))</f>
        <v>7</v>
      </c>
    </row>
    <row r="387" spans="1:7" x14ac:dyDescent="0.2">
      <c r="A387" t="s">
        <v>333</v>
      </c>
      <c r="B387" t="s">
        <v>806</v>
      </c>
      <c r="F387">
        <f t="shared" ca="1" si="12"/>
        <v>382</v>
      </c>
      <c r="G387">
        <f t="shared" ca="1" si="13"/>
        <v>7</v>
      </c>
    </row>
    <row r="388" spans="1:7" x14ac:dyDescent="0.2">
      <c r="A388" t="s">
        <v>333</v>
      </c>
      <c r="B388" t="s">
        <v>1253</v>
      </c>
      <c r="F388">
        <f t="shared" ca="1" si="12"/>
        <v>382</v>
      </c>
      <c r="G388">
        <f t="shared" ca="1" si="13"/>
        <v>7</v>
      </c>
    </row>
    <row r="389" spans="1:7" x14ac:dyDescent="0.2">
      <c r="A389" t="s">
        <v>334</v>
      </c>
      <c r="B389" t="s">
        <v>807</v>
      </c>
      <c r="F389">
        <f t="shared" ca="1" si="12"/>
        <v>389</v>
      </c>
      <c r="G389">
        <f t="shared" ca="1" si="13"/>
        <v>5</v>
      </c>
    </row>
    <row r="390" spans="1:7" x14ac:dyDescent="0.2">
      <c r="A390" t="s">
        <v>334</v>
      </c>
      <c r="B390" t="s">
        <v>808</v>
      </c>
      <c r="F390">
        <f t="shared" ca="1" si="12"/>
        <v>389</v>
      </c>
      <c r="G390">
        <f t="shared" ca="1" si="13"/>
        <v>5</v>
      </c>
    </row>
    <row r="391" spans="1:7" x14ac:dyDescent="0.2">
      <c r="A391" t="s">
        <v>334</v>
      </c>
      <c r="B391" t="s">
        <v>809</v>
      </c>
      <c r="F391">
        <f t="shared" ca="1" si="12"/>
        <v>389</v>
      </c>
      <c r="G391">
        <f t="shared" ca="1" si="13"/>
        <v>5</v>
      </c>
    </row>
    <row r="392" spans="1:7" x14ac:dyDescent="0.2">
      <c r="A392" t="s">
        <v>334</v>
      </c>
      <c r="B392" t="s">
        <v>810</v>
      </c>
      <c r="F392">
        <f t="shared" ca="1" si="12"/>
        <v>389</v>
      </c>
      <c r="G392">
        <f t="shared" ca="1" si="13"/>
        <v>5</v>
      </c>
    </row>
    <row r="393" spans="1:7" x14ac:dyDescent="0.2">
      <c r="A393" t="s">
        <v>334</v>
      </c>
      <c r="B393" t="s">
        <v>811</v>
      </c>
      <c r="F393">
        <f t="shared" ca="1" si="12"/>
        <v>389</v>
      </c>
      <c r="G393">
        <f t="shared" ca="1" si="13"/>
        <v>5</v>
      </c>
    </row>
    <row r="394" spans="1:7" x14ac:dyDescent="0.2">
      <c r="A394" t="s">
        <v>335</v>
      </c>
      <c r="B394" t="s">
        <v>812</v>
      </c>
      <c r="F394">
        <f t="shared" ca="1" si="12"/>
        <v>394</v>
      </c>
      <c r="G394">
        <f t="shared" ca="1" si="13"/>
        <v>8</v>
      </c>
    </row>
    <row r="395" spans="1:7" x14ac:dyDescent="0.2">
      <c r="A395" t="s">
        <v>335</v>
      </c>
      <c r="B395" t="s">
        <v>813</v>
      </c>
      <c r="F395">
        <f t="shared" ca="1" si="12"/>
        <v>394</v>
      </c>
      <c r="G395">
        <f t="shared" ca="1" si="13"/>
        <v>8</v>
      </c>
    </row>
    <row r="396" spans="1:7" x14ac:dyDescent="0.2">
      <c r="A396" t="s">
        <v>335</v>
      </c>
      <c r="B396" t="s">
        <v>814</v>
      </c>
      <c r="F396">
        <f t="shared" ca="1" si="12"/>
        <v>394</v>
      </c>
      <c r="G396">
        <f t="shared" ca="1" si="13"/>
        <v>8</v>
      </c>
    </row>
    <row r="397" spans="1:7" x14ac:dyDescent="0.2">
      <c r="A397" t="s">
        <v>335</v>
      </c>
      <c r="B397" t="s">
        <v>815</v>
      </c>
      <c r="F397">
        <f t="shared" ca="1" si="12"/>
        <v>394</v>
      </c>
      <c r="G397">
        <f t="shared" ca="1" si="13"/>
        <v>8</v>
      </c>
    </row>
    <row r="398" spans="1:7" x14ac:dyDescent="0.2">
      <c r="A398" t="s">
        <v>335</v>
      </c>
      <c r="B398" t="s">
        <v>816</v>
      </c>
      <c r="F398">
        <f t="shared" ca="1" si="12"/>
        <v>394</v>
      </c>
      <c r="G398">
        <f t="shared" ca="1" si="13"/>
        <v>8</v>
      </c>
    </row>
    <row r="399" spans="1:7" x14ac:dyDescent="0.2">
      <c r="A399" t="s">
        <v>335</v>
      </c>
      <c r="B399" t="s">
        <v>817</v>
      </c>
      <c r="F399">
        <f t="shared" ca="1" si="12"/>
        <v>394</v>
      </c>
      <c r="G399">
        <f t="shared" ca="1" si="13"/>
        <v>8</v>
      </c>
    </row>
    <row r="400" spans="1:7" x14ac:dyDescent="0.2">
      <c r="A400" t="s">
        <v>335</v>
      </c>
      <c r="B400" t="s">
        <v>818</v>
      </c>
      <c r="F400">
        <f t="shared" ca="1" si="12"/>
        <v>394</v>
      </c>
      <c r="G400">
        <f t="shared" ca="1" si="13"/>
        <v>8</v>
      </c>
    </row>
    <row r="401" spans="1:7" x14ac:dyDescent="0.2">
      <c r="A401" t="s">
        <v>335</v>
      </c>
      <c r="B401" t="s">
        <v>819</v>
      </c>
      <c r="F401">
        <f t="shared" ca="1" si="12"/>
        <v>394</v>
      </c>
      <c r="G401">
        <f t="shared" ca="1" si="13"/>
        <v>8</v>
      </c>
    </row>
    <row r="402" spans="1:7" x14ac:dyDescent="0.2">
      <c r="A402" t="s">
        <v>336</v>
      </c>
      <c r="B402" t="s">
        <v>820</v>
      </c>
      <c r="F402">
        <f t="shared" ca="1" si="12"/>
        <v>402</v>
      </c>
      <c r="G402">
        <f t="shared" ca="1" si="13"/>
        <v>3</v>
      </c>
    </row>
    <row r="403" spans="1:7" x14ac:dyDescent="0.2">
      <c r="A403" t="s">
        <v>336</v>
      </c>
      <c r="B403" t="s">
        <v>821</v>
      </c>
      <c r="F403">
        <f t="shared" ca="1" si="12"/>
        <v>402</v>
      </c>
      <c r="G403">
        <f t="shared" ca="1" si="13"/>
        <v>3</v>
      </c>
    </row>
    <row r="404" spans="1:7" x14ac:dyDescent="0.2">
      <c r="A404" t="s">
        <v>336</v>
      </c>
      <c r="B404" t="s">
        <v>336</v>
      </c>
      <c r="F404">
        <f t="shared" ca="1" si="12"/>
        <v>402</v>
      </c>
      <c r="G404">
        <f t="shared" ca="1" si="13"/>
        <v>3</v>
      </c>
    </row>
    <row r="405" spans="1:7" x14ac:dyDescent="0.2">
      <c r="A405" t="s">
        <v>337</v>
      </c>
      <c r="B405" t="s">
        <v>822</v>
      </c>
      <c r="F405">
        <f t="shared" ca="1" si="12"/>
        <v>405</v>
      </c>
      <c r="G405">
        <f t="shared" ca="1" si="13"/>
        <v>20</v>
      </c>
    </row>
    <row r="406" spans="1:7" x14ac:dyDescent="0.2">
      <c r="A406" t="s">
        <v>337</v>
      </c>
      <c r="B406" t="s">
        <v>823</v>
      </c>
      <c r="F406">
        <f t="shared" ca="1" si="12"/>
        <v>405</v>
      </c>
      <c r="G406">
        <f t="shared" ca="1" si="13"/>
        <v>20</v>
      </c>
    </row>
    <row r="407" spans="1:7" x14ac:dyDescent="0.2">
      <c r="A407" t="s">
        <v>337</v>
      </c>
      <c r="B407" t="s">
        <v>824</v>
      </c>
      <c r="F407">
        <f t="shared" ca="1" si="12"/>
        <v>405</v>
      </c>
      <c r="G407">
        <f t="shared" ca="1" si="13"/>
        <v>20</v>
      </c>
    </row>
    <row r="408" spans="1:7" x14ac:dyDescent="0.2">
      <c r="A408" t="s">
        <v>337</v>
      </c>
      <c r="B408" t="s">
        <v>821</v>
      </c>
      <c r="F408">
        <f t="shared" ca="1" si="12"/>
        <v>405</v>
      </c>
      <c r="G408">
        <f t="shared" ca="1" si="13"/>
        <v>20</v>
      </c>
    </row>
    <row r="409" spans="1:7" x14ac:dyDescent="0.2">
      <c r="A409" t="s">
        <v>337</v>
      </c>
      <c r="B409" t="s">
        <v>375</v>
      </c>
      <c r="F409">
        <f t="shared" ca="1" si="12"/>
        <v>405</v>
      </c>
      <c r="G409">
        <f t="shared" ca="1" si="13"/>
        <v>20</v>
      </c>
    </row>
    <row r="410" spans="1:7" x14ac:dyDescent="0.2">
      <c r="A410" t="s">
        <v>337</v>
      </c>
      <c r="B410" t="s">
        <v>825</v>
      </c>
      <c r="F410">
        <f t="shared" ca="1" si="12"/>
        <v>405</v>
      </c>
      <c r="G410">
        <f t="shared" ca="1" si="13"/>
        <v>20</v>
      </c>
    </row>
    <row r="411" spans="1:7" x14ac:dyDescent="0.2">
      <c r="A411" t="s">
        <v>337</v>
      </c>
      <c r="B411" t="s">
        <v>826</v>
      </c>
      <c r="F411">
        <f t="shared" ca="1" si="12"/>
        <v>405</v>
      </c>
      <c r="G411">
        <f t="shared" ca="1" si="13"/>
        <v>20</v>
      </c>
    </row>
    <row r="412" spans="1:7" x14ac:dyDescent="0.2">
      <c r="A412" t="s">
        <v>337</v>
      </c>
      <c r="B412" t="s">
        <v>827</v>
      </c>
      <c r="F412">
        <f t="shared" ca="1" si="12"/>
        <v>405</v>
      </c>
      <c r="G412">
        <f t="shared" ca="1" si="13"/>
        <v>20</v>
      </c>
    </row>
    <row r="413" spans="1:7" x14ac:dyDescent="0.2">
      <c r="A413" t="s">
        <v>337</v>
      </c>
      <c r="B413" t="s">
        <v>828</v>
      </c>
      <c r="F413">
        <f t="shared" ca="1" si="12"/>
        <v>405</v>
      </c>
      <c r="G413">
        <f t="shared" ca="1" si="13"/>
        <v>20</v>
      </c>
    </row>
    <row r="414" spans="1:7" x14ac:dyDescent="0.2">
      <c r="A414" t="s">
        <v>337</v>
      </c>
      <c r="B414" t="s">
        <v>829</v>
      </c>
      <c r="F414">
        <f t="shared" ca="1" si="12"/>
        <v>405</v>
      </c>
      <c r="G414">
        <f t="shared" ca="1" si="13"/>
        <v>20</v>
      </c>
    </row>
    <row r="415" spans="1:7" x14ac:dyDescent="0.2">
      <c r="A415" t="s">
        <v>337</v>
      </c>
      <c r="B415" t="s">
        <v>830</v>
      </c>
      <c r="F415">
        <f t="shared" ca="1" si="12"/>
        <v>405</v>
      </c>
      <c r="G415">
        <f t="shared" ca="1" si="13"/>
        <v>20</v>
      </c>
    </row>
    <row r="416" spans="1:7" x14ac:dyDescent="0.2">
      <c r="A416" t="s">
        <v>337</v>
      </c>
      <c r="B416" t="s">
        <v>831</v>
      </c>
      <c r="F416">
        <f t="shared" ca="1" si="12"/>
        <v>405</v>
      </c>
      <c r="G416">
        <f t="shared" ca="1" si="13"/>
        <v>20</v>
      </c>
    </row>
    <row r="417" spans="1:7" x14ac:dyDescent="0.2">
      <c r="A417" t="s">
        <v>337</v>
      </c>
      <c r="B417" t="s">
        <v>832</v>
      </c>
      <c r="F417">
        <f t="shared" ca="1" si="12"/>
        <v>405</v>
      </c>
      <c r="G417">
        <f t="shared" ca="1" si="13"/>
        <v>20</v>
      </c>
    </row>
    <row r="418" spans="1:7" x14ac:dyDescent="0.2">
      <c r="A418" t="s">
        <v>337</v>
      </c>
      <c r="B418" t="s">
        <v>833</v>
      </c>
      <c r="F418">
        <f t="shared" ca="1" si="12"/>
        <v>405</v>
      </c>
      <c r="G418">
        <f t="shared" ca="1" si="13"/>
        <v>20</v>
      </c>
    </row>
    <row r="419" spans="1:7" x14ac:dyDescent="0.2">
      <c r="A419" t="s">
        <v>337</v>
      </c>
      <c r="B419" t="s">
        <v>834</v>
      </c>
      <c r="F419">
        <f t="shared" ca="1" si="12"/>
        <v>405</v>
      </c>
      <c r="G419">
        <f t="shared" ca="1" si="13"/>
        <v>20</v>
      </c>
    </row>
    <row r="420" spans="1:7" x14ac:dyDescent="0.2">
      <c r="A420" t="s">
        <v>337</v>
      </c>
      <c r="B420" t="s">
        <v>835</v>
      </c>
      <c r="F420">
        <f t="shared" ca="1" si="12"/>
        <v>405</v>
      </c>
      <c r="G420">
        <f t="shared" ca="1" si="13"/>
        <v>20</v>
      </c>
    </row>
    <row r="421" spans="1:7" x14ac:dyDescent="0.2">
      <c r="A421" t="s">
        <v>337</v>
      </c>
      <c r="B421" t="s">
        <v>836</v>
      </c>
      <c r="F421">
        <f t="shared" ca="1" si="12"/>
        <v>405</v>
      </c>
      <c r="G421">
        <f t="shared" ca="1" si="13"/>
        <v>20</v>
      </c>
    </row>
    <row r="422" spans="1:7" x14ac:dyDescent="0.2">
      <c r="A422" t="s">
        <v>337</v>
      </c>
      <c r="B422" t="s">
        <v>837</v>
      </c>
      <c r="F422">
        <f t="shared" ca="1" si="12"/>
        <v>405</v>
      </c>
      <c r="G422">
        <f t="shared" ca="1" si="13"/>
        <v>20</v>
      </c>
    </row>
    <row r="423" spans="1:7" x14ac:dyDescent="0.2">
      <c r="A423" t="s">
        <v>337</v>
      </c>
      <c r="B423" t="s">
        <v>838</v>
      </c>
      <c r="F423">
        <f t="shared" ca="1" si="12"/>
        <v>405</v>
      </c>
      <c r="G423">
        <f t="shared" ca="1" si="13"/>
        <v>20</v>
      </c>
    </row>
    <row r="424" spans="1:7" x14ac:dyDescent="0.2">
      <c r="A424" t="s">
        <v>337</v>
      </c>
      <c r="B424" t="s">
        <v>839</v>
      </c>
      <c r="F424">
        <f t="shared" ca="1" si="12"/>
        <v>405</v>
      </c>
      <c r="G424">
        <f t="shared" ca="1" si="13"/>
        <v>20</v>
      </c>
    </row>
    <row r="425" spans="1:7" x14ac:dyDescent="0.2">
      <c r="A425" t="s">
        <v>1158</v>
      </c>
      <c r="B425" t="s">
        <v>1158</v>
      </c>
      <c r="F425">
        <f t="shared" ca="1" si="12"/>
        <v>425</v>
      </c>
      <c r="G425">
        <f t="shared" ca="1" si="13"/>
        <v>1</v>
      </c>
    </row>
    <row r="426" spans="1:7" x14ac:dyDescent="0.2">
      <c r="A426" t="s">
        <v>338</v>
      </c>
      <c r="B426" t="s">
        <v>840</v>
      </c>
      <c r="F426">
        <f t="shared" ca="1" si="12"/>
        <v>426</v>
      </c>
      <c r="G426">
        <f t="shared" ca="1" si="13"/>
        <v>4</v>
      </c>
    </row>
    <row r="427" spans="1:7" x14ac:dyDescent="0.2">
      <c r="A427" t="s">
        <v>338</v>
      </c>
      <c r="B427" t="s">
        <v>841</v>
      </c>
      <c r="F427">
        <f t="shared" ca="1" si="12"/>
        <v>426</v>
      </c>
      <c r="G427">
        <f t="shared" ca="1" si="13"/>
        <v>4</v>
      </c>
    </row>
    <row r="428" spans="1:7" x14ac:dyDescent="0.2">
      <c r="A428" t="s">
        <v>338</v>
      </c>
      <c r="B428" t="s">
        <v>842</v>
      </c>
      <c r="F428">
        <f t="shared" ca="1" si="12"/>
        <v>426</v>
      </c>
      <c r="G428">
        <f t="shared" ca="1" si="13"/>
        <v>4</v>
      </c>
    </row>
    <row r="429" spans="1:7" x14ac:dyDescent="0.2">
      <c r="A429" t="s">
        <v>338</v>
      </c>
      <c r="B429" t="s">
        <v>338</v>
      </c>
      <c r="F429">
        <f t="shared" ca="1" si="12"/>
        <v>426</v>
      </c>
      <c r="G429">
        <f t="shared" ca="1" si="13"/>
        <v>4</v>
      </c>
    </row>
    <row r="430" spans="1:7" x14ac:dyDescent="0.2">
      <c r="A430" t="s">
        <v>339</v>
      </c>
      <c r="B430" t="s">
        <v>843</v>
      </c>
      <c r="F430">
        <f t="shared" ca="1" si="12"/>
        <v>430</v>
      </c>
      <c r="G430">
        <f t="shared" ca="1" si="13"/>
        <v>1</v>
      </c>
    </row>
    <row r="431" spans="1:7" x14ac:dyDescent="0.2">
      <c r="A431" t="s">
        <v>1159</v>
      </c>
      <c r="B431" t="s">
        <v>1250</v>
      </c>
      <c r="F431">
        <f t="shared" ca="1" si="12"/>
        <v>431</v>
      </c>
      <c r="G431">
        <f t="shared" ca="1" si="13"/>
        <v>5</v>
      </c>
    </row>
    <row r="432" spans="1:7" x14ac:dyDescent="0.2">
      <c r="A432" t="s">
        <v>1159</v>
      </c>
      <c r="B432" t="s">
        <v>1254</v>
      </c>
      <c r="F432">
        <f t="shared" ca="1" si="12"/>
        <v>431</v>
      </c>
      <c r="G432">
        <f t="shared" ca="1" si="13"/>
        <v>5</v>
      </c>
    </row>
    <row r="433" spans="1:7" x14ac:dyDescent="0.2">
      <c r="A433" t="s">
        <v>1159</v>
      </c>
      <c r="B433" t="s">
        <v>1221</v>
      </c>
      <c r="F433">
        <f t="shared" ca="1" si="12"/>
        <v>431</v>
      </c>
      <c r="G433">
        <f t="shared" ca="1" si="13"/>
        <v>5</v>
      </c>
    </row>
    <row r="434" spans="1:7" x14ac:dyDescent="0.2">
      <c r="A434" t="s">
        <v>1159</v>
      </c>
      <c r="B434" t="s">
        <v>1255</v>
      </c>
      <c r="F434">
        <f t="shared" ca="1" si="12"/>
        <v>431</v>
      </c>
      <c r="G434">
        <f t="shared" ca="1" si="13"/>
        <v>5</v>
      </c>
    </row>
    <row r="435" spans="1:7" x14ac:dyDescent="0.2">
      <c r="A435" t="s">
        <v>1159</v>
      </c>
      <c r="B435" t="s">
        <v>1256</v>
      </c>
      <c r="F435">
        <f t="shared" ca="1" si="12"/>
        <v>431</v>
      </c>
      <c r="G435">
        <f t="shared" ca="1" si="13"/>
        <v>5</v>
      </c>
    </row>
    <row r="436" spans="1:7" x14ac:dyDescent="0.2">
      <c r="A436" t="s">
        <v>1160</v>
      </c>
      <c r="B436" t="s">
        <v>1250</v>
      </c>
      <c r="F436">
        <f t="shared" ca="1" si="12"/>
        <v>436</v>
      </c>
      <c r="G436">
        <f t="shared" ca="1" si="13"/>
        <v>3</v>
      </c>
    </row>
    <row r="437" spans="1:7" x14ac:dyDescent="0.2">
      <c r="A437" t="s">
        <v>1160</v>
      </c>
      <c r="B437" t="s">
        <v>1254</v>
      </c>
      <c r="F437">
        <f t="shared" ca="1" si="12"/>
        <v>436</v>
      </c>
      <c r="G437">
        <f t="shared" ca="1" si="13"/>
        <v>3</v>
      </c>
    </row>
    <row r="438" spans="1:7" x14ac:dyDescent="0.2">
      <c r="A438" t="s">
        <v>1160</v>
      </c>
      <c r="B438" t="s">
        <v>1221</v>
      </c>
      <c r="F438">
        <f t="shared" ca="1" si="12"/>
        <v>436</v>
      </c>
      <c r="G438">
        <f t="shared" ca="1" si="13"/>
        <v>3</v>
      </c>
    </row>
    <row r="439" spans="1:7" x14ac:dyDescent="0.2">
      <c r="A439" t="s">
        <v>1161</v>
      </c>
      <c r="B439" t="s">
        <v>1221</v>
      </c>
      <c r="F439">
        <f t="shared" ca="1" si="12"/>
        <v>439</v>
      </c>
      <c r="G439">
        <f t="shared" ca="1" si="13"/>
        <v>1</v>
      </c>
    </row>
    <row r="440" spans="1:7" x14ac:dyDescent="0.2">
      <c r="A440" t="s">
        <v>340</v>
      </c>
      <c r="B440" t="s">
        <v>844</v>
      </c>
      <c r="F440">
        <f t="shared" ca="1" si="12"/>
        <v>440</v>
      </c>
      <c r="G440">
        <f t="shared" ca="1" si="13"/>
        <v>4</v>
      </c>
    </row>
    <row r="441" spans="1:7" x14ac:dyDescent="0.2">
      <c r="A441" t="s">
        <v>340</v>
      </c>
      <c r="B441" t="s">
        <v>797</v>
      </c>
      <c r="F441">
        <f t="shared" ca="1" si="12"/>
        <v>440</v>
      </c>
      <c r="G441">
        <f t="shared" ca="1" si="13"/>
        <v>4</v>
      </c>
    </row>
    <row r="442" spans="1:7" x14ac:dyDescent="0.2">
      <c r="A442" t="s">
        <v>340</v>
      </c>
      <c r="B442" t="s">
        <v>798</v>
      </c>
      <c r="F442">
        <f t="shared" ca="1" si="12"/>
        <v>440</v>
      </c>
      <c r="G442">
        <f t="shared" ca="1" si="13"/>
        <v>4</v>
      </c>
    </row>
    <row r="443" spans="1:7" x14ac:dyDescent="0.2">
      <c r="A443" t="s">
        <v>340</v>
      </c>
      <c r="B443" t="s">
        <v>465</v>
      </c>
      <c r="F443">
        <f t="shared" ca="1" si="12"/>
        <v>440</v>
      </c>
      <c r="G443">
        <f t="shared" ca="1" si="13"/>
        <v>4</v>
      </c>
    </row>
    <row r="444" spans="1:7" x14ac:dyDescent="0.2">
      <c r="A444" t="s">
        <v>341</v>
      </c>
      <c r="B444" t="s">
        <v>845</v>
      </c>
      <c r="F444">
        <f t="shared" ca="1" si="12"/>
        <v>444</v>
      </c>
      <c r="G444">
        <f t="shared" ca="1" si="13"/>
        <v>3</v>
      </c>
    </row>
    <row r="445" spans="1:7" x14ac:dyDescent="0.2">
      <c r="A445" t="s">
        <v>341</v>
      </c>
      <c r="B445" t="s">
        <v>846</v>
      </c>
      <c r="F445">
        <f t="shared" ca="1" si="12"/>
        <v>444</v>
      </c>
      <c r="G445">
        <f t="shared" ca="1" si="13"/>
        <v>3</v>
      </c>
    </row>
    <row r="446" spans="1:7" x14ac:dyDescent="0.2">
      <c r="A446" t="s">
        <v>341</v>
      </c>
      <c r="B446" t="s">
        <v>847</v>
      </c>
      <c r="F446">
        <f t="shared" ca="1" si="12"/>
        <v>444</v>
      </c>
      <c r="G446">
        <f t="shared" ca="1" si="13"/>
        <v>3</v>
      </c>
    </row>
    <row r="447" spans="1:7" x14ac:dyDescent="0.2">
      <c r="A447" t="s">
        <v>342</v>
      </c>
      <c r="B447" t="s">
        <v>848</v>
      </c>
      <c r="F447">
        <f t="shared" ca="1" si="12"/>
        <v>447</v>
      </c>
      <c r="G447">
        <f t="shared" ca="1" si="13"/>
        <v>23</v>
      </c>
    </row>
    <row r="448" spans="1:7" x14ac:dyDescent="0.2">
      <c r="A448" t="s">
        <v>342</v>
      </c>
      <c r="B448" t="s">
        <v>849</v>
      </c>
      <c r="F448">
        <f t="shared" ca="1" si="12"/>
        <v>447</v>
      </c>
      <c r="G448">
        <f t="shared" ca="1" si="13"/>
        <v>23</v>
      </c>
    </row>
    <row r="449" spans="1:7" x14ac:dyDescent="0.2">
      <c r="A449" t="s">
        <v>342</v>
      </c>
      <c r="B449" t="s">
        <v>850</v>
      </c>
      <c r="F449">
        <f t="shared" ca="1" si="12"/>
        <v>447</v>
      </c>
      <c r="G449">
        <f t="shared" ca="1" si="13"/>
        <v>23</v>
      </c>
    </row>
    <row r="450" spans="1:7" x14ac:dyDescent="0.2">
      <c r="A450" t="s">
        <v>342</v>
      </c>
      <c r="B450" t="s">
        <v>851</v>
      </c>
      <c r="F450">
        <f t="shared" ref="F450:F513" ca="1" si="14">IFERROR(MATCH(OFFSET($A$1,ROW()-1,0,1,1),A:A,0),"")</f>
        <v>447</v>
      </c>
      <c r="G450">
        <f t="shared" ref="G450:G513" ca="1" si="15">COUNTIF(A:A,OFFSET($A$1,ROW()-1,0))</f>
        <v>23</v>
      </c>
    </row>
    <row r="451" spans="1:7" x14ac:dyDescent="0.2">
      <c r="A451" t="s">
        <v>342</v>
      </c>
      <c r="B451" t="s">
        <v>852</v>
      </c>
      <c r="F451">
        <f t="shared" ca="1" si="14"/>
        <v>447</v>
      </c>
      <c r="G451">
        <f t="shared" ca="1" si="15"/>
        <v>23</v>
      </c>
    </row>
    <row r="452" spans="1:7" x14ac:dyDescent="0.2">
      <c r="A452" t="s">
        <v>342</v>
      </c>
      <c r="B452" t="s">
        <v>853</v>
      </c>
      <c r="F452">
        <f t="shared" ca="1" si="14"/>
        <v>447</v>
      </c>
      <c r="G452">
        <f t="shared" ca="1" si="15"/>
        <v>23</v>
      </c>
    </row>
    <row r="453" spans="1:7" x14ac:dyDescent="0.2">
      <c r="A453" t="s">
        <v>342</v>
      </c>
      <c r="B453" t="s">
        <v>854</v>
      </c>
      <c r="F453">
        <f t="shared" ca="1" si="14"/>
        <v>447</v>
      </c>
      <c r="G453">
        <f t="shared" ca="1" si="15"/>
        <v>23</v>
      </c>
    </row>
    <row r="454" spans="1:7" x14ac:dyDescent="0.2">
      <c r="A454" t="s">
        <v>342</v>
      </c>
      <c r="B454" t="s">
        <v>855</v>
      </c>
      <c r="F454">
        <f t="shared" ca="1" si="14"/>
        <v>447</v>
      </c>
      <c r="G454">
        <f t="shared" ca="1" si="15"/>
        <v>23</v>
      </c>
    </row>
    <row r="455" spans="1:7" x14ac:dyDescent="0.2">
      <c r="A455" t="s">
        <v>342</v>
      </c>
      <c r="B455" t="s">
        <v>856</v>
      </c>
      <c r="F455">
        <f t="shared" ca="1" si="14"/>
        <v>447</v>
      </c>
      <c r="G455">
        <f t="shared" ca="1" si="15"/>
        <v>23</v>
      </c>
    </row>
    <row r="456" spans="1:7" x14ac:dyDescent="0.2">
      <c r="A456" t="s">
        <v>342</v>
      </c>
      <c r="B456" t="s">
        <v>857</v>
      </c>
      <c r="F456">
        <f t="shared" ca="1" si="14"/>
        <v>447</v>
      </c>
      <c r="G456">
        <f t="shared" ca="1" si="15"/>
        <v>23</v>
      </c>
    </row>
    <row r="457" spans="1:7" x14ac:dyDescent="0.2">
      <c r="A457" t="s">
        <v>342</v>
      </c>
      <c r="B457" t="s">
        <v>640</v>
      </c>
      <c r="F457">
        <f t="shared" ca="1" si="14"/>
        <v>447</v>
      </c>
      <c r="G457">
        <f t="shared" ca="1" si="15"/>
        <v>23</v>
      </c>
    </row>
    <row r="458" spans="1:7" x14ac:dyDescent="0.2">
      <c r="A458" t="s">
        <v>342</v>
      </c>
      <c r="B458" t="s">
        <v>858</v>
      </c>
      <c r="F458">
        <f t="shared" ca="1" si="14"/>
        <v>447</v>
      </c>
      <c r="G458">
        <f t="shared" ca="1" si="15"/>
        <v>23</v>
      </c>
    </row>
    <row r="459" spans="1:7" x14ac:dyDescent="0.2">
      <c r="A459" t="s">
        <v>342</v>
      </c>
      <c r="B459" t="s">
        <v>778</v>
      </c>
      <c r="F459">
        <f t="shared" ca="1" si="14"/>
        <v>447</v>
      </c>
      <c r="G459">
        <f t="shared" ca="1" si="15"/>
        <v>23</v>
      </c>
    </row>
    <row r="460" spans="1:7" x14ac:dyDescent="0.2">
      <c r="A460" t="s">
        <v>342</v>
      </c>
      <c r="B460" t="s">
        <v>859</v>
      </c>
      <c r="F460">
        <f t="shared" ca="1" si="14"/>
        <v>447</v>
      </c>
      <c r="G460">
        <f t="shared" ca="1" si="15"/>
        <v>23</v>
      </c>
    </row>
    <row r="461" spans="1:7" x14ac:dyDescent="0.2">
      <c r="A461" t="s">
        <v>342</v>
      </c>
      <c r="B461" t="s">
        <v>860</v>
      </c>
      <c r="F461">
        <f t="shared" ca="1" si="14"/>
        <v>447</v>
      </c>
      <c r="G461">
        <f t="shared" ca="1" si="15"/>
        <v>23</v>
      </c>
    </row>
    <row r="462" spans="1:7" x14ac:dyDescent="0.2">
      <c r="A462" t="s">
        <v>342</v>
      </c>
      <c r="B462" t="s">
        <v>861</v>
      </c>
      <c r="F462">
        <f t="shared" ca="1" si="14"/>
        <v>447</v>
      </c>
      <c r="G462">
        <f t="shared" ca="1" si="15"/>
        <v>23</v>
      </c>
    </row>
    <row r="463" spans="1:7" x14ac:dyDescent="0.2">
      <c r="A463" t="s">
        <v>342</v>
      </c>
      <c r="B463" t="s">
        <v>862</v>
      </c>
      <c r="F463">
        <f t="shared" ca="1" si="14"/>
        <v>447</v>
      </c>
      <c r="G463">
        <f t="shared" ca="1" si="15"/>
        <v>23</v>
      </c>
    </row>
    <row r="464" spans="1:7" x14ac:dyDescent="0.2">
      <c r="A464" t="s">
        <v>342</v>
      </c>
      <c r="B464" t="s">
        <v>863</v>
      </c>
      <c r="F464">
        <f t="shared" ca="1" si="14"/>
        <v>447</v>
      </c>
      <c r="G464">
        <f t="shared" ca="1" si="15"/>
        <v>23</v>
      </c>
    </row>
    <row r="465" spans="1:7" x14ac:dyDescent="0.2">
      <c r="A465" t="s">
        <v>342</v>
      </c>
      <c r="B465" t="s">
        <v>864</v>
      </c>
      <c r="F465">
        <f t="shared" ca="1" si="14"/>
        <v>447</v>
      </c>
      <c r="G465">
        <f t="shared" ca="1" si="15"/>
        <v>23</v>
      </c>
    </row>
    <row r="466" spans="1:7" x14ac:dyDescent="0.2">
      <c r="A466" t="s">
        <v>342</v>
      </c>
      <c r="B466" t="s">
        <v>865</v>
      </c>
      <c r="F466">
        <f t="shared" ca="1" si="14"/>
        <v>447</v>
      </c>
      <c r="G466">
        <f t="shared" ca="1" si="15"/>
        <v>23</v>
      </c>
    </row>
    <row r="467" spans="1:7" x14ac:dyDescent="0.2">
      <c r="A467" t="s">
        <v>342</v>
      </c>
      <c r="B467" t="s">
        <v>866</v>
      </c>
      <c r="F467">
        <f t="shared" ca="1" si="14"/>
        <v>447</v>
      </c>
      <c r="G467">
        <f t="shared" ca="1" si="15"/>
        <v>23</v>
      </c>
    </row>
    <row r="468" spans="1:7" x14ac:dyDescent="0.2">
      <c r="A468" t="s">
        <v>342</v>
      </c>
      <c r="B468" t="s">
        <v>867</v>
      </c>
      <c r="F468">
        <f t="shared" ca="1" si="14"/>
        <v>447</v>
      </c>
      <c r="G468">
        <f t="shared" ca="1" si="15"/>
        <v>23</v>
      </c>
    </row>
    <row r="469" spans="1:7" x14ac:dyDescent="0.2">
      <c r="A469" t="s">
        <v>342</v>
      </c>
      <c r="B469" t="s">
        <v>868</v>
      </c>
      <c r="F469">
        <f t="shared" ca="1" si="14"/>
        <v>447</v>
      </c>
      <c r="G469">
        <f t="shared" ca="1" si="15"/>
        <v>23</v>
      </c>
    </row>
    <row r="470" spans="1:7" x14ac:dyDescent="0.2">
      <c r="A470" t="s">
        <v>1162</v>
      </c>
      <c r="B470" t="s">
        <v>1257</v>
      </c>
      <c r="F470">
        <f t="shared" ca="1" si="14"/>
        <v>470</v>
      </c>
      <c r="G470">
        <f t="shared" ca="1" si="15"/>
        <v>1</v>
      </c>
    </row>
    <row r="471" spans="1:7" x14ac:dyDescent="0.2">
      <c r="A471" t="s">
        <v>1163</v>
      </c>
      <c r="B471" t="s">
        <v>774</v>
      </c>
      <c r="F471">
        <f t="shared" ca="1" si="14"/>
        <v>471</v>
      </c>
      <c r="G471">
        <f t="shared" ca="1" si="15"/>
        <v>1</v>
      </c>
    </row>
    <row r="472" spans="1:7" x14ac:dyDescent="0.2">
      <c r="A472" t="s">
        <v>187</v>
      </c>
      <c r="B472" t="s">
        <v>869</v>
      </c>
      <c r="F472">
        <f t="shared" ca="1" si="14"/>
        <v>472</v>
      </c>
      <c r="G472">
        <f t="shared" ca="1" si="15"/>
        <v>1</v>
      </c>
    </row>
    <row r="473" spans="1:7" x14ac:dyDescent="0.2">
      <c r="A473" t="s">
        <v>1164</v>
      </c>
      <c r="B473" t="s">
        <v>1208</v>
      </c>
      <c r="F473">
        <f t="shared" ca="1" si="14"/>
        <v>473</v>
      </c>
      <c r="G473">
        <f t="shared" ca="1" si="15"/>
        <v>6</v>
      </c>
    </row>
    <row r="474" spans="1:7" x14ac:dyDescent="0.2">
      <c r="A474" t="s">
        <v>1164</v>
      </c>
      <c r="B474" t="s">
        <v>1209</v>
      </c>
      <c r="F474">
        <f t="shared" ca="1" si="14"/>
        <v>473</v>
      </c>
      <c r="G474">
        <f t="shared" ca="1" si="15"/>
        <v>6</v>
      </c>
    </row>
    <row r="475" spans="1:7" x14ac:dyDescent="0.2">
      <c r="A475" t="s">
        <v>1164</v>
      </c>
      <c r="B475" t="s">
        <v>1210</v>
      </c>
      <c r="F475">
        <f t="shared" ca="1" si="14"/>
        <v>473</v>
      </c>
      <c r="G475">
        <f t="shared" ca="1" si="15"/>
        <v>6</v>
      </c>
    </row>
    <row r="476" spans="1:7" x14ac:dyDescent="0.2">
      <c r="A476" t="s">
        <v>1164</v>
      </c>
      <c r="B476" t="s">
        <v>1211</v>
      </c>
      <c r="F476">
        <f t="shared" ca="1" si="14"/>
        <v>473</v>
      </c>
      <c r="G476">
        <f t="shared" ca="1" si="15"/>
        <v>6</v>
      </c>
    </row>
    <row r="477" spans="1:7" x14ac:dyDescent="0.2">
      <c r="A477" t="s">
        <v>1164</v>
      </c>
      <c r="B477" t="s">
        <v>1258</v>
      </c>
      <c r="F477">
        <f t="shared" ca="1" si="14"/>
        <v>473</v>
      </c>
      <c r="G477">
        <f t="shared" ca="1" si="15"/>
        <v>6</v>
      </c>
    </row>
    <row r="478" spans="1:7" x14ac:dyDescent="0.2">
      <c r="A478" t="s">
        <v>1164</v>
      </c>
      <c r="B478" t="s">
        <v>1259</v>
      </c>
      <c r="F478">
        <f t="shared" ca="1" si="14"/>
        <v>473</v>
      </c>
      <c r="G478">
        <f t="shared" ca="1" si="15"/>
        <v>6</v>
      </c>
    </row>
    <row r="479" spans="1:7" x14ac:dyDescent="0.2">
      <c r="A479" t="s">
        <v>343</v>
      </c>
      <c r="B479" t="s">
        <v>870</v>
      </c>
      <c r="F479">
        <f t="shared" ca="1" si="14"/>
        <v>479</v>
      </c>
      <c r="G479">
        <f t="shared" ca="1" si="15"/>
        <v>2</v>
      </c>
    </row>
    <row r="480" spans="1:7" x14ac:dyDescent="0.2">
      <c r="A480" t="s">
        <v>343</v>
      </c>
      <c r="B480" t="s">
        <v>872</v>
      </c>
      <c r="F480">
        <f t="shared" ca="1" si="14"/>
        <v>479</v>
      </c>
      <c r="G480">
        <f t="shared" ca="1" si="15"/>
        <v>2</v>
      </c>
    </row>
    <row r="481" spans="1:7" x14ac:dyDescent="0.2">
      <c r="A481" t="s">
        <v>220</v>
      </c>
      <c r="B481" t="s">
        <v>220</v>
      </c>
      <c r="F481">
        <f t="shared" ca="1" si="14"/>
        <v>481</v>
      </c>
      <c r="G481">
        <f t="shared" ca="1" si="15"/>
        <v>1</v>
      </c>
    </row>
    <row r="482" spans="1:7" x14ac:dyDescent="0.2">
      <c r="A482" t="s">
        <v>344</v>
      </c>
      <c r="B482" t="s">
        <v>874</v>
      </c>
      <c r="F482">
        <f t="shared" ca="1" si="14"/>
        <v>482</v>
      </c>
      <c r="G482">
        <f t="shared" ca="1" si="15"/>
        <v>2</v>
      </c>
    </row>
    <row r="483" spans="1:7" x14ac:dyDescent="0.2">
      <c r="A483" t="s">
        <v>344</v>
      </c>
      <c r="B483" t="s">
        <v>875</v>
      </c>
      <c r="F483">
        <f t="shared" ca="1" si="14"/>
        <v>482</v>
      </c>
      <c r="G483">
        <f t="shared" ca="1" si="15"/>
        <v>2</v>
      </c>
    </row>
    <row r="484" spans="1:7" x14ac:dyDescent="0.2">
      <c r="A484" t="s">
        <v>345</v>
      </c>
      <c r="B484" t="s">
        <v>345</v>
      </c>
      <c r="F484">
        <f t="shared" ca="1" si="14"/>
        <v>484</v>
      </c>
      <c r="G484">
        <f t="shared" ca="1" si="15"/>
        <v>1</v>
      </c>
    </row>
    <row r="485" spans="1:7" x14ac:dyDescent="0.2">
      <c r="A485" t="s">
        <v>346</v>
      </c>
      <c r="B485" t="s">
        <v>876</v>
      </c>
      <c r="F485">
        <f t="shared" ca="1" si="14"/>
        <v>485</v>
      </c>
      <c r="G485">
        <f t="shared" ca="1" si="15"/>
        <v>5</v>
      </c>
    </row>
    <row r="486" spans="1:7" x14ac:dyDescent="0.2">
      <c r="A486" t="s">
        <v>346</v>
      </c>
      <c r="B486" t="s">
        <v>877</v>
      </c>
      <c r="F486">
        <f t="shared" ca="1" si="14"/>
        <v>485</v>
      </c>
      <c r="G486">
        <f t="shared" ca="1" si="15"/>
        <v>5</v>
      </c>
    </row>
    <row r="487" spans="1:7" x14ac:dyDescent="0.2">
      <c r="A487" t="s">
        <v>346</v>
      </c>
      <c r="B487" t="s">
        <v>878</v>
      </c>
      <c r="F487">
        <f t="shared" ca="1" si="14"/>
        <v>485</v>
      </c>
      <c r="G487">
        <f t="shared" ca="1" si="15"/>
        <v>5</v>
      </c>
    </row>
    <row r="488" spans="1:7" x14ac:dyDescent="0.2">
      <c r="A488" t="s">
        <v>346</v>
      </c>
      <c r="B488" t="s">
        <v>879</v>
      </c>
      <c r="F488">
        <f t="shared" ca="1" si="14"/>
        <v>485</v>
      </c>
      <c r="G488">
        <f t="shared" ca="1" si="15"/>
        <v>5</v>
      </c>
    </row>
    <row r="489" spans="1:7" x14ac:dyDescent="0.2">
      <c r="A489" t="s">
        <v>346</v>
      </c>
      <c r="B489" t="s">
        <v>585</v>
      </c>
      <c r="F489">
        <f t="shared" ca="1" si="14"/>
        <v>485</v>
      </c>
      <c r="G489">
        <f t="shared" ca="1" si="15"/>
        <v>5</v>
      </c>
    </row>
    <row r="490" spans="1:7" x14ac:dyDescent="0.2">
      <c r="A490" t="s">
        <v>347</v>
      </c>
      <c r="B490" t="s">
        <v>880</v>
      </c>
      <c r="F490">
        <f t="shared" ca="1" si="14"/>
        <v>490</v>
      </c>
      <c r="G490">
        <f t="shared" ca="1" si="15"/>
        <v>7</v>
      </c>
    </row>
    <row r="491" spans="1:7" x14ac:dyDescent="0.2">
      <c r="A491" t="s">
        <v>347</v>
      </c>
      <c r="B491" t="s">
        <v>280</v>
      </c>
      <c r="F491">
        <f t="shared" ca="1" si="14"/>
        <v>490</v>
      </c>
      <c r="G491">
        <f t="shared" ca="1" si="15"/>
        <v>7</v>
      </c>
    </row>
    <row r="492" spans="1:7" x14ac:dyDescent="0.2">
      <c r="A492" t="s">
        <v>347</v>
      </c>
      <c r="B492" t="s">
        <v>881</v>
      </c>
      <c r="F492">
        <f t="shared" ca="1" si="14"/>
        <v>490</v>
      </c>
      <c r="G492">
        <f t="shared" ca="1" si="15"/>
        <v>7</v>
      </c>
    </row>
    <row r="493" spans="1:7" x14ac:dyDescent="0.2">
      <c r="A493" t="s">
        <v>347</v>
      </c>
      <c r="B493" t="s">
        <v>882</v>
      </c>
      <c r="F493">
        <f t="shared" ca="1" si="14"/>
        <v>490</v>
      </c>
      <c r="G493">
        <f t="shared" ca="1" si="15"/>
        <v>7</v>
      </c>
    </row>
    <row r="494" spans="1:7" x14ac:dyDescent="0.2">
      <c r="A494" t="s">
        <v>347</v>
      </c>
      <c r="B494" t="s">
        <v>883</v>
      </c>
      <c r="F494">
        <f t="shared" ca="1" si="14"/>
        <v>490</v>
      </c>
      <c r="G494">
        <f t="shared" ca="1" si="15"/>
        <v>7</v>
      </c>
    </row>
    <row r="495" spans="1:7" x14ac:dyDescent="0.2">
      <c r="A495" t="s">
        <v>347</v>
      </c>
      <c r="B495" t="s">
        <v>1260</v>
      </c>
      <c r="F495">
        <f t="shared" ca="1" si="14"/>
        <v>490</v>
      </c>
      <c r="G495">
        <f t="shared" ca="1" si="15"/>
        <v>7</v>
      </c>
    </row>
    <row r="496" spans="1:7" x14ac:dyDescent="0.2">
      <c r="A496" t="s">
        <v>347</v>
      </c>
      <c r="B496" t="s">
        <v>884</v>
      </c>
      <c r="F496">
        <f t="shared" ca="1" si="14"/>
        <v>490</v>
      </c>
      <c r="G496">
        <f t="shared" ca="1" si="15"/>
        <v>7</v>
      </c>
    </row>
    <row r="497" spans="1:7" x14ac:dyDescent="0.2">
      <c r="A497" t="s">
        <v>873</v>
      </c>
      <c r="B497" t="s">
        <v>1261</v>
      </c>
      <c r="F497">
        <f t="shared" ca="1" si="14"/>
        <v>497</v>
      </c>
      <c r="G497">
        <f t="shared" ca="1" si="15"/>
        <v>3</v>
      </c>
    </row>
    <row r="498" spans="1:7" x14ac:dyDescent="0.2">
      <c r="A498" t="s">
        <v>873</v>
      </c>
      <c r="B498" t="s">
        <v>1262</v>
      </c>
      <c r="F498">
        <f t="shared" ca="1" si="14"/>
        <v>497</v>
      </c>
      <c r="G498">
        <f t="shared" ca="1" si="15"/>
        <v>3</v>
      </c>
    </row>
    <row r="499" spans="1:7" x14ac:dyDescent="0.2">
      <c r="A499" t="s">
        <v>873</v>
      </c>
      <c r="B499" t="s">
        <v>1263</v>
      </c>
      <c r="F499">
        <f t="shared" ca="1" si="14"/>
        <v>497</v>
      </c>
      <c r="G499">
        <f t="shared" ca="1" si="15"/>
        <v>3</v>
      </c>
    </row>
    <row r="500" spans="1:7" x14ac:dyDescent="0.2">
      <c r="A500" t="s">
        <v>348</v>
      </c>
      <c r="B500" t="s">
        <v>885</v>
      </c>
      <c r="F500">
        <f t="shared" ca="1" si="14"/>
        <v>500</v>
      </c>
      <c r="G500">
        <f t="shared" ca="1" si="15"/>
        <v>4</v>
      </c>
    </row>
    <row r="501" spans="1:7" x14ac:dyDescent="0.2">
      <c r="A501" t="s">
        <v>348</v>
      </c>
      <c r="B501" t="s">
        <v>886</v>
      </c>
      <c r="F501">
        <f t="shared" ca="1" si="14"/>
        <v>500</v>
      </c>
      <c r="G501">
        <f t="shared" ca="1" si="15"/>
        <v>4</v>
      </c>
    </row>
    <row r="502" spans="1:7" x14ac:dyDescent="0.2">
      <c r="A502" t="s">
        <v>348</v>
      </c>
      <c r="B502" t="s">
        <v>887</v>
      </c>
      <c r="F502">
        <f t="shared" ca="1" si="14"/>
        <v>500</v>
      </c>
      <c r="G502">
        <f t="shared" ca="1" si="15"/>
        <v>4</v>
      </c>
    </row>
    <row r="503" spans="1:7" x14ac:dyDescent="0.2">
      <c r="A503" t="s">
        <v>348</v>
      </c>
      <c r="B503" t="s">
        <v>863</v>
      </c>
      <c r="F503">
        <f t="shared" ca="1" si="14"/>
        <v>500</v>
      </c>
      <c r="G503">
        <f t="shared" ca="1" si="15"/>
        <v>4</v>
      </c>
    </row>
    <row r="504" spans="1:7" x14ac:dyDescent="0.2">
      <c r="A504" t="s">
        <v>349</v>
      </c>
      <c r="B504" t="s">
        <v>57</v>
      </c>
      <c r="F504">
        <f t="shared" ca="1" si="14"/>
        <v>504</v>
      </c>
      <c r="G504">
        <f t="shared" ca="1" si="15"/>
        <v>1</v>
      </c>
    </row>
    <row r="505" spans="1:7" x14ac:dyDescent="0.2">
      <c r="A505" t="s">
        <v>350</v>
      </c>
      <c r="B505" t="s">
        <v>888</v>
      </c>
      <c r="F505">
        <f t="shared" ca="1" si="14"/>
        <v>505</v>
      </c>
      <c r="G505">
        <f t="shared" ca="1" si="15"/>
        <v>4</v>
      </c>
    </row>
    <row r="506" spans="1:7" x14ac:dyDescent="0.2">
      <c r="A506" t="s">
        <v>350</v>
      </c>
      <c r="B506" t="s">
        <v>889</v>
      </c>
      <c r="F506">
        <f t="shared" ca="1" si="14"/>
        <v>505</v>
      </c>
      <c r="G506">
        <f t="shared" ca="1" si="15"/>
        <v>4</v>
      </c>
    </row>
    <row r="507" spans="1:7" x14ac:dyDescent="0.2">
      <c r="A507" t="s">
        <v>350</v>
      </c>
      <c r="B507" t="s">
        <v>890</v>
      </c>
      <c r="F507">
        <f t="shared" ca="1" si="14"/>
        <v>505</v>
      </c>
      <c r="G507">
        <f t="shared" ca="1" si="15"/>
        <v>4</v>
      </c>
    </row>
    <row r="508" spans="1:7" x14ac:dyDescent="0.2">
      <c r="A508" t="s">
        <v>350</v>
      </c>
      <c r="B508" t="s">
        <v>891</v>
      </c>
      <c r="F508">
        <f t="shared" ca="1" si="14"/>
        <v>505</v>
      </c>
      <c r="G508">
        <f t="shared" ca="1" si="15"/>
        <v>4</v>
      </c>
    </row>
    <row r="509" spans="1:7" x14ac:dyDescent="0.2">
      <c r="A509" t="s">
        <v>351</v>
      </c>
      <c r="B509" t="s">
        <v>716</v>
      </c>
      <c r="F509">
        <f t="shared" ca="1" si="14"/>
        <v>509</v>
      </c>
      <c r="G509">
        <f t="shared" ca="1" si="15"/>
        <v>8</v>
      </c>
    </row>
    <row r="510" spans="1:7" x14ac:dyDescent="0.2">
      <c r="A510" t="s">
        <v>351</v>
      </c>
      <c r="B510" t="s">
        <v>892</v>
      </c>
      <c r="F510">
        <f t="shared" ca="1" si="14"/>
        <v>509</v>
      </c>
      <c r="G510">
        <f t="shared" ca="1" si="15"/>
        <v>8</v>
      </c>
    </row>
    <row r="511" spans="1:7" x14ac:dyDescent="0.2">
      <c r="A511" t="s">
        <v>351</v>
      </c>
      <c r="B511" t="s">
        <v>893</v>
      </c>
      <c r="F511">
        <f t="shared" ca="1" si="14"/>
        <v>509</v>
      </c>
      <c r="G511">
        <f t="shared" ca="1" si="15"/>
        <v>8</v>
      </c>
    </row>
    <row r="512" spans="1:7" x14ac:dyDescent="0.2">
      <c r="A512" t="s">
        <v>351</v>
      </c>
      <c r="B512" t="s">
        <v>894</v>
      </c>
      <c r="F512">
        <f t="shared" ca="1" si="14"/>
        <v>509</v>
      </c>
      <c r="G512">
        <f t="shared" ca="1" si="15"/>
        <v>8</v>
      </c>
    </row>
    <row r="513" spans="1:7" x14ac:dyDescent="0.2">
      <c r="A513" t="s">
        <v>351</v>
      </c>
      <c r="B513" t="s">
        <v>895</v>
      </c>
      <c r="F513">
        <f t="shared" ca="1" si="14"/>
        <v>509</v>
      </c>
      <c r="G513">
        <f t="shared" ca="1" si="15"/>
        <v>8</v>
      </c>
    </row>
    <row r="514" spans="1:7" x14ac:dyDescent="0.2">
      <c r="A514" t="s">
        <v>351</v>
      </c>
      <c r="B514" t="s">
        <v>896</v>
      </c>
      <c r="F514">
        <f t="shared" ref="F514:F563" ca="1" si="16">IFERROR(MATCH(OFFSET($A$1,ROW()-1,0,1,1),A:A,0),"")</f>
        <v>509</v>
      </c>
      <c r="G514">
        <f t="shared" ref="G514:G563" ca="1" si="17">COUNTIF(A:A,OFFSET($A$1,ROW()-1,0))</f>
        <v>8</v>
      </c>
    </row>
    <row r="515" spans="1:7" x14ac:dyDescent="0.2">
      <c r="A515" t="s">
        <v>351</v>
      </c>
      <c r="B515" t="s">
        <v>725</v>
      </c>
      <c r="F515">
        <f t="shared" ca="1" si="16"/>
        <v>509</v>
      </c>
      <c r="G515">
        <f t="shared" ca="1" si="17"/>
        <v>8</v>
      </c>
    </row>
    <row r="516" spans="1:7" x14ac:dyDescent="0.2">
      <c r="A516" t="s">
        <v>351</v>
      </c>
      <c r="B516" t="s">
        <v>897</v>
      </c>
      <c r="F516">
        <f t="shared" ca="1" si="16"/>
        <v>509</v>
      </c>
      <c r="G516">
        <f t="shared" ca="1" si="17"/>
        <v>8</v>
      </c>
    </row>
    <row r="517" spans="1:7" x14ac:dyDescent="0.2">
      <c r="A517" t="s">
        <v>352</v>
      </c>
      <c r="B517" t="s">
        <v>1264</v>
      </c>
      <c r="F517">
        <f t="shared" ca="1" si="16"/>
        <v>517</v>
      </c>
      <c r="G517">
        <f t="shared" ca="1" si="17"/>
        <v>2</v>
      </c>
    </row>
    <row r="518" spans="1:7" x14ac:dyDescent="0.2">
      <c r="A518" t="s">
        <v>352</v>
      </c>
      <c r="B518" t="s">
        <v>898</v>
      </c>
      <c r="F518">
        <f t="shared" ca="1" si="16"/>
        <v>517</v>
      </c>
      <c r="G518">
        <f t="shared" ca="1" si="17"/>
        <v>2</v>
      </c>
    </row>
    <row r="519" spans="1:7" x14ac:dyDescent="0.2">
      <c r="A519" t="s">
        <v>1265</v>
      </c>
      <c r="B519" t="s">
        <v>1265</v>
      </c>
      <c r="F519">
        <f t="shared" ca="1" si="16"/>
        <v>519</v>
      </c>
      <c r="G519">
        <f t="shared" ca="1" si="17"/>
        <v>1</v>
      </c>
    </row>
    <row r="520" spans="1:7" x14ac:dyDescent="0.2">
      <c r="A520" t="s">
        <v>237</v>
      </c>
      <c r="B520" t="s">
        <v>237</v>
      </c>
      <c r="F520">
        <f t="shared" ca="1" si="16"/>
        <v>520</v>
      </c>
      <c r="G520">
        <f t="shared" ca="1" si="17"/>
        <v>1</v>
      </c>
    </row>
    <row r="521" spans="1:7" x14ac:dyDescent="0.2">
      <c r="A521" t="s">
        <v>353</v>
      </c>
      <c r="B521" t="s">
        <v>1266</v>
      </c>
      <c r="F521">
        <f t="shared" ca="1" si="16"/>
        <v>521</v>
      </c>
      <c r="G521">
        <f t="shared" ca="1" si="17"/>
        <v>4</v>
      </c>
    </row>
    <row r="522" spans="1:7" x14ac:dyDescent="0.2">
      <c r="A522" t="s">
        <v>353</v>
      </c>
      <c r="B522" t="s">
        <v>1216</v>
      </c>
      <c r="F522">
        <f t="shared" ca="1" si="16"/>
        <v>521</v>
      </c>
      <c r="G522">
        <f t="shared" ca="1" si="17"/>
        <v>4</v>
      </c>
    </row>
    <row r="523" spans="1:7" x14ac:dyDescent="0.2">
      <c r="A523" t="s">
        <v>353</v>
      </c>
      <c r="B523" t="s">
        <v>353</v>
      </c>
      <c r="F523">
        <f t="shared" ca="1" si="16"/>
        <v>521</v>
      </c>
      <c r="G523">
        <f t="shared" ca="1" si="17"/>
        <v>4</v>
      </c>
    </row>
    <row r="524" spans="1:7" x14ac:dyDescent="0.2">
      <c r="A524" t="s">
        <v>353</v>
      </c>
      <c r="B524" t="s">
        <v>1267</v>
      </c>
      <c r="F524">
        <f t="shared" ca="1" si="16"/>
        <v>521</v>
      </c>
      <c r="G524">
        <f t="shared" ca="1" si="17"/>
        <v>4</v>
      </c>
    </row>
    <row r="525" spans="1:7" x14ac:dyDescent="0.2">
      <c r="A525" t="s">
        <v>354</v>
      </c>
      <c r="B525" t="s">
        <v>899</v>
      </c>
      <c r="F525">
        <f t="shared" ca="1" si="16"/>
        <v>525</v>
      </c>
      <c r="G525">
        <f t="shared" ca="1" si="17"/>
        <v>21</v>
      </c>
    </row>
    <row r="526" spans="1:7" x14ac:dyDescent="0.2">
      <c r="A526" t="s">
        <v>354</v>
      </c>
      <c r="B526" t="s">
        <v>900</v>
      </c>
      <c r="F526">
        <f t="shared" ca="1" si="16"/>
        <v>525</v>
      </c>
      <c r="G526">
        <f t="shared" ca="1" si="17"/>
        <v>21</v>
      </c>
    </row>
    <row r="527" spans="1:7" x14ac:dyDescent="0.2">
      <c r="A527" t="s">
        <v>354</v>
      </c>
      <c r="B527" t="s">
        <v>901</v>
      </c>
      <c r="F527">
        <f t="shared" ca="1" si="16"/>
        <v>525</v>
      </c>
      <c r="G527">
        <f t="shared" ca="1" si="17"/>
        <v>21</v>
      </c>
    </row>
    <row r="528" spans="1:7" x14ac:dyDescent="0.2">
      <c r="A528" t="s">
        <v>354</v>
      </c>
      <c r="B528" t="s">
        <v>902</v>
      </c>
      <c r="F528">
        <f t="shared" ca="1" si="16"/>
        <v>525</v>
      </c>
      <c r="G528">
        <f t="shared" ca="1" si="17"/>
        <v>21</v>
      </c>
    </row>
    <row r="529" spans="1:7" x14ac:dyDescent="0.2">
      <c r="A529" t="s">
        <v>354</v>
      </c>
      <c r="B529" t="s">
        <v>595</v>
      </c>
      <c r="F529">
        <f t="shared" ca="1" si="16"/>
        <v>525</v>
      </c>
      <c r="G529">
        <f t="shared" ca="1" si="17"/>
        <v>21</v>
      </c>
    </row>
    <row r="530" spans="1:7" x14ac:dyDescent="0.2">
      <c r="A530" t="s">
        <v>354</v>
      </c>
      <c r="B530" t="s">
        <v>903</v>
      </c>
      <c r="F530">
        <f t="shared" ca="1" si="16"/>
        <v>525</v>
      </c>
      <c r="G530">
        <f t="shared" ca="1" si="17"/>
        <v>21</v>
      </c>
    </row>
    <row r="531" spans="1:7" x14ac:dyDescent="0.2">
      <c r="A531" t="s">
        <v>354</v>
      </c>
      <c r="B531" t="s">
        <v>904</v>
      </c>
      <c r="F531">
        <f t="shared" ca="1" si="16"/>
        <v>525</v>
      </c>
      <c r="G531">
        <f t="shared" ca="1" si="17"/>
        <v>21</v>
      </c>
    </row>
    <row r="532" spans="1:7" x14ac:dyDescent="0.2">
      <c r="A532" t="s">
        <v>354</v>
      </c>
      <c r="B532" t="s">
        <v>905</v>
      </c>
      <c r="F532">
        <f t="shared" ca="1" si="16"/>
        <v>525</v>
      </c>
      <c r="G532">
        <f t="shared" ca="1" si="17"/>
        <v>21</v>
      </c>
    </row>
    <row r="533" spans="1:7" x14ac:dyDescent="0.2">
      <c r="A533" t="s">
        <v>354</v>
      </c>
      <c r="B533" t="s">
        <v>906</v>
      </c>
      <c r="F533">
        <f t="shared" ca="1" si="16"/>
        <v>525</v>
      </c>
      <c r="G533">
        <f t="shared" ca="1" si="17"/>
        <v>21</v>
      </c>
    </row>
    <row r="534" spans="1:7" x14ac:dyDescent="0.2">
      <c r="A534" t="s">
        <v>354</v>
      </c>
      <c r="B534" t="s">
        <v>907</v>
      </c>
      <c r="F534">
        <f t="shared" ca="1" si="16"/>
        <v>525</v>
      </c>
      <c r="G534">
        <f t="shared" ca="1" si="17"/>
        <v>21</v>
      </c>
    </row>
    <row r="535" spans="1:7" x14ac:dyDescent="0.2">
      <c r="A535" t="s">
        <v>354</v>
      </c>
      <c r="B535" t="s">
        <v>908</v>
      </c>
      <c r="F535">
        <f t="shared" ca="1" si="16"/>
        <v>525</v>
      </c>
      <c r="G535">
        <f t="shared" ca="1" si="17"/>
        <v>21</v>
      </c>
    </row>
    <row r="536" spans="1:7" x14ac:dyDescent="0.2">
      <c r="A536" t="s">
        <v>354</v>
      </c>
      <c r="B536" t="s">
        <v>909</v>
      </c>
      <c r="F536">
        <f t="shared" ca="1" si="16"/>
        <v>525</v>
      </c>
      <c r="G536">
        <f t="shared" ca="1" si="17"/>
        <v>21</v>
      </c>
    </row>
    <row r="537" spans="1:7" x14ac:dyDescent="0.2">
      <c r="A537" t="s">
        <v>354</v>
      </c>
      <c r="B537" t="s">
        <v>910</v>
      </c>
      <c r="F537">
        <f t="shared" ca="1" si="16"/>
        <v>525</v>
      </c>
      <c r="G537">
        <f t="shared" ca="1" si="17"/>
        <v>21</v>
      </c>
    </row>
    <row r="538" spans="1:7" x14ac:dyDescent="0.2">
      <c r="A538" t="s">
        <v>354</v>
      </c>
      <c r="B538" t="s">
        <v>911</v>
      </c>
      <c r="F538">
        <f t="shared" ca="1" si="16"/>
        <v>525</v>
      </c>
      <c r="G538">
        <f t="shared" ca="1" si="17"/>
        <v>21</v>
      </c>
    </row>
    <row r="539" spans="1:7" x14ac:dyDescent="0.2">
      <c r="A539" t="s">
        <v>354</v>
      </c>
      <c r="B539" t="s">
        <v>912</v>
      </c>
      <c r="F539">
        <f t="shared" ca="1" si="16"/>
        <v>525</v>
      </c>
      <c r="G539">
        <f t="shared" ca="1" si="17"/>
        <v>21</v>
      </c>
    </row>
    <row r="540" spans="1:7" x14ac:dyDescent="0.2">
      <c r="A540" t="s">
        <v>354</v>
      </c>
      <c r="B540" t="s">
        <v>913</v>
      </c>
      <c r="F540">
        <f t="shared" ca="1" si="16"/>
        <v>525</v>
      </c>
      <c r="G540">
        <f t="shared" ca="1" si="17"/>
        <v>21</v>
      </c>
    </row>
    <row r="541" spans="1:7" x14ac:dyDescent="0.2">
      <c r="A541" t="s">
        <v>354</v>
      </c>
      <c r="B541" t="s">
        <v>914</v>
      </c>
      <c r="F541">
        <f t="shared" ca="1" si="16"/>
        <v>525</v>
      </c>
      <c r="G541">
        <f t="shared" ca="1" si="17"/>
        <v>21</v>
      </c>
    </row>
    <row r="542" spans="1:7" x14ac:dyDescent="0.2">
      <c r="A542" t="s">
        <v>354</v>
      </c>
      <c r="B542" t="s">
        <v>915</v>
      </c>
      <c r="F542">
        <f t="shared" ca="1" si="16"/>
        <v>525</v>
      </c>
      <c r="G542">
        <f t="shared" ca="1" si="17"/>
        <v>21</v>
      </c>
    </row>
    <row r="543" spans="1:7" x14ac:dyDescent="0.2">
      <c r="A543" t="s">
        <v>354</v>
      </c>
      <c r="B543" t="s">
        <v>916</v>
      </c>
      <c r="F543">
        <f t="shared" ca="1" si="16"/>
        <v>525</v>
      </c>
      <c r="G543">
        <f t="shared" ca="1" si="17"/>
        <v>21</v>
      </c>
    </row>
    <row r="544" spans="1:7" x14ac:dyDescent="0.2">
      <c r="A544" t="s">
        <v>354</v>
      </c>
      <c r="B544" t="s">
        <v>917</v>
      </c>
      <c r="F544">
        <f t="shared" ca="1" si="16"/>
        <v>525</v>
      </c>
      <c r="G544">
        <f t="shared" ca="1" si="17"/>
        <v>21</v>
      </c>
    </row>
    <row r="545" spans="1:7" x14ac:dyDescent="0.2">
      <c r="A545" t="s">
        <v>354</v>
      </c>
      <c r="B545" t="s">
        <v>918</v>
      </c>
      <c r="F545">
        <f t="shared" ca="1" si="16"/>
        <v>525</v>
      </c>
      <c r="G545">
        <f t="shared" ca="1" si="17"/>
        <v>21</v>
      </c>
    </row>
    <row r="546" spans="1:7" x14ac:dyDescent="0.2">
      <c r="A546" t="s">
        <v>355</v>
      </c>
      <c r="B546" t="s">
        <v>919</v>
      </c>
      <c r="F546">
        <f t="shared" ca="1" si="16"/>
        <v>546</v>
      </c>
      <c r="G546">
        <f t="shared" ca="1" si="17"/>
        <v>2</v>
      </c>
    </row>
    <row r="547" spans="1:7" x14ac:dyDescent="0.2">
      <c r="A547" t="s">
        <v>355</v>
      </c>
      <c r="B547" t="s">
        <v>920</v>
      </c>
      <c r="F547">
        <f t="shared" ca="1" si="16"/>
        <v>546</v>
      </c>
      <c r="G547">
        <f t="shared" ca="1" si="17"/>
        <v>2</v>
      </c>
    </row>
    <row r="548" spans="1:7" x14ac:dyDescent="0.2">
      <c r="F548" t="str">
        <f t="shared" ca="1" si="16"/>
        <v/>
      </c>
      <c r="G548">
        <f t="shared" ca="1" si="17"/>
        <v>0</v>
      </c>
    </row>
    <row r="549" spans="1:7" x14ac:dyDescent="0.2">
      <c r="F549" t="str">
        <f t="shared" ca="1" si="16"/>
        <v/>
      </c>
      <c r="G549">
        <f t="shared" ca="1" si="17"/>
        <v>0</v>
      </c>
    </row>
    <row r="550" spans="1:7" x14ac:dyDescent="0.2">
      <c r="F550" t="str">
        <f t="shared" ca="1" si="16"/>
        <v/>
      </c>
      <c r="G550">
        <f t="shared" ca="1" si="17"/>
        <v>0</v>
      </c>
    </row>
    <row r="551" spans="1:7" x14ac:dyDescent="0.2">
      <c r="F551" t="str">
        <f t="shared" ca="1" si="16"/>
        <v/>
      </c>
      <c r="G551">
        <f t="shared" ca="1" si="17"/>
        <v>0</v>
      </c>
    </row>
    <row r="552" spans="1:7" x14ac:dyDescent="0.2">
      <c r="F552" t="str">
        <f t="shared" ca="1" si="16"/>
        <v/>
      </c>
      <c r="G552">
        <f t="shared" ca="1" si="17"/>
        <v>0</v>
      </c>
    </row>
    <row r="553" spans="1:7" x14ac:dyDescent="0.2">
      <c r="F553" t="str">
        <f t="shared" ca="1" si="16"/>
        <v/>
      </c>
      <c r="G553">
        <f t="shared" ca="1" si="17"/>
        <v>0</v>
      </c>
    </row>
    <row r="554" spans="1:7" x14ac:dyDescent="0.2">
      <c r="F554" t="str">
        <f t="shared" ca="1" si="16"/>
        <v/>
      </c>
      <c r="G554">
        <f t="shared" ca="1" si="17"/>
        <v>0</v>
      </c>
    </row>
    <row r="555" spans="1:7" x14ac:dyDescent="0.2">
      <c r="F555" t="str">
        <f t="shared" ca="1" si="16"/>
        <v/>
      </c>
      <c r="G555">
        <f t="shared" ca="1" si="17"/>
        <v>0</v>
      </c>
    </row>
    <row r="556" spans="1:7" x14ac:dyDescent="0.2">
      <c r="F556" t="str">
        <f t="shared" ca="1" si="16"/>
        <v/>
      </c>
      <c r="G556">
        <f t="shared" ca="1" si="17"/>
        <v>0</v>
      </c>
    </row>
    <row r="557" spans="1:7" x14ac:dyDescent="0.2">
      <c r="F557" t="str">
        <f t="shared" ca="1" si="16"/>
        <v/>
      </c>
      <c r="G557">
        <f t="shared" ca="1" si="17"/>
        <v>0</v>
      </c>
    </row>
    <row r="558" spans="1:7" x14ac:dyDescent="0.2">
      <c r="F558" t="str">
        <f t="shared" ca="1" si="16"/>
        <v/>
      </c>
      <c r="G558">
        <f t="shared" ca="1" si="17"/>
        <v>0</v>
      </c>
    </row>
    <row r="559" spans="1:7" x14ac:dyDescent="0.2">
      <c r="F559" t="str">
        <f t="shared" ca="1" si="16"/>
        <v/>
      </c>
      <c r="G559">
        <f t="shared" ca="1" si="17"/>
        <v>0</v>
      </c>
    </row>
    <row r="560" spans="1:7" x14ac:dyDescent="0.2">
      <c r="F560" t="str">
        <f t="shared" ca="1" si="16"/>
        <v/>
      </c>
      <c r="G560">
        <f t="shared" ca="1" si="17"/>
        <v>0</v>
      </c>
    </row>
    <row r="561" spans="6:7" x14ac:dyDescent="0.2">
      <c r="F561" t="str">
        <f t="shared" ca="1" si="16"/>
        <v/>
      </c>
      <c r="G561">
        <f t="shared" ca="1" si="17"/>
        <v>0</v>
      </c>
    </row>
    <row r="562" spans="6:7" x14ac:dyDescent="0.2">
      <c r="F562" t="str">
        <f t="shared" ca="1" si="16"/>
        <v/>
      </c>
      <c r="G562">
        <f t="shared" ca="1" si="17"/>
        <v>0</v>
      </c>
    </row>
    <row r="563" spans="6:7" x14ac:dyDescent="0.2">
      <c r="F563" t="str">
        <f t="shared" ca="1" si="16"/>
        <v/>
      </c>
      <c r="G563">
        <f t="shared" ca="1" si="17"/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CD7DA-37DC-4416-A575-F42C7B899D57}">
  <sheetPr codeName="Sht_AHType"/>
  <dimension ref="A1:G365"/>
  <sheetViews>
    <sheetView topLeftCell="A266" workbookViewId="0">
      <selection activeCell="G2" sqref="G2"/>
    </sheetView>
  </sheetViews>
  <sheetFormatPr defaultRowHeight="14.25" x14ac:dyDescent="0.2"/>
  <cols>
    <col min="1" max="1" width="38" bestFit="1" customWidth="1"/>
    <col min="2" max="2" width="30.75" bestFit="1" customWidth="1"/>
  </cols>
  <sheetData>
    <row r="1" spans="1:7" x14ac:dyDescent="0.2">
      <c r="A1" t="s">
        <v>360</v>
      </c>
      <c r="B1" t="s">
        <v>248</v>
      </c>
    </row>
    <row r="2" spans="1:7" x14ac:dyDescent="0.2">
      <c r="A2" t="s">
        <v>1205</v>
      </c>
      <c r="B2" t="s">
        <v>338</v>
      </c>
      <c r="F2">
        <f t="shared" ref="F2:F65" ca="1" si="0">IFERROR(MATCH(OFFSET($A$1,ROW()-1,0,1,1),A:A,0),"")</f>
        <v>2</v>
      </c>
      <c r="G2">
        <f t="shared" ref="G2:G65" ca="1" si="1">COUNTIF(A:A,OFFSET($A$1,ROW()-1,0))</f>
        <v>1</v>
      </c>
    </row>
    <row r="3" spans="1:7" x14ac:dyDescent="0.2">
      <c r="A3" t="s">
        <v>424</v>
      </c>
      <c r="B3" t="s">
        <v>294</v>
      </c>
      <c r="F3">
        <f t="shared" ca="1" si="0"/>
        <v>3</v>
      </c>
      <c r="G3">
        <f t="shared" ca="1" si="1"/>
        <v>1</v>
      </c>
    </row>
    <row r="4" spans="1:7" x14ac:dyDescent="0.2">
      <c r="A4" t="s">
        <v>423</v>
      </c>
      <c r="B4" t="s">
        <v>293</v>
      </c>
      <c r="F4">
        <f t="shared" ca="1" si="0"/>
        <v>4</v>
      </c>
      <c r="G4">
        <f t="shared" ca="1" si="1"/>
        <v>2</v>
      </c>
    </row>
    <row r="5" spans="1:7" x14ac:dyDescent="0.2">
      <c r="A5" t="s">
        <v>423</v>
      </c>
      <c r="B5" t="s">
        <v>305</v>
      </c>
      <c r="F5">
        <f t="shared" ca="1" si="0"/>
        <v>4</v>
      </c>
      <c r="G5">
        <f t="shared" ca="1" si="1"/>
        <v>2</v>
      </c>
    </row>
    <row r="6" spans="1:7" x14ac:dyDescent="0.2">
      <c r="A6" t="s">
        <v>426</v>
      </c>
      <c r="B6" t="s">
        <v>298</v>
      </c>
      <c r="F6">
        <f t="shared" ca="1" si="0"/>
        <v>6</v>
      </c>
      <c r="G6">
        <f t="shared" ca="1" si="1"/>
        <v>2</v>
      </c>
    </row>
    <row r="7" spans="1:7" x14ac:dyDescent="0.2">
      <c r="A7" t="s">
        <v>426</v>
      </c>
      <c r="B7" t="s">
        <v>302</v>
      </c>
      <c r="F7">
        <f t="shared" ca="1" si="0"/>
        <v>6</v>
      </c>
      <c r="G7">
        <f t="shared" ca="1" si="1"/>
        <v>2</v>
      </c>
    </row>
    <row r="8" spans="1:7" x14ac:dyDescent="0.2">
      <c r="A8" t="s">
        <v>372</v>
      </c>
      <c r="B8" t="s">
        <v>259</v>
      </c>
      <c r="F8">
        <f t="shared" ca="1" si="0"/>
        <v>8</v>
      </c>
      <c r="G8">
        <f t="shared" ca="1" si="1"/>
        <v>2</v>
      </c>
    </row>
    <row r="9" spans="1:7" x14ac:dyDescent="0.2">
      <c r="A9" t="s">
        <v>372</v>
      </c>
      <c r="B9" t="s">
        <v>295</v>
      </c>
      <c r="F9">
        <f t="shared" ca="1" si="0"/>
        <v>8</v>
      </c>
      <c r="G9">
        <f t="shared" ca="1" si="1"/>
        <v>2</v>
      </c>
    </row>
    <row r="10" spans="1:7" x14ac:dyDescent="0.2">
      <c r="A10" t="s">
        <v>272</v>
      </c>
      <c r="B10" t="s">
        <v>272</v>
      </c>
      <c r="F10">
        <f t="shared" ca="1" si="0"/>
        <v>10</v>
      </c>
      <c r="G10">
        <f t="shared" ca="1" si="1"/>
        <v>1</v>
      </c>
    </row>
    <row r="11" spans="1:7" x14ac:dyDescent="0.2">
      <c r="A11" t="s">
        <v>51</v>
      </c>
      <c r="B11" t="s">
        <v>280</v>
      </c>
      <c r="F11">
        <f t="shared" ca="1" si="0"/>
        <v>11</v>
      </c>
      <c r="G11">
        <f t="shared" ca="1" si="1"/>
        <v>3</v>
      </c>
    </row>
    <row r="12" spans="1:7" x14ac:dyDescent="0.2">
      <c r="A12" t="s">
        <v>51</v>
      </c>
      <c r="B12" t="s">
        <v>292</v>
      </c>
      <c r="F12">
        <f t="shared" ca="1" si="0"/>
        <v>11</v>
      </c>
      <c r="G12">
        <f t="shared" ca="1" si="1"/>
        <v>3</v>
      </c>
    </row>
    <row r="13" spans="1:7" x14ac:dyDescent="0.2">
      <c r="A13" t="s">
        <v>51</v>
      </c>
      <c r="B13" t="s">
        <v>342</v>
      </c>
      <c r="F13">
        <f t="shared" ca="1" si="0"/>
        <v>11</v>
      </c>
      <c r="G13">
        <f t="shared" ca="1" si="1"/>
        <v>3</v>
      </c>
    </row>
    <row r="14" spans="1:7" x14ac:dyDescent="0.2">
      <c r="A14" t="s">
        <v>425</v>
      </c>
      <c r="B14" t="s">
        <v>296</v>
      </c>
      <c r="F14">
        <f t="shared" ca="1" si="0"/>
        <v>14</v>
      </c>
      <c r="G14">
        <f t="shared" ca="1" si="1"/>
        <v>1</v>
      </c>
    </row>
    <row r="15" spans="1:7" x14ac:dyDescent="0.2">
      <c r="A15" t="s">
        <v>258</v>
      </c>
      <c r="B15" t="s">
        <v>256</v>
      </c>
      <c r="F15">
        <f t="shared" ca="1" si="0"/>
        <v>15</v>
      </c>
      <c r="G15">
        <f t="shared" ca="1" si="1"/>
        <v>1</v>
      </c>
    </row>
    <row r="16" spans="1:7" x14ac:dyDescent="0.2">
      <c r="A16" t="s">
        <v>395</v>
      </c>
      <c r="B16" t="s">
        <v>274</v>
      </c>
      <c r="F16">
        <f t="shared" ca="1" si="0"/>
        <v>16</v>
      </c>
      <c r="G16">
        <f t="shared" ca="1" si="1"/>
        <v>1</v>
      </c>
    </row>
    <row r="17" spans="1:7" x14ac:dyDescent="0.2">
      <c r="A17" t="s">
        <v>429</v>
      </c>
      <c r="B17" t="s">
        <v>301</v>
      </c>
      <c r="F17">
        <f t="shared" ca="1" si="0"/>
        <v>17</v>
      </c>
      <c r="G17">
        <f t="shared" ca="1" si="1"/>
        <v>1</v>
      </c>
    </row>
    <row r="18" spans="1:7" x14ac:dyDescent="0.2">
      <c r="A18" t="s">
        <v>396</v>
      </c>
      <c r="B18" t="s">
        <v>274</v>
      </c>
      <c r="F18">
        <f t="shared" ca="1" si="0"/>
        <v>18</v>
      </c>
      <c r="G18">
        <f t="shared" ca="1" si="1"/>
        <v>1</v>
      </c>
    </row>
    <row r="19" spans="1:7" x14ac:dyDescent="0.2">
      <c r="A19" t="s">
        <v>398</v>
      </c>
      <c r="B19" t="s">
        <v>274</v>
      </c>
      <c r="F19">
        <f t="shared" ca="1" si="0"/>
        <v>19</v>
      </c>
      <c r="G19">
        <f t="shared" ca="1" si="1"/>
        <v>1</v>
      </c>
    </row>
    <row r="20" spans="1:7" x14ac:dyDescent="0.2">
      <c r="A20" t="s">
        <v>75</v>
      </c>
      <c r="B20" t="s">
        <v>121</v>
      </c>
      <c r="F20">
        <f t="shared" ca="1" si="0"/>
        <v>20</v>
      </c>
      <c r="G20">
        <f t="shared" ca="1" si="1"/>
        <v>1</v>
      </c>
    </row>
    <row r="21" spans="1:7" x14ac:dyDescent="0.2">
      <c r="A21" t="s">
        <v>422</v>
      </c>
      <c r="B21" t="s">
        <v>271</v>
      </c>
      <c r="F21">
        <f t="shared" ca="1" si="0"/>
        <v>21</v>
      </c>
      <c r="G21">
        <f t="shared" ca="1" si="1"/>
        <v>7</v>
      </c>
    </row>
    <row r="22" spans="1:7" x14ac:dyDescent="0.2">
      <c r="A22" t="s">
        <v>422</v>
      </c>
      <c r="B22" t="s">
        <v>292</v>
      </c>
      <c r="F22">
        <f t="shared" ca="1" si="0"/>
        <v>21</v>
      </c>
      <c r="G22">
        <f t="shared" ca="1" si="1"/>
        <v>7</v>
      </c>
    </row>
    <row r="23" spans="1:7" x14ac:dyDescent="0.2">
      <c r="A23" t="s">
        <v>422</v>
      </c>
      <c r="B23" t="s">
        <v>322</v>
      </c>
      <c r="F23">
        <f t="shared" ca="1" si="0"/>
        <v>21</v>
      </c>
      <c r="G23">
        <f t="shared" ca="1" si="1"/>
        <v>7</v>
      </c>
    </row>
    <row r="24" spans="1:7" x14ac:dyDescent="0.2">
      <c r="A24" t="s">
        <v>422</v>
      </c>
      <c r="B24" t="s">
        <v>779</v>
      </c>
      <c r="F24">
        <f t="shared" ca="1" si="0"/>
        <v>21</v>
      </c>
      <c r="G24">
        <f t="shared" ca="1" si="1"/>
        <v>7</v>
      </c>
    </row>
    <row r="25" spans="1:7" x14ac:dyDescent="0.2">
      <c r="A25" t="s">
        <v>422</v>
      </c>
      <c r="B25" t="s">
        <v>334</v>
      </c>
      <c r="F25">
        <f t="shared" ca="1" si="0"/>
        <v>21</v>
      </c>
      <c r="G25">
        <f t="shared" ca="1" si="1"/>
        <v>7</v>
      </c>
    </row>
    <row r="26" spans="1:7" x14ac:dyDescent="0.2">
      <c r="A26" t="s">
        <v>422</v>
      </c>
      <c r="B26" t="s">
        <v>1158</v>
      </c>
      <c r="F26">
        <f t="shared" ca="1" si="0"/>
        <v>21</v>
      </c>
      <c r="G26">
        <f t="shared" ca="1" si="1"/>
        <v>7</v>
      </c>
    </row>
    <row r="27" spans="1:7" x14ac:dyDescent="0.2">
      <c r="A27" t="s">
        <v>422</v>
      </c>
      <c r="B27" t="s">
        <v>346</v>
      </c>
      <c r="F27">
        <f t="shared" ca="1" si="0"/>
        <v>21</v>
      </c>
      <c r="G27">
        <f t="shared" ca="1" si="1"/>
        <v>7</v>
      </c>
    </row>
    <row r="28" spans="1:7" x14ac:dyDescent="0.2">
      <c r="A28" t="s">
        <v>409</v>
      </c>
      <c r="B28" t="s">
        <v>283</v>
      </c>
      <c r="F28">
        <f t="shared" ca="1" si="0"/>
        <v>28</v>
      </c>
      <c r="G28">
        <f t="shared" ca="1" si="1"/>
        <v>3</v>
      </c>
    </row>
    <row r="29" spans="1:7" x14ac:dyDescent="0.2">
      <c r="A29" t="s">
        <v>409</v>
      </c>
      <c r="B29" t="s">
        <v>285</v>
      </c>
      <c r="F29">
        <f t="shared" ca="1" si="0"/>
        <v>28</v>
      </c>
      <c r="G29">
        <f t="shared" ca="1" si="1"/>
        <v>3</v>
      </c>
    </row>
    <row r="30" spans="1:7" x14ac:dyDescent="0.2">
      <c r="A30" t="s">
        <v>409</v>
      </c>
      <c r="B30" t="s">
        <v>297</v>
      </c>
      <c r="F30">
        <f t="shared" ca="1" si="0"/>
        <v>28</v>
      </c>
      <c r="G30">
        <f t="shared" ca="1" si="1"/>
        <v>3</v>
      </c>
    </row>
    <row r="31" spans="1:7" x14ac:dyDescent="0.2">
      <c r="A31" t="s">
        <v>394</v>
      </c>
      <c r="B31" t="s">
        <v>274</v>
      </c>
      <c r="F31">
        <f t="shared" ca="1" si="0"/>
        <v>31</v>
      </c>
      <c r="G31">
        <f t="shared" ca="1" si="1"/>
        <v>1</v>
      </c>
    </row>
    <row r="32" spans="1:7" x14ac:dyDescent="0.2">
      <c r="A32" t="s">
        <v>439</v>
      </c>
      <c r="B32" t="s">
        <v>311</v>
      </c>
      <c r="F32">
        <f t="shared" ca="1" si="0"/>
        <v>32</v>
      </c>
      <c r="G32">
        <f t="shared" ca="1" si="1"/>
        <v>2</v>
      </c>
    </row>
    <row r="33" spans="1:7" x14ac:dyDescent="0.2">
      <c r="A33" t="s">
        <v>439</v>
      </c>
      <c r="B33" t="s">
        <v>317</v>
      </c>
      <c r="F33">
        <f t="shared" ca="1" si="0"/>
        <v>32</v>
      </c>
      <c r="G33">
        <f t="shared" ca="1" si="1"/>
        <v>2</v>
      </c>
    </row>
    <row r="34" spans="1:7" x14ac:dyDescent="0.2">
      <c r="A34" t="s">
        <v>375</v>
      </c>
      <c r="B34" t="s">
        <v>262</v>
      </c>
      <c r="F34">
        <f t="shared" ca="1" si="0"/>
        <v>34</v>
      </c>
      <c r="G34">
        <f t="shared" ca="1" si="1"/>
        <v>8</v>
      </c>
    </row>
    <row r="35" spans="1:7" x14ac:dyDescent="0.2">
      <c r="A35" t="s">
        <v>375</v>
      </c>
      <c r="B35" t="s">
        <v>267</v>
      </c>
      <c r="F35">
        <f t="shared" ca="1" si="0"/>
        <v>34</v>
      </c>
      <c r="G35">
        <f t="shared" ca="1" si="1"/>
        <v>8</v>
      </c>
    </row>
    <row r="36" spans="1:7" x14ac:dyDescent="0.2">
      <c r="A36" t="s">
        <v>375</v>
      </c>
      <c r="B36" t="s">
        <v>271</v>
      </c>
      <c r="F36">
        <f t="shared" ca="1" si="0"/>
        <v>34</v>
      </c>
      <c r="G36">
        <f t="shared" ca="1" si="1"/>
        <v>8</v>
      </c>
    </row>
    <row r="37" spans="1:7" x14ac:dyDescent="0.2">
      <c r="A37" t="s">
        <v>375</v>
      </c>
      <c r="B37" t="s">
        <v>290</v>
      </c>
      <c r="F37">
        <f t="shared" ca="1" si="0"/>
        <v>34</v>
      </c>
      <c r="G37">
        <f t="shared" ca="1" si="1"/>
        <v>8</v>
      </c>
    </row>
    <row r="38" spans="1:7" x14ac:dyDescent="0.2">
      <c r="A38" t="s">
        <v>375</v>
      </c>
      <c r="B38" t="s">
        <v>303</v>
      </c>
      <c r="F38">
        <f t="shared" ca="1" si="0"/>
        <v>34</v>
      </c>
      <c r="G38">
        <f t="shared" ca="1" si="1"/>
        <v>8</v>
      </c>
    </row>
    <row r="39" spans="1:7" x14ac:dyDescent="0.2">
      <c r="A39" t="s">
        <v>375</v>
      </c>
      <c r="B39" t="s">
        <v>332</v>
      </c>
      <c r="F39">
        <f t="shared" ca="1" si="0"/>
        <v>34</v>
      </c>
      <c r="G39">
        <f t="shared" ca="1" si="1"/>
        <v>8</v>
      </c>
    </row>
    <row r="40" spans="1:7" x14ac:dyDescent="0.2">
      <c r="A40" t="s">
        <v>375</v>
      </c>
      <c r="B40" t="s">
        <v>335</v>
      </c>
      <c r="F40">
        <f t="shared" ca="1" si="0"/>
        <v>34</v>
      </c>
      <c r="G40">
        <f t="shared" ca="1" si="1"/>
        <v>8</v>
      </c>
    </row>
    <row r="41" spans="1:7" x14ac:dyDescent="0.2">
      <c r="A41" t="s">
        <v>375</v>
      </c>
      <c r="B41" t="s">
        <v>341</v>
      </c>
      <c r="F41">
        <f t="shared" ca="1" si="0"/>
        <v>34</v>
      </c>
      <c r="G41">
        <f t="shared" ca="1" si="1"/>
        <v>8</v>
      </c>
    </row>
    <row r="42" spans="1:7" x14ac:dyDescent="0.2">
      <c r="A42" t="s">
        <v>427</v>
      </c>
      <c r="B42" t="s">
        <v>299</v>
      </c>
      <c r="F42">
        <f t="shared" ca="1" si="0"/>
        <v>42</v>
      </c>
      <c r="G42">
        <f t="shared" ca="1" si="1"/>
        <v>3</v>
      </c>
    </row>
    <row r="43" spans="1:7" x14ac:dyDescent="0.2">
      <c r="A43" t="s">
        <v>427</v>
      </c>
      <c r="B43" t="s">
        <v>325</v>
      </c>
      <c r="F43">
        <f t="shared" ca="1" si="0"/>
        <v>42</v>
      </c>
      <c r="G43">
        <f t="shared" ca="1" si="1"/>
        <v>3</v>
      </c>
    </row>
    <row r="44" spans="1:7" x14ac:dyDescent="0.2">
      <c r="A44" t="s">
        <v>427</v>
      </c>
      <c r="B44" t="s">
        <v>347</v>
      </c>
      <c r="F44">
        <f t="shared" ca="1" si="0"/>
        <v>42</v>
      </c>
      <c r="G44">
        <f t="shared" ca="1" si="1"/>
        <v>3</v>
      </c>
    </row>
    <row r="45" spans="1:7" x14ac:dyDescent="0.2">
      <c r="A45" t="s">
        <v>441</v>
      </c>
      <c r="B45" t="s">
        <v>314</v>
      </c>
      <c r="F45">
        <f t="shared" ca="1" si="0"/>
        <v>45</v>
      </c>
      <c r="G45">
        <f t="shared" ca="1" si="1"/>
        <v>2</v>
      </c>
    </row>
    <row r="46" spans="1:7" x14ac:dyDescent="0.2">
      <c r="A46" t="s">
        <v>441</v>
      </c>
      <c r="B46" t="s">
        <v>321</v>
      </c>
      <c r="F46">
        <f t="shared" ca="1" si="0"/>
        <v>45</v>
      </c>
      <c r="G46">
        <f t="shared" ca="1" si="1"/>
        <v>2</v>
      </c>
    </row>
    <row r="47" spans="1:7" x14ac:dyDescent="0.2">
      <c r="A47" t="s">
        <v>316</v>
      </c>
      <c r="B47" t="s">
        <v>316</v>
      </c>
      <c r="F47">
        <f t="shared" ca="1" si="0"/>
        <v>47</v>
      </c>
      <c r="G47">
        <f t="shared" ca="1" si="1"/>
        <v>3</v>
      </c>
    </row>
    <row r="48" spans="1:7" x14ac:dyDescent="0.2">
      <c r="A48" t="s">
        <v>316</v>
      </c>
      <c r="B48" t="s">
        <v>348</v>
      </c>
      <c r="F48">
        <f t="shared" ca="1" si="0"/>
        <v>47</v>
      </c>
      <c r="G48">
        <f t="shared" ca="1" si="1"/>
        <v>3</v>
      </c>
    </row>
    <row r="49" spans="1:7" x14ac:dyDescent="0.2">
      <c r="A49" t="s">
        <v>316</v>
      </c>
      <c r="B49" t="s">
        <v>237</v>
      </c>
      <c r="F49">
        <f t="shared" ca="1" si="0"/>
        <v>47</v>
      </c>
      <c r="G49">
        <f t="shared" ca="1" si="1"/>
        <v>3</v>
      </c>
    </row>
    <row r="50" spans="1:7" x14ac:dyDescent="0.2">
      <c r="A50" t="s">
        <v>121</v>
      </c>
      <c r="B50" t="s">
        <v>121</v>
      </c>
      <c r="F50">
        <f t="shared" ca="1" si="0"/>
        <v>50</v>
      </c>
      <c r="G50">
        <f t="shared" ca="1" si="1"/>
        <v>1</v>
      </c>
    </row>
    <row r="51" spans="1:7" x14ac:dyDescent="0.2">
      <c r="A51" t="s">
        <v>397</v>
      </c>
      <c r="B51" t="s">
        <v>274</v>
      </c>
      <c r="F51">
        <f t="shared" ca="1" si="0"/>
        <v>51</v>
      </c>
      <c r="G51">
        <f t="shared" ca="1" si="1"/>
        <v>1</v>
      </c>
    </row>
    <row r="52" spans="1:7" x14ac:dyDescent="0.2">
      <c r="A52" t="s">
        <v>428</v>
      </c>
      <c r="B52" t="s">
        <v>300</v>
      </c>
      <c r="F52">
        <f t="shared" ca="1" si="0"/>
        <v>52</v>
      </c>
      <c r="G52">
        <f t="shared" ca="1" si="1"/>
        <v>2</v>
      </c>
    </row>
    <row r="53" spans="1:7" x14ac:dyDescent="0.2">
      <c r="A53" t="s">
        <v>428</v>
      </c>
      <c r="B53" t="s">
        <v>306</v>
      </c>
      <c r="F53">
        <f t="shared" ca="1" si="0"/>
        <v>52</v>
      </c>
      <c r="G53">
        <f t="shared" ca="1" si="1"/>
        <v>2</v>
      </c>
    </row>
    <row r="54" spans="1:7" x14ac:dyDescent="0.2">
      <c r="A54" t="s">
        <v>1195</v>
      </c>
      <c r="B54" t="s">
        <v>326</v>
      </c>
      <c r="F54">
        <f t="shared" ca="1" si="0"/>
        <v>54</v>
      </c>
      <c r="G54">
        <f t="shared" ca="1" si="1"/>
        <v>2</v>
      </c>
    </row>
    <row r="55" spans="1:7" x14ac:dyDescent="0.2">
      <c r="A55" t="s">
        <v>1195</v>
      </c>
      <c r="B55" t="s">
        <v>333</v>
      </c>
      <c r="F55">
        <f t="shared" ca="1" si="0"/>
        <v>54</v>
      </c>
      <c r="G55">
        <f t="shared" ca="1" si="1"/>
        <v>2</v>
      </c>
    </row>
    <row r="56" spans="1:7" x14ac:dyDescent="0.2">
      <c r="A56" t="s">
        <v>434</v>
      </c>
      <c r="B56" t="s">
        <v>308</v>
      </c>
      <c r="F56">
        <f t="shared" ca="1" si="0"/>
        <v>56</v>
      </c>
      <c r="G56">
        <f t="shared" ca="1" si="1"/>
        <v>1</v>
      </c>
    </row>
    <row r="57" spans="1:7" x14ac:dyDescent="0.2">
      <c r="A57" t="s">
        <v>1182</v>
      </c>
      <c r="B57" t="s">
        <v>1152</v>
      </c>
      <c r="F57">
        <f t="shared" ca="1" si="0"/>
        <v>57</v>
      </c>
      <c r="G57">
        <f t="shared" ca="1" si="1"/>
        <v>1</v>
      </c>
    </row>
    <row r="58" spans="1:7" x14ac:dyDescent="0.2">
      <c r="A58" t="s">
        <v>1207</v>
      </c>
      <c r="B58" t="s">
        <v>187</v>
      </c>
      <c r="F58">
        <f t="shared" ca="1" si="0"/>
        <v>58</v>
      </c>
      <c r="G58">
        <f t="shared" ca="1" si="1"/>
        <v>1</v>
      </c>
    </row>
    <row r="59" spans="1:7" x14ac:dyDescent="0.2">
      <c r="A59" t="s">
        <v>432</v>
      </c>
      <c r="B59" t="s">
        <v>307</v>
      </c>
      <c r="F59">
        <f t="shared" ca="1" si="0"/>
        <v>59</v>
      </c>
      <c r="G59">
        <f t="shared" ca="1" si="1"/>
        <v>5</v>
      </c>
    </row>
    <row r="60" spans="1:7" x14ac:dyDescent="0.2">
      <c r="A60" t="s">
        <v>432</v>
      </c>
      <c r="B60" t="s">
        <v>121</v>
      </c>
      <c r="F60">
        <f t="shared" ca="1" si="0"/>
        <v>59</v>
      </c>
      <c r="G60">
        <f t="shared" ca="1" si="1"/>
        <v>5</v>
      </c>
    </row>
    <row r="61" spans="1:7" x14ac:dyDescent="0.2">
      <c r="A61" t="s">
        <v>432</v>
      </c>
      <c r="B61" t="s">
        <v>220</v>
      </c>
      <c r="F61">
        <f t="shared" ca="1" si="0"/>
        <v>59</v>
      </c>
      <c r="G61">
        <f t="shared" ca="1" si="1"/>
        <v>5</v>
      </c>
    </row>
    <row r="62" spans="1:7" x14ac:dyDescent="0.2">
      <c r="A62" t="s">
        <v>432</v>
      </c>
      <c r="B62" t="s">
        <v>352</v>
      </c>
      <c r="F62">
        <f t="shared" ca="1" si="0"/>
        <v>59</v>
      </c>
      <c r="G62">
        <f t="shared" ca="1" si="1"/>
        <v>5</v>
      </c>
    </row>
    <row r="63" spans="1:7" x14ac:dyDescent="0.2">
      <c r="A63" t="s">
        <v>432</v>
      </c>
      <c r="B63" t="s">
        <v>1265</v>
      </c>
      <c r="F63">
        <f t="shared" ca="1" si="0"/>
        <v>59</v>
      </c>
      <c r="G63">
        <f t="shared" ca="1" si="1"/>
        <v>5</v>
      </c>
    </row>
    <row r="64" spans="1:7" x14ac:dyDescent="0.2">
      <c r="A64" t="s">
        <v>328</v>
      </c>
      <c r="B64" t="s">
        <v>328</v>
      </c>
      <c r="F64">
        <f t="shared" ca="1" si="0"/>
        <v>64</v>
      </c>
      <c r="G64">
        <f t="shared" ca="1" si="1"/>
        <v>1</v>
      </c>
    </row>
    <row r="65" spans="1:7" x14ac:dyDescent="0.2">
      <c r="A65" t="s">
        <v>454</v>
      </c>
      <c r="B65" t="s">
        <v>330</v>
      </c>
      <c r="F65">
        <f t="shared" ca="1" si="0"/>
        <v>65</v>
      </c>
      <c r="G65">
        <f t="shared" ca="1" si="1"/>
        <v>1</v>
      </c>
    </row>
    <row r="66" spans="1:7" x14ac:dyDescent="0.2">
      <c r="A66" t="s">
        <v>364</v>
      </c>
      <c r="B66" t="s">
        <v>251</v>
      </c>
      <c r="F66">
        <f t="shared" ref="F66:F129" ca="1" si="2">IFERROR(MATCH(OFFSET($A$1,ROW()-1,0,1,1),A:A,0),"")</f>
        <v>66</v>
      </c>
      <c r="G66">
        <f t="shared" ref="G66:G129" ca="1" si="3">COUNTIF(A:A,OFFSET($A$1,ROW()-1,0))</f>
        <v>3</v>
      </c>
    </row>
    <row r="67" spans="1:7" x14ac:dyDescent="0.2">
      <c r="A67" t="s">
        <v>364</v>
      </c>
      <c r="B67" t="s">
        <v>329</v>
      </c>
      <c r="F67">
        <f t="shared" ca="1" si="2"/>
        <v>66</v>
      </c>
      <c r="G67">
        <f t="shared" ca="1" si="3"/>
        <v>3</v>
      </c>
    </row>
    <row r="68" spans="1:7" x14ac:dyDescent="0.2">
      <c r="A68" t="s">
        <v>364</v>
      </c>
      <c r="B68" t="s">
        <v>340</v>
      </c>
      <c r="F68">
        <f t="shared" ca="1" si="2"/>
        <v>66</v>
      </c>
      <c r="G68">
        <f t="shared" ca="1" si="3"/>
        <v>3</v>
      </c>
    </row>
    <row r="69" spans="1:7" x14ac:dyDescent="0.2">
      <c r="A69" t="s">
        <v>448</v>
      </c>
      <c r="B69" t="s">
        <v>320</v>
      </c>
      <c r="F69">
        <f t="shared" ca="1" si="2"/>
        <v>69</v>
      </c>
      <c r="G69">
        <f t="shared" ca="1" si="3"/>
        <v>4</v>
      </c>
    </row>
    <row r="70" spans="1:7" x14ac:dyDescent="0.2">
      <c r="A70" t="s">
        <v>448</v>
      </c>
      <c r="B70" t="s">
        <v>323</v>
      </c>
      <c r="F70">
        <f t="shared" ca="1" si="2"/>
        <v>69</v>
      </c>
      <c r="G70">
        <f t="shared" ca="1" si="3"/>
        <v>4</v>
      </c>
    </row>
    <row r="71" spans="1:7" x14ac:dyDescent="0.2">
      <c r="A71" t="s">
        <v>448</v>
      </c>
      <c r="B71" t="s">
        <v>324</v>
      </c>
      <c r="F71">
        <f t="shared" ca="1" si="2"/>
        <v>69</v>
      </c>
      <c r="G71">
        <f t="shared" ca="1" si="3"/>
        <v>4</v>
      </c>
    </row>
    <row r="72" spans="1:7" x14ac:dyDescent="0.2">
      <c r="A72" t="s">
        <v>448</v>
      </c>
      <c r="B72" t="s">
        <v>1163</v>
      </c>
      <c r="F72">
        <f t="shared" ca="1" si="2"/>
        <v>69</v>
      </c>
      <c r="G72">
        <f t="shared" ca="1" si="3"/>
        <v>4</v>
      </c>
    </row>
    <row r="73" spans="1:7" x14ac:dyDescent="0.2">
      <c r="A73" t="s">
        <v>456</v>
      </c>
      <c r="B73" t="s">
        <v>326</v>
      </c>
      <c r="F73">
        <f t="shared" ca="1" si="2"/>
        <v>73</v>
      </c>
      <c r="G73">
        <f t="shared" ca="1" si="3"/>
        <v>2</v>
      </c>
    </row>
    <row r="74" spans="1:7" x14ac:dyDescent="0.2">
      <c r="A74" t="s">
        <v>456</v>
      </c>
      <c r="B74" t="s">
        <v>333</v>
      </c>
      <c r="F74">
        <f t="shared" ca="1" si="2"/>
        <v>73</v>
      </c>
      <c r="G74">
        <f t="shared" ca="1" si="3"/>
        <v>2</v>
      </c>
    </row>
    <row r="75" spans="1:7" x14ac:dyDescent="0.2">
      <c r="A75" t="s">
        <v>404</v>
      </c>
      <c r="B75" t="s">
        <v>279</v>
      </c>
      <c r="F75">
        <f t="shared" ca="1" si="2"/>
        <v>75</v>
      </c>
      <c r="G75">
        <f t="shared" ca="1" si="3"/>
        <v>4</v>
      </c>
    </row>
    <row r="76" spans="1:7" x14ac:dyDescent="0.2">
      <c r="A76" t="s">
        <v>404</v>
      </c>
      <c r="B76" t="s">
        <v>318</v>
      </c>
      <c r="F76">
        <f t="shared" ca="1" si="2"/>
        <v>75</v>
      </c>
      <c r="G76">
        <f t="shared" ca="1" si="3"/>
        <v>4</v>
      </c>
    </row>
    <row r="77" spans="1:7" x14ac:dyDescent="0.2">
      <c r="A77" t="s">
        <v>404</v>
      </c>
      <c r="B77" t="s">
        <v>1154</v>
      </c>
      <c r="F77">
        <f t="shared" ca="1" si="2"/>
        <v>75</v>
      </c>
      <c r="G77">
        <f t="shared" ca="1" si="3"/>
        <v>4</v>
      </c>
    </row>
    <row r="78" spans="1:7" x14ac:dyDescent="0.2">
      <c r="A78" t="s">
        <v>404</v>
      </c>
      <c r="B78" t="s">
        <v>129</v>
      </c>
      <c r="F78">
        <f t="shared" ca="1" si="2"/>
        <v>75</v>
      </c>
      <c r="G78">
        <f t="shared" ca="1" si="3"/>
        <v>4</v>
      </c>
    </row>
    <row r="79" spans="1:7" x14ac:dyDescent="0.2">
      <c r="A79" t="s">
        <v>460</v>
      </c>
      <c r="B79" t="s">
        <v>1151</v>
      </c>
      <c r="F79">
        <f t="shared" ca="1" si="2"/>
        <v>79</v>
      </c>
      <c r="G79">
        <f t="shared" ca="1" si="3"/>
        <v>3</v>
      </c>
    </row>
    <row r="80" spans="1:7" x14ac:dyDescent="0.2">
      <c r="A80" t="s">
        <v>460</v>
      </c>
      <c r="B80" t="s">
        <v>336</v>
      </c>
      <c r="F80">
        <f t="shared" ca="1" si="2"/>
        <v>79</v>
      </c>
      <c r="G80">
        <f t="shared" ca="1" si="3"/>
        <v>3</v>
      </c>
    </row>
    <row r="81" spans="1:7" x14ac:dyDescent="0.2">
      <c r="A81" t="s">
        <v>460</v>
      </c>
      <c r="B81" t="s">
        <v>337</v>
      </c>
      <c r="F81">
        <f t="shared" ca="1" si="2"/>
        <v>79</v>
      </c>
      <c r="G81">
        <f t="shared" ca="1" si="3"/>
        <v>3</v>
      </c>
    </row>
    <row r="82" spans="1:7" x14ac:dyDescent="0.2">
      <c r="A82" t="s">
        <v>339</v>
      </c>
      <c r="B82" t="s">
        <v>281</v>
      </c>
      <c r="F82">
        <f t="shared" ca="1" si="2"/>
        <v>82</v>
      </c>
      <c r="G82">
        <f t="shared" ca="1" si="3"/>
        <v>7</v>
      </c>
    </row>
    <row r="83" spans="1:7" x14ac:dyDescent="0.2">
      <c r="A83" t="s">
        <v>339</v>
      </c>
      <c r="B83" t="s">
        <v>329</v>
      </c>
      <c r="F83">
        <f t="shared" ca="1" si="2"/>
        <v>82</v>
      </c>
      <c r="G83">
        <f t="shared" ca="1" si="3"/>
        <v>7</v>
      </c>
    </row>
    <row r="84" spans="1:7" x14ac:dyDescent="0.2">
      <c r="A84" t="s">
        <v>339</v>
      </c>
      <c r="B84" t="s">
        <v>1156</v>
      </c>
      <c r="F84">
        <f t="shared" ca="1" si="2"/>
        <v>82</v>
      </c>
      <c r="G84">
        <f t="shared" ca="1" si="3"/>
        <v>7</v>
      </c>
    </row>
    <row r="85" spans="1:7" x14ac:dyDescent="0.2">
      <c r="A85" t="s">
        <v>339</v>
      </c>
      <c r="B85" t="s">
        <v>339</v>
      </c>
      <c r="F85">
        <f t="shared" ca="1" si="2"/>
        <v>82</v>
      </c>
      <c r="G85">
        <f t="shared" ca="1" si="3"/>
        <v>7</v>
      </c>
    </row>
    <row r="86" spans="1:7" x14ac:dyDescent="0.2">
      <c r="A86" t="s">
        <v>339</v>
      </c>
      <c r="B86" t="s">
        <v>1159</v>
      </c>
      <c r="F86">
        <f t="shared" ca="1" si="2"/>
        <v>82</v>
      </c>
      <c r="G86">
        <f t="shared" ca="1" si="3"/>
        <v>7</v>
      </c>
    </row>
    <row r="87" spans="1:7" x14ac:dyDescent="0.2">
      <c r="A87" t="s">
        <v>339</v>
      </c>
      <c r="B87" t="s">
        <v>1160</v>
      </c>
      <c r="F87">
        <f t="shared" ca="1" si="2"/>
        <v>82</v>
      </c>
      <c r="G87">
        <f t="shared" ca="1" si="3"/>
        <v>7</v>
      </c>
    </row>
    <row r="88" spans="1:7" x14ac:dyDescent="0.2">
      <c r="A88" t="s">
        <v>339</v>
      </c>
      <c r="B88" t="s">
        <v>1161</v>
      </c>
      <c r="F88">
        <f t="shared" ca="1" si="2"/>
        <v>82</v>
      </c>
      <c r="G88">
        <f t="shared" ca="1" si="3"/>
        <v>7</v>
      </c>
    </row>
    <row r="89" spans="1:7" x14ac:dyDescent="0.2">
      <c r="A89" t="s">
        <v>367</v>
      </c>
      <c r="B89" t="s">
        <v>254</v>
      </c>
      <c r="F89">
        <f t="shared" ca="1" si="2"/>
        <v>89</v>
      </c>
      <c r="G89">
        <f t="shared" ca="1" si="3"/>
        <v>3</v>
      </c>
    </row>
    <row r="90" spans="1:7" x14ac:dyDescent="0.2">
      <c r="A90" t="s">
        <v>367</v>
      </c>
      <c r="B90" t="s">
        <v>326</v>
      </c>
      <c r="F90">
        <f t="shared" ca="1" si="2"/>
        <v>89</v>
      </c>
      <c r="G90">
        <f t="shared" ca="1" si="3"/>
        <v>3</v>
      </c>
    </row>
    <row r="91" spans="1:7" x14ac:dyDescent="0.2">
      <c r="A91" t="s">
        <v>367</v>
      </c>
      <c r="B91" t="s">
        <v>333</v>
      </c>
      <c r="F91">
        <f t="shared" ca="1" si="2"/>
        <v>89</v>
      </c>
      <c r="G91">
        <f t="shared" ca="1" si="3"/>
        <v>3</v>
      </c>
    </row>
    <row r="92" spans="1:7" x14ac:dyDescent="0.2">
      <c r="A92" t="s">
        <v>415</v>
      </c>
      <c r="B92" t="s">
        <v>288</v>
      </c>
      <c r="F92">
        <f t="shared" ca="1" si="2"/>
        <v>92</v>
      </c>
      <c r="G92">
        <f t="shared" ca="1" si="3"/>
        <v>2</v>
      </c>
    </row>
    <row r="93" spans="1:7" x14ac:dyDescent="0.2">
      <c r="A93" t="s">
        <v>415</v>
      </c>
      <c r="B93" t="s">
        <v>354</v>
      </c>
      <c r="F93">
        <f t="shared" ca="1" si="2"/>
        <v>92</v>
      </c>
      <c r="G93">
        <f t="shared" ca="1" si="3"/>
        <v>2</v>
      </c>
    </row>
    <row r="94" spans="1:7" x14ac:dyDescent="0.2">
      <c r="A94" t="s">
        <v>420</v>
      </c>
      <c r="B94" t="s">
        <v>90</v>
      </c>
      <c r="F94">
        <f t="shared" ca="1" si="2"/>
        <v>94</v>
      </c>
      <c r="G94">
        <f t="shared" ca="1" si="3"/>
        <v>2</v>
      </c>
    </row>
    <row r="95" spans="1:7" x14ac:dyDescent="0.2">
      <c r="A95" t="s">
        <v>420</v>
      </c>
      <c r="B95" t="s">
        <v>151</v>
      </c>
      <c r="F95">
        <f t="shared" ca="1" si="2"/>
        <v>94</v>
      </c>
      <c r="G95">
        <f t="shared" ca="1" si="3"/>
        <v>2</v>
      </c>
    </row>
    <row r="96" spans="1:7" x14ac:dyDescent="0.2">
      <c r="A96" t="s">
        <v>1166</v>
      </c>
      <c r="B96" t="s">
        <v>870</v>
      </c>
      <c r="F96">
        <f t="shared" ca="1" si="2"/>
        <v>96</v>
      </c>
      <c r="G96">
        <f t="shared" ca="1" si="3"/>
        <v>12</v>
      </c>
    </row>
    <row r="97" spans="1:7" x14ac:dyDescent="0.2">
      <c r="A97" t="s">
        <v>1166</v>
      </c>
      <c r="B97" t="s">
        <v>1149</v>
      </c>
      <c r="F97">
        <f t="shared" ca="1" si="2"/>
        <v>96</v>
      </c>
      <c r="G97">
        <f t="shared" ca="1" si="3"/>
        <v>12</v>
      </c>
    </row>
    <row r="98" spans="1:7" x14ac:dyDescent="0.2">
      <c r="A98" t="s">
        <v>1166</v>
      </c>
      <c r="B98" t="s">
        <v>1150</v>
      </c>
      <c r="F98">
        <f t="shared" ca="1" si="2"/>
        <v>96</v>
      </c>
      <c r="G98">
        <f t="shared" ca="1" si="3"/>
        <v>12</v>
      </c>
    </row>
    <row r="99" spans="1:7" x14ac:dyDescent="0.2">
      <c r="A99" t="s">
        <v>1166</v>
      </c>
      <c r="B99" t="s">
        <v>1151</v>
      </c>
      <c r="F99">
        <f t="shared" ca="1" si="2"/>
        <v>96</v>
      </c>
      <c r="G99">
        <f t="shared" ca="1" si="3"/>
        <v>12</v>
      </c>
    </row>
    <row r="100" spans="1:7" x14ac:dyDescent="0.2">
      <c r="A100" t="s">
        <v>1166</v>
      </c>
      <c r="B100" t="s">
        <v>1230</v>
      </c>
      <c r="F100">
        <f t="shared" ca="1" si="2"/>
        <v>96</v>
      </c>
      <c r="G100">
        <f t="shared" ca="1" si="3"/>
        <v>12</v>
      </c>
    </row>
    <row r="101" spans="1:7" x14ac:dyDescent="0.2">
      <c r="A101" t="s">
        <v>1166</v>
      </c>
      <c r="B101" t="s">
        <v>1155</v>
      </c>
      <c r="F101">
        <f t="shared" ca="1" si="2"/>
        <v>96</v>
      </c>
      <c r="G101">
        <f t="shared" ca="1" si="3"/>
        <v>12</v>
      </c>
    </row>
    <row r="102" spans="1:7" x14ac:dyDescent="0.2">
      <c r="A102" t="s">
        <v>1166</v>
      </c>
      <c r="B102" t="s">
        <v>871</v>
      </c>
      <c r="F102">
        <f t="shared" ca="1" si="2"/>
        <v>96</v>
      </c>
      <c r="G102">
        <f t="shared" ca="1" si="3"/>
        <v>12</v>
      </c>
    </row>
    <row r="103" spans="1:7" x14ac:dyDescent="0.2">
      <c r="A103" t="s">
        <v>1166</v>
      </c>
      <c r="B103" t="s">
        <v>1157</v>
      </c>
      <c r="F103">
        <f t="shared" ca="1" si="2"/>
        <v>96</v>
      </c>
      <c r="G103">
        <f t="shared" ca="1" si="3"/>
        <v>12</v>
      </c>
    </row>
    <row r="104" spans="1:7" x14ac:dyDescent="0.2">
      <c r="A104" t="s">
        <v>1166</v>
      </c>
      <c r="B104" t="s">
        <v>1162</v>
      </c>
      <c r="F104">
        <f t="shared" ca="1" si="2"/>
        <v>96</v>
      </c>
      <c r="G104">
        <f t="shared" ca="1" si="3"/>
        <v>12</v>
      </c>
    </row>
    <row r="105" spans="1:7" x14ac:dyDescent="0.2">
      <c r="A105" t="s">
        <v>1166</v>
      </c>
      <c r="B105" t="s">
        <v>1164</v>
      </c>
      <c r="F105">
        <f t="shared" ca="1" si="2"/>
        <v>96</v>
      </c>
      <c r="G105">
        <f t="shared" ca="1" si="3"/>
        <v>12</v>
      </c>
    </row>
    <row r="106" spans="1:7" x14ac:dyDescent="0.2">
      <c r="A106" t="s">
        <v>1166</v>
      </c>
      <c r="B106" t="s">
        <v>343</v>
      </c>
      <c r="F106">
        <f t="shared" ca="1" si="2"/>
        <v>96</v>
      </c>
      <c r="G106">
        <f t="shared" ca="1" si="3"/>
        <v>12</v>
      </c>
    </row>
    <row r="107" spans="1:7" x14ac:dyDescent="0.2">
      <c r="A107" t="s">
        <v>1166</v>
      </c>
      <c r="B107" t="s">
        <v>873</v>
      </c>
      <c r="F107">
        <f t="shared" ca="1" si="2"/>
        <v>96</v>
      </c>
      <c r="G107">
        <f t="shared" ca="1" si="3"/>
        <v>12</v>
      </c>
    </row>
    <row r="108" spans="1:7" x14ac:dyDescent="0.2">
      <c r="A108" t="s">
        <v>381</v>
      </c>
      <c r="B108" t="s">
        <v>266</v>
      </c>
      <c r="F108">
        <f t="shared" ca="1" si="2"/>
        <v>108</v>
      </c>
      <c r="G108">
        <f t="shared" ca="1" si="3"/>
        <v>14</v>
      </c>
    </row>
    <row r="109" spans="1:7" x14ac:dyDescent="0.2">
      <c r="A109" t="s">
        <v>381</v>
      </c>
      <c r="B109" t="s">
        <v>286</v>
      </c>
      <c r="F109">
        <f t="shared" ca="1" si="2"/>
        <v>108</v>
      </c>
      <c r="G109">
        <f t="shared" ca="1" si="3"/>
        <v>14</v>
      </c>
    </row>
    <row r="110" spans="1:7" x14ac:dyDescent="0.2">
      <c r="A110" t="s">
        <v>381</v>
      </c>
      <c r="B110" t="s">
        <v>287</v>
      </c>
      <c r="F110">
        <f t="shared" ca="1" si="2"/>
        <v>108</v>
      </c>
      <c r="G110">
        <f t="shared" ca="1" si="3"/>
        <v>14</v>
      </c>
    </row>
    <row r="111" spans="1:7" x14ac:dyDescent="0.2">
      <c r="A111" t="s">
        <v>381</v>
      </c>
      <c r="B111" t="s">
        <v>291</v>
      </c>
      <c r="F111">
        <f t="shared" ca="1" si="2"/>
        <v>108</v>
      </c>
      <c r="G111">
        <f t="shared" ca="1" si="3"/>
        <v>14</v>
      </c>
    </row>
    <row r="112" spans="1:7" x14ac:dyDescent="0.2">
      <c r="A112" t="s">
        <v>381</v>
      </c>
      <c r="B112" t="s">
        <v>309</v>
      </c>
      <c r="F112">
        <f t="shared" ca="1" si="2"/>
        <v>108</v>
      </c>
      <c r="G112">
        <f t="shared" ca="1" si="3"/>
        <v>14</v>
      </c>
    </row>
    <row r="113" spans="1:7" x14ac:dyDescent="0.2">
      <c r="A113" t="s">
        <v>381</v>
      </c>
      <c r="B113" t="s">
        <v>310</v>
      </c>
      <c r="F113">
        <f t="shared" ca="1" si="2"/>
        <v>108</v>
      </c>
      <c r="G113">
        <f t="shared" ca="1" si="3"/>
        <v>14</v>
      </c>
    </row>
    <row r="114" spans="1:7" x14ac:dyDescent="0.2">
      <c r="A114" t="s">
        <v>381</v>
      </c>
      <c r="B114" t="s">
        <v>313</v>
      </c>
      <c r="F114">
        <f t="shared" ca="1" si="2"/>
        <v>108</v>
      </c>
      <c r="G114">
        <f t="shared" ca="1" si="3"/>
        <v>14</v>
      </c>
    </row>
    <row r="115" spans="1:7" x14ac:dyDescent="0.2">
      <c r="A115" t="s">
        <v>381</v>
      </c>
      <c r="B115" t="s">
        <v>315</v>
      </c>
      <c r="F115">
        <f t="shared" ca="1" si="2"/>
        <v>108</v>
      </c>
      <c r="G115">
        <f t="shared" ca="1" si="3"/>
        <v>14</v>
      </c>
    </row>
    <row r="116" spans="1:7" x14ac:dyDescent="0.2">
      <c r="A116" t="s">
        <v>381</v>
      </c>
      <c r="B116" t="s">
        <v>319</v>
      </c>
      <c r="F116">
        <f t="shared" ca="1" si="2"/>
        <v>108</v>
      </c>
      <c r="G116">
        <f t="shared" ca="1" si="3"/>
        <v>14</v>
      </c>
    </row>
    <row r="117" spans="1:7" x14ac:dyDescent="0.2">
      <c r="A117" t="s">
        <v>381</v>
      </c>
      <c r="B117" t="s">
        <v>326</v>
      </c>
      <c r="F117">
        <f t="shared" ca="1" si="2"/>
        <v>108</v>
      </c>
      <c r="G117">
        <f t="shared" ca="1" si="3"/>
        <v>14</v>
      </c>
    </row>
    <row r="118" spans="1:7" x14ac:dyDescent="0.2">
      <c r="A118" t="s">
        <v>381</v>
      </c>
      <c r="B118" t="s">
        <v>327</v>
      </c>
      <c r="F118">
        <f t="shared" ca="1" si="2"/>
        <v>108</v>
      </c>
      <c r="G118">
        <f t="shared" ca="1" si="3"/>
        <v>14</v>
      </c>
    </row>
    <row r="119" spans="1:7" x14ac:dyDescent="0.2">
      <c r="A119" t="s">
        <v>381</v>
      </c>
      <c r="B119" t="s">
        <v>333</v>
      </c>
      <c r="F119">
        <f t="shared" ca="1" si="2"/>
        <v>108</v>
      </c>
      <c r="G119">
        <f t="shared" ca="1" si="3"/>
        <v>14</v>
      </c>
    </row>
    <row r="120" spans="1:7" x14ac:dyDescent="0.2">
      <c r="A120" t="s">
        <v>381</v>
      </c>
      <c r="B120" t="s">
        <v>344</v>
      </c>
      <c r="F120">
        <f t="shared" ca="1" si="2"/>
        <v>108</v>
      </c>
      <c r="G120">
        <f t="shared" ca="1" si="3"/>
        <v>14</v>
      </c>
    </row>
    <row r="121" spans="1:7" x14ac:dyDescent="0.2">
      <c r="A121" t="s">
        <v>381</v>
      </c>
      <c r="B121" t="s">
        <v>345</v>
      </c>
      <c r="F121">
        <f t="shared" ca="1" si="2"/>
        <v>108</v>
      </c>
      <c r="G121">
        <f t="shared" ca="1" si="3"/>
        <v>14</v>
      </c>
    </row>
    <row r="122" spans="1:7" x14ac:dyDescent="0.2">
      <c r="A122" t="s">
        <v>222</v>
      </c>
      <c r="B122" t="s">
        <v>269</v>
      </c>
      <c r="F122">
        <f t="shared" ca="1" si="2"/>
        <v>122</v>
      </c>
      <c r="G122">
        <f t="shared" ca="1" si="3"/>
        <v>8</v>
      </c>
    </row>
    <row r="123" spans="1:7" x14ac:dyDescent="0.2">
      <c r="A123" t="s">
        <v>222</v>
      </c>
      <c r="B123" t="s">
        <v>270</v>
      </c>
      <c r="F123">
        <f t="shared" ca="1" si="2"/>
        <v>122</v>
      </c>
      <c r="G123">
        <f t="shared" ca="1" si="3"/>
        <v>8</v>
      </c>
    </row>
    <row r="124" spans="1:7" x14ac:dyDescent="0.2">
      <c r="A124" t="s">
        <v>222</v>
      </c>
      <c r="B124" t="s">
        <v>277</v>
      </c>
      <c r="F124">
        <f t="shared" ca="1" si="2"/>
        <v>122</v>
      </c>
      <c r="G124">
        <f t="shared" ca="1" si="3"/>
        <v>8</v>
      </c>
    </row>
    <row r="125" spans="1:7" x14ac:dyDescent="0.2">
      <c r="A125" t="s">
        <v>222</v>
      </c>
      <c r="B125" t="s">
        <v>278</v>
      </c>
      <c r="F125">
        <f t="shared" ca="1" si="2"/>
        <v>122</v>
      </c>
      <c r="G125">
        <f t="shared" ca="1" si="3"/>
        <v>8</v>
      </c>
    </row>
    <row r="126" spans="1:7" x14ac:dyDescent="0.2">
      <c r="A126" t="s">
        <v>222</v>
      </c>
      <c r="B126" t="s">
        <v>303</v>
      </c>
      <c r="F126">
        <f t="shared" ca="1" si="2"/>
        <v>122</v>
      </c>
      <c r="G126">
        <f t="shared" ca="1" si="3"/>
        <v>8</v>
      </c>
    </row>
    <row r="127" spans="1:7" x14ac:dyDescent="0.2">
      <c r="A127" t="s">
        <v>222</v>
      </c>
      <c r="B127" t="s">
        <v>304</v>
      </c>
      <c r="F127">
        <f t="shared" ca="1" si="2"/>
        <v>122</v>
      </c>
      <c r="G127">
        <f t="shared" ca="1" si="3"/>
        <v>8</v>
      </c>
    </row>
    <row r="128" spans="1:7" x14ac:dyDescent="0.2">
      <c r="A128" t="s">
        <v>222</v>
      </c>
      <c r="B128" t="s">
        <v>103</v>
      </c>
      <c r="F128">
        <f t="shared" ca="1" si="2"/>
        <v>122</v>
      </c>
      <c r="G128">
        <f t="shared" ca="1" si="3"/>
        <v>8</v>
      </c>
    </row>
    <row r="129" spans="1:7" x14ac:dyDescent="0.2">
      <c r="A129" t="s">
        <v>222</v>
      </c>
      <c r="B129" t="s">
        <v>338</v>
      </c>
      <c r="F129">
        <f t="shared" ca="1" si="2"/>
        <v>122</v>
      </c>
      <c r="G129">
        <f t="shared" ca="1" si="3"/>
        <v>8</v>
      </c>
    </row>
    <row r="130" spans="1:7" x14ac:dyDescent="0.2">
      <c r="A130" t="s">
        <v>1183</v>
      </c>
      <c r="B130" t="s">
        <v>1153</v>
      </c>
      <c r="F130">
        <f t="shared" ref="F130:F193" ca="1" si="4">IFERROR(MATCH(OFFSET($A$1,ROW()-1,0,1,1),A:A,0),"")</f>
        <v>130</v>
      </c>
      <c r="G130">
        <f t="shared" ref="G130:G193" ca="1" si="5">COUNTIF(A:A,OFFSET($A$1,ROW()-1,0))</f>
        <v>1</v>
      </c>
    </row>
    <row r="131" spans="1:7" x14ac:dyDescent="0.2">
      <c r="A131" t="s">
        <v>368</v>
      </c>
      <c r="B131" t="s">
        <v>291</v>
      </c>
      <c r="F131">
        <f t="shared" ca="1" si="4"/>
        <v>131</v>
      </c>
      <c r="G131">
        <f t="shared" ca="1" si="5"/>
        <v>2</v>
      </c>
    </row>
    <row r="132" spans="1:7" x14ac:dyDescent="0.2">
      <c r="A132" t="s">
        <v>368</v>
      </c>
      <c r="B132" t="s">
        <v>355</v>
      </c>
      <c r="F132">
        <f t="shared" ca="1" si="4"/>
        <v>131</v>
      </c>
      <c r="G132">
        <f t="shared" ca="1" si="5"/>
        <v>2</v>
      </c>
    </row>
    <row r="133" spans="1:7" x14ac:dyDescent="0.2">
      <c r="A133" t="s">
        <v>289</v>
      </c>
      <c r="B133" t="s">
        <v>86</v>
      </c>
      <c r="F133">
        <f t="shared" ca="1" si="4"/>
        <v>133</v>
      </c>
      <c r="G133">
        <f t="shared" ca="1" si="5"/>
        <v>5</v>
      </c>
    </row>
    <row r="134" spans="1:7" x14ac:dyDescent="0.2">
      <c r="A134" t="s">
        <v>289</v>
      </c>
      <c r="B134" t="s">
        <v>334</v>
      </c>
      <c r="F134">
        <f t="shared" ca="1" si="4"/>
        <v>133</v>
      </c>
      <c r="G134">
        <f t="shared" ca="1" si="5"/>
        <v>5</v>
      </c>
    </row>
    <row r="135" spans="1:7" x14ac:dyDescent="0.2">
      <c r="A135" t="s">
        <v>289</v>
      </c>
      <c r="B135" t="s">
        <v>349</v>
      </c>
      <c r="F135">
        <f t="shared" ca="1" si="4"/>
        <v>133</v>
      </c>
      <c r="G135">
        <f t="shared" ca="1" si="5"/>
        <v>5</v>
      </c>
    </row>
    <row r="136" spans="1:7" x14ac:dyDescent="0.2">
      <c r="A136" t="s">
        <v>289</v>
      </c>
      <c r="B136" t="s">
        <v>350</v>
      </c>
      <c r="F136">
        <f t="shared" ca="1" si="4"/>
        <v>133</v>
      </c>
      <c r="G136">
        <f t="shared" ca="1" si="5"/>
        <v>5</v>
      </c>
    </row>
    <row r="137" spans="1:7" x14ac:dyDescent="0.2">
      <c r="A137" t="s">
        <v>289</v>
      </c>
      <c r="B137" t="s">
        <v>351</v>
      </c>
      <c r="F137">
        <f t="shared" ca="1" si="4"/>
        <v>133</v>
      </c>
      <c r="G137">
        <f t="shared" ca="1" si="5"/>
        <v>5</v>
      </c>
    </row>
    <row r="138" spans="1:7" x14ac:dyDescent="0.2">
      <c r="A138" t="s">
        <v>383</v>
      </c>
      <c r="B138" t="s">
        <v>268</v>
      </c>
      <c r="F138">
        <f t="shared" ca="1" si="4"/>
        <v>138</v>
      </c>
      <c r="G138">
        <f t="shared" ca="1" si="5"/>
        <v>1</v>
      </c>
    </row>
    <row r="139" spans="1:7" x14ac:dyDescent="0.2">
      <c r="A139" t="s">
        <v>353</v>
      </c>
      <c r="B139" t="s">
        <v>353</v>
      </c>
      <c r="F139">
        <f t="shared" ca="1" si="4"/>
        <v>139</v>
      </c>
      <c r="G139">
        <f t="shared" ca="1" si="5"/>
        <v>1</v>
      </c>
    </row>
    <row r="140" spans="1:7" x14ac:dyDescent="0.2">
      <c r="A140" t="s">
        <v>378</v>
      </c>
      <c r="B140" t="s">
        <v>265</v>
      </c>
      <c r="F140">
        <f t="shared" ca="1" si="4"/>
        <v>140</v>
      </c>
      <c r="G140">
        <f t="shared" ca="1" si="5"/>
        <v>1</v>
      </c>
    </row>
    <row r="141" spans="1:7" x14ac:dyDescent="0.2">
      <c r="F141" t="str">
        <f t="shared" ca="1" si="4"/>
        <v/>
      </c>
      <c r="G141">
        <f t="shared" ca="1" si="5"/>
        <v>0</v>
      </c>
    </row>
    <row r="142" spans="1:7" x14ac:dyDescent="0.2">
      <c r="F142" t="str">
        <f t="shared" ca="1" si="4"/>
        <v/>
      </c>
      <c r="G142">
        <f t="shared" ca="1" si="5"/>
        <v>0</v>
      </c>
    </row>
    <row r="143" spans="1:7" x14ac:dyDescent="0.2">
      <c r="F143" t="str">
        <f t="shared" ca="1" si="4"/>
        <v/>
      </c>
      <c r="G143">
        <f t="shared" ca="1" si="5"/>
        <v>0</v>
      </c>
    </row>
    <row r="144" spans="1:7" x14ac:dyDescent="0.2">
      <c r="F144" t="str">
        <f t="shared" ca="1" si="4"/>
        <v/>
      </c>
      <c r="G144">
        <f t="shared" ca="1" si="5"/>
        <v>0</v>
      </c>
    </row>
    <row r="145" spans="6:7" x14ac:dyDescent="0.2">
      <c r="F145" t="str">
        <f t="shared" ca="1" si="4"/>
        <v/>
      </c>
      <c r="G145">
        <f t="shared" ca="1" si="5"/>
        <v>0</v>
      </c>
    </row>
    <row r="146" spans="6:7" x14ac:dyDescent="0.2">
      <c r="F146" t="str">
        <f t="shared" ca="1" si="4"/>
        <v/>
      </c>
      <c r="G146">
        <f t="shared" ca="1" si="5"/>
        <v>0</v>
      </c>
    </row>
    <row r="147" spans="6:7" x14ac:dyDescent="0.2">
      <c r="F147" t="str">
        <f t="shared" ca="1" si="4"/>
        <v/>
      </c>
      <c r="G147">
        <f t="shared" ca="1" si="5"/>
        <v>0</v>
      </c>
    </row>
    <row r="148" spans="6:7" x14ac:dyDescent="0.2">
      <c r="F148" t="str">
        <f t="shared" ca="1" si="4"/>
        <v/>
      </c>
      <c r="G148">
        <f t="shared" ca="1" si="5"/>
        <v>0</v>
      </c>
    </row>
    <row r="149" spans="6:7" x14ac:dyDescent="0.2">
      <c r="F149" t="str">
        <f t="shared" ca="1" si="4"/>
        <v/>
      </c>
      <c r="G149">
        <f t="shared" ca="1" si="5"/>
        <v>0</v>
      </c>
    </row>
    <row r="150" spans="6:7" x14ac:dyDescent="0.2">
      <c r="F150" t="str">
        <f t="shared" ca="1" si="4"/>
        <v/>
      </c>
      <c r="G150">
        <f t="shared" ca="1" si="5"/>
        <v>0</v>
      </c>
    </row>
    <row r="151" spans="6:7" x14ac:dyDescent="0.2">
      <c r="F151" t="str">
        <f t="shared" ca="1" si="4"/>
        <v/>
      </c>
      <c r="G151">
        <f t="shared" ca="1" si="5"/>
        <v>0</v>
      </c>
    </row>
    <row r="152" spans="6:7" x14ac:dyDescent="0.2">
      <c r="F152" t="str">
        <f t="shared" ca="1" si="4"/>
        <v/>
      </c>
      <c r="G152">
        <f t="shared" ca="1" si="5"/>
        <v>0</v>
      </c>
    </row>
    <row r="153" spans="6:7" x14ac:dyDescent="0.2">
      <c r="F153" t="str">
        <f t="shared" ca="1" si="4"/>
        <v/>
      </c>
      <c r="G153">
        <f t="shared" ca="1" si="5"/>
        <v>0</v>
      </c>
    </row>
    <row r="154" spans="6:7" x14ac:dyDescent="0.2">
      <c r="F154" t="str">
        <f t="shared" ca="1" si="4"/>
        <v/>
      </c>
      <c r="G154">
        <f t="shared" ca="1" si="5"/>
        <v>0</v>
      </c>
    </row>
    <row r="155" spans="6:7" x14ac:dyDescent="0.2">
      <c r="F155" t="str">
        <f t="shared" ca="1" si="4"/>
        <v/>
      </c>
      <c r="G155">
        <f t="shared" ca="1" si="5"/>
        <v>0</v>
      </c>
    </row>
    <row r="156" spans="6:7" x14ac:dyDescent="0.2">
      <c r="F156" t="str">
        <f t="shared" ca="1" si="4"/>
        <v/>
      </c>
      <c r="G156">
        <f t="shared" ca="1" si="5"/>
        <v>0</v>
      </c>
    </row>
    <row r="157" spans="6:7" x14ac:dyDescent="0.2">
      <c r="F157" t="str">
        <f t="shared" ca="1" si="4"/>
        <v/>
      </c>
      <c r="G157">
        <f t="shared" ca="1" si="5"/>
        <v>0</v>
      </c>
    </row>
    <row r="158" spans="6:7" x14ac:dyDescent="0.2">
      <c r="F158" t="str">
        <f t="shared" ca="1" si="4"/>
        <v/>
      </c>
      <c r="G158">
        <f t="shared" ca="1" si="5"/>
        <v>0</v>
      </c>
    </row>
    <row r="159" spans="6:7" x14ac:dyDescent="0.2">
      <c r="F159" t="str">
        <f t="shared" ca="1" si="4"/>
        <v/>
      </c>
      <c r="G159">
        <f t="shared" ca="1" si="5"/>
        <v>0</v>
      </c>
    </row>
    <row r="160" spans="6:7" x14ac:dyDescent="0.2">
      <c r="F160" t="str">
        <f t="shared" ca="1" si="4"/>
        <v/>
      </c>
      <c r="G160">
        <f t="shared" ca="1" si="5"/>
        <v>0</v>
      </c>
    </row>
    <row r="161" spans="6:7" x14ac:dyDescent="0.2">
      <c r="F161" t="str">
        <f t="shared" ca="1" si="4"/>
        <v/>
      </c>
      <c r="G161">
        <f t="shared" ca="1" si="5"/>
        <v>0</v>
      </c>
    </row>
    <row r="162" spans="6:7" x14ac:dyDescent="0.2">
      <c r="F162" t="str">
        <f t="shared" ca="1" si="4"/>
        <v/>
      </c>
      <c r="G162">
        <f t="shared" ca="1" si="5"/>
        <v>0</v>
      </c>
    </row>
    <row r="163" spans="6:7" x14ac:dyDescent="0.2">
      <c r="F163" t="str">
        <f t="shared" ca="1" si="4"/>
        <v/>
      </c>
      <c r="G163">
        <f t="shared" ca="1" si="5"/>
        <v>0</v>
      </c>
    </row>
    <row r="164" spans="6:7" x14ac:dyDescent="0.2">
      <c r="F164" t="str">
        <f t="shared" ca="1" si="4"/>
        <v/>
      </c>
      <c r="G164">
        <f t="shared" ca="1" si="5"/>
        <v>0</v>
      </c>
    </row>
    <row r="165" spans="6:7" x14ac:dyDescent="0.2">
      <c r="F165" t="str">
        <f t="shared" ca="1" si="4"/>
        <v/>
      </c>
      <c r="G165">
        <f t="shared" ca="1" si="5"/>
        <v>0</v>
      </c>
    </row>
    <row r="166" spans="6:7" x14ac:dyDescent="0.2">
      <c r="F166" t="str">
        <f t="shared" ca="1" si="4"/>
        <v/>
      </c>
      <c r="G166">
        <f t="shared" ca="1" si="5"/>
        <v>0</v>
      </c>
    </row>
    <row r="167" spans="6:7" x14ac:dyDescent="0.2">
      <c r="F167" t="str">
        <f t="shared" ca="1" si="4"/>
        <v/>
      </c>
      <c r="G167">
        <f t="shared" ca="1" si="5"/>
        <v>0</v>
      </c>
    </row>
    <row r="168" spans="6:7" x14ac:dyDescent="0.2">
      <c r="F168" t="str">
        <f t="shared" ca="1" si="4"/>
        <v/>
      </c>
      <c r="G168">
        <f t="shared" ca="1" si="5"/>
        <v>0</v>
      </c>
    </row>
    <row r="169" spans="6:7" x14ac:dyDescent="0.2">
      <c r="F169" t="str">
        <f t="shared" ca="1" si="4"/>
        <v/>
      </c>
      <c r="G169">
        <f t="shared" ca="1" si="5"/>
        <v>0</v>
      </c>
    </row>
    <row r="170" spans="6:7" x14ac:dyDescent="0.2">
      <c r="F170" t="str">
        <f t="shared" ca="1" si="4"/>
        <v/>
      </c>
      <c r="G170">
        <f t="shared" ca="1" si="5"/>
        <v>0</v>
      </c>
    </row>
    <row r="171" spans="6:7" x14ac:dyDescent="0.2">
      <c r="F171" t="str">
        <f t="shared" ca="1" si="4"/>
        <v/>
      </c>
      <c r="G171">
        <f t="shared" ca="1" si="5"/>
        <v>0</v>
      </c>
    </row>
    <row r="172" spans="6:7" x14ac:dyDescent="0.2">
      <c r="F172" t="str">
        <f t="shared" ca="1" si="4"/>
        <v/>
      </c>
      <c r="G172">
        <f t="shared" ca="1" si="5"/>
        <v>0</v>
      </c>
    </row>
    <row r="173" spans="6:7" x14ac:dyDescent="0.2">
      <c r="F173" t="str">
        <f t="shared" ca="1" si="4"/>
        <v/>
      </c>
      <c r="G173">
        <f t="shared" ca="1" si="5"/>
        <v>0</v>
      </c>
    </row>
    <row r="174" spans="6:7" x14ac:dyDescent="0.2">
      <c r="F174" t="str">
        <f t="shared" ca="1" si="4"/>
        <v/>
      </c>
      <c r="G174">
        <f t="shared" ca="1" si="5"/>
        <v>0</v>
      </c>
    </row>
    <row r="175" spans="6:7" x14ac:dyDescent="0.2">
      <c r="F175" t="str">
        <f t="shared" ca="1" si="4"/>
        <v/>
      </c>
      <c r="G175">
        <f t="shared" ca="1" si="5"/>
        <v>0</v>
      </c>
    </row>
    <row r="176" spans="6:7" x14ac:dyDescent="0.2">
      <c r="F176" t="str">
        <f t="shared" ca="1" si="4"/>
        <v/>
      </c>
      <c r="G176">
        <f t="shared" ca="1" si="5"/>
        <v>0</v>
      </c>
    </row>
    <row r="177" spans="6:7" x14ac:dyDescent="0.2">
      <c r="F177" t="str">
        <f t="shared" ca="1" si="4"/>
        <v/>
      </c>
      <c r="G177">
        <f t="shared" ca="1" si="5"/>
        <v>0</v>
      </c>
    </row>
    <row r="178" spans="6:7" x14ac:dyDescent="0.2">
      <c r="F178" t="str">
        <f t="shared" ca="1" si="4"/>
        <v/>
      </c>
      <c r="G178">
        <f t="shared" ca="1" si="5"/>
        <v>0</v>
      </c>
    </row>
    <row r="179" spans="6:7" x14ac:dyDescent="0.2">
      <c r="F179" t="str">
        <f t="shared" ca="1" si="4"/>
        <v/>
      </c>
      <c r="G179">
        <f t="shared" ca="1" si="5"/>
        <v>0</v>
      </c>
    </row>
    <row r="180" spans="6:7" x14ac:dyDescent="0.2">
      <c r="F180" t="str">
        <f t="shared" ca="1" si="4"/>
        <v/>
      </c>
      <c r="G180">
        <f t="shared" ca="1" si="5"/>
        <v>0</v>
      </c>
    </row>
    <row r="181" spans="6:7" x14ac:dyDescent="0.2">
      <c r="F181" t="str">
        <f t="shared" ca="1" si="4"/>
        <v/>
      </c>
      <c r="G181">
        <f t="shared" ca="1" si="5"/>
        <v>0</v>
      </c>
    </row>
    <row r="182" spans="6:7" x14ac:dyDescent="0.2">
      <c r="F182" t="str">
        <f t="shared" ca="1" si="4"/>
        <v/>
      </c>
      <c r="G182">
        <f t="shared" ca="1" si="5"/>
        <v>0</v>
      </c>
    </row>
    <row r="183" spans="6:7" x14ac:dyDescent="0.2">
      <c r="F183" t="str">
        <f t="shared" ca="1" si="4"/>
        <v/>
      </c>
      <c r="G183">
        <f t="shared" ca="1" si="5"/>
        <v>0</v>
      </c>
    </row>
    <row r="184" spans="6:7" x14ac:dyDescent="0.2">
      <c r="F184" t="str">
        <f t="shared" ca="1" si="4"/>
        <v/>
      </c>
      <c r="G184">
        <f t="shared" ca="1" si="5"/>
        <v>0</v>
      </c>
    </row>
    <row r="185" spans="6:7" x14ac:dyDescent="0.2">
      <c r="F185" t="str">
        <f t="shared" ca="1" si="4"/>
        <v/>
      </c>
      <c r="G185">
        <f t="shared" ca="1" si="5"/>
        <v>0</v>
      </c>
    </row>
    <row r="186" spans="6:7" x14ac:dyDescent="0.2">
      <c r="F186" t="str">
        <f t="shared" ca="1" si="4"/>
        <v/>
      </c>
      <c r="G186">
        <f t="shared" ca="1" si="5"/>
        <v>0</v>
      </c>
    </row>
    <row r="187" spans="6:7" x14ac:dyDescent="0.2">
      <c r="F187" t="str">
        <f t="shared" ca="1" si="4"/>
        <v/>
      </c>
      <c r="G187">
        <f t="shared" ca="1" si="5"/>
        <v>0</v>
      </c>
    </row>
    <row r="188" spans="6:7" x14ac:dyDescent="0.2">
      <c r="F188" t="str">
        <f t="shared" ca="1" si="4"/>
        <v/>
      </c>
      <c r="G188">
        <f t="shared" ca="1" si="5"/>
        <v>0</v>
      </c>
    </row>
    <row r="189" spans="6:7" x14ac:dyDescent="0.2">
      <c r="F189" t="str">
        <f t="shared" ca="1" si="4"/>
        <v/>
      </c>
      <c r="G189">
        <f t="shared" ca="1" si="5"/>
        <v>0</v>
      </c>
    </row>
    <row r="190" spans="6:7" x14ac:dyDescent="0.2">
      <c r="F190" t="str">
        <f t="shared" ca="1" si="4"/>
        <v/>
      </c>
      <c r="G190">
        <f t="shared" ca="1" si="5"/>
        <v>0</v>
      </c>
    </row>
    <row r="191" spans="6:7" x14ac:dyDescent="0.2">
      <c r="F191" t="str">
        <f t="shared" ca="1" si="4"/>
        <v/>
      </c>
      <c r="G191">
        <f t="shared" ca="1" si="5"/>
        <v>0</v>
      </c>
    </row>
    <row r="192" spans="6:7" x14ac:dyDescent="0.2">
      <c r="F192" t="str">
        <f t="shared" ca="1" si="4"/>
        <v/>
      </c>
      <c r="G192">
        <f t="shared" ca="1" si="5"/>
        <v>0</v>
      </c>
    </row>
    <row r="193" spans="6:7" x14ac:dyDescent="0.2">
      <c r="F193" t="str">
        <f t="shared" ca="1" si="4"/>
        <v/>
      </c>
      <c r="G193">
        <f t="shared" ca="1" si="5"/>
        <v>0</v>
      </c>
    </row>
    <row r="194" spans="6:7" x14ac:dyDescent="0.2">
      <c r="F194" t="str">
        <f t="shared" ref="F194:F257" ca="1" si="6">IFERROR(MATCH(OFFSET($A$1,ROW()-1,0,1,1),A:A,0),"")</f>
        <v/>
      </c>
      <c r="G194">
        <f t="shared" ref="G194:G257" ca="1" si="7">COUNTIF(A:A,OFFSET($A$1,ROW()-1,0))</f>
        <v>0</v>
      </c>
    </row>
    <row r="195" spans="6:7" x14ac:dyDescent="0.2">
      <c r="F195" t="str">
        <f t="shared" ca="1" si="6"/>
        <v/>
      </c>
      <c r="G195">
        <f t="shared" ca="1" si="7"/>
        <v>0</v>
      </c>
    </row>
    <row r="196" spans="6:7" x14ac:dyDescent="0.2">
      <c r="F196" t="str">
        <f t="shared" ca="1" si="6"/>
        <v/>
      </c>
      <c r="G196">
        <f t="shared" ca="1" si="7"/>
        <v>0</v>
      </c>
    </row>
    <row r="197" spans="6:7" x14ac:dyDescent="0.2">
      <c r="F197" t="str">
        <f t="shared" ca="1" si="6"/>
        <v/>
      </c>
      <c r="G197">
        <f t="shared" ca="1" si="7"/>
        <v>0</v>
      </c>
    </row>
    <row r="198" spans="6:7" x14ac:dyDescent="0.2">
      <c r="F198" t="str">
        <f t="shared" ca="1" si="6"/>
        <v/>
      </c>
      <c r="G198">
        <f t="shared" ca="1" si="7"/>
        <v>0</v>
      </c>
    </row>
    <row r="199" spans="6:7" x14ac:dyDescent="0.2">
      <c r="F199" t="str">
        <f t="shared" ca="1" si="6"/>
        <v/>
      </c>
      <c r="G199">
        <f t="shared" ca="1" si="7"/>
        <v>0</v>
      </c>
    </row>
    <row r="200" spans="6:7" x14ac:dyDescent="0.2">
      <c r="F200" t="str">
        <f t="shared" ca="1" si="6"/>
        <v/>
      </c>
      <c r="G200">
        <f t="shared" ca="1" si="7"/>
        <v>0</v>
      </c>
    </row>
    <row r="201" spans="6:7" x14ac:dyDescent="0.2">
      <c r="F201" t="str">
        <f t="shared" ca="1" si="6"/>
        <v/>
      </c>
      <c r="G201">
        <f t="shared" ca="1" si="7"/>
        <v>0</v>
      </c>
    </row>
    <row r="202" spans="6:7" x14ac:dyDescent="0.2">
      <c r="F202" t="str">
        <f t="shared" ca="1" si="6"/>
        <v/>
      </c>
      <c r="G202">
        <f t="shared" ca="1" si="7"/>
        <v>0</v>
      </c>
    </row>
    <row r="203" spans="6:7" x14ac:dyDescent="0.2">
      <c r="F203" t="str">
        <f t="shared" ca="1" si="6"/>
        <v/>
      </c>
      <c r="G203">
        <f t="shared" ca="1" si="7"/>
        <v>0</v>
      </c>
    </row>
    <row r="204" spans="6:7" x14ac:dyDescent="0.2">
      <c r="F204" t="str">
        <f t="shared" ca="1" si="6"/>
        <v/>
      </c>
      <c r="G204">
        <f t="shared" ca="1" si="7"/>
        <v>0</v>
      </c>
    </row>
    <row r="205" spans="6:7" x14ac:dyDescent="0.2">
      <c r="F205" t="str">
        <f t="shared" ca="1" si="6"/>
        <v/>
      </c>
      <c r="G205">
        <f t="shared" ca="1" si="7"/>
        <v>0</v>
      </c>
    </row>
    <row r="206" spans="6:7" x14ac:dyDescent="0.2">
      <c r="F206" t="str">
        <f t="shared" ca="1" si="6"/>
        <v/>
      </c>
      <c r="G206">
        <f t="shared" ca="1" si="7"/>
        <v>0</v>
      </c>
    </row>
    <row r="207" spans="6:7" x14ac:dyDescent="0.2">
      <c r="F207" t="str">
        <f t="shared" ca="1" si="6"/>
        <v/>
      </c>
      <c r="G207">
        <f t="shared" ca="1" si="7"/>
        <v>0</v>
      </c>
    </row>
    <row r="208" spans="6:7" x14ac:dyDescent="0.2">
      <c r="F208" t="str">
        <f t="shared" ca="1" si="6"/>
        <v/>
      </c>
      <c r="G208">
        <f t="shared" ca="1" si="7"/>
        <v>0</v>
      </c>
    </row>
    <row r="209" spans="6:7" x14ac:dyDescent="0.2">
      <c r="F209" t="str">
        <f t="shared" ca="1" si="6"/>
        <v/>
      </c>
      <c r="G209">
        <f t="shared" ca="1" si="7"/>
        <v>0</v>
      </c>
    </row>
    <row r="210" spans="6:7" x14ac:dyDescent="0.2">
      <c r="F210" t="str">
        <f t="shared" ca="1" si="6"/>
        <v/>
      </c>
      <c r="G210">
        <f t="shared" ca="1" si="7"/>
        <v>0</v>
      </c>
    </row>
    <row r="211" spans="6:7" x14ac:dyDescent="0.2">
      <c r="F211" t="str">
        <f t="shared" ca="1" si="6"/>
        <v/>
      </c>
      <c r="G211">
        <f t="shared" ca="1" si="7"/>
        <v>0</v>
      </c>
    </row>
    <row r="212" spans="6:7" x14ac:dyDescent="0.2">
      <c r="F212" t="str">
        <f t="shared" ca="1" si="6"/>
        <v/>
      </c>
      <c r="G212">
        <f t="shared" ca="1" si="7"/>
        <v>0</v>
      </c>
    </row>
    <row r="213" spans="6:7" x14ac:dyDescent="0.2">
      <c r="F213" t="str">
        <f t="shared" ca="1" si="6"/>
        <v/>
      </c>
      <c r="G213">
        <f t="shared" ca="1" si="7"/>
        <v>0</v>
      </c>
    </row>
    <row r="214" spans="6:7" x14ac:dyDescent="0.2">
      <c r="F214" t="str">
        <f t="shared" ca="1" si="6"/>
        <v/>
      </c>
      <c r="G214">
        <f t="shared" ca="1" si="7"/>
        <v>0</v>
      </c>
    </row>
    <row r="215" spans="6:7" x14ac:dyDescent="0.2">
      <c r="F215" t="str">
        <f t="shared" ca="1" si="6"/>
        <v/>
      </c>
      <c r="G215">
        <f t="shared" ca="1" si="7"/>
        <v>0</v>
      </c>
    </row>
    <row r="216" spans="6:7" x14ac:dyDescent="0.2">
      <c r="F216" t="str">
        <f t="shared" ca="1" si="6"/>
        <v/>
      </c>
      <c r="G216">
        <f t="shared" ca="1" si="7"/>
        <v>0</v>
      </c>
    </row>
    <row r="217" spans="6:7" x14ac:dyDescent="0.2">
      <c r="F217" t="str">
        <f t="shared" ca="1" si="6"/>
        <v/>
      </c>
      <c r="G217">
        <f t="shared" ca="1" si="7"/>
        <v>0</v>
      </c>
    </row>
    <row r="218" spans="6:7" x14ac:dyDescent="0.2">
      <c r="F218" t="str">
        <f t="shared" ca="1" si="6"/>
        <v/>
      </c>
      <c r="G218">
        <f t="shared" ca="1" si="7"/>
        <v>0</v>
      </c>
    </row>
    <row r="219" spans="6:7" x14ac:dyDescent="0.2">
      <c r="F219" t="str">
        <f t="shared" ca="1" si="6"/>
        <v/>
      </c>
      <c r="G219">
        <f t="shared" ca="1" si="7"/>
        <v>0</v>
      </c>
    </row>
    <row r="220" spans="6:7" x14ac:dyDescent="0.2">
      <c r="F220" t="str">
        <f t="shared" ca="1" si="6"/>
        <v/>
      </c>
      <c r="G220">
        <f t="shared" ca="1" si="7"/>
        <v>0</v>
      </c>
    </row>
    <row r="221" spans="6:7" x14ac:dyDescent="0.2">
      <c r="F221" t="str">
        <f t="shared" ca="1" si="6"/>
        <v/>
      </c>
      <c r="G221">
        <f t="shared" ca="1" si="7"/>
        <v>0</v>
      </c>
    </row>
    <row r="222" spans="6:7" x14ac:dyDescent="0.2">
      <c r="F222" t="str">
        <f t="shared" ca="1" si="6"/>
        <v/>
      </c>
      <c r="G222">
        <f t="shared" ca="1" si="7"/>
        <v>0</v>
      </c>
    </row>
    <row r="223" spans="6:7" x14ac:dyDescent="0.2">
      <c r="F223" t="str">
        <f t="shared" ca="1" si="6"/>
        <v/>
      </c>
      <c r="G223">
        <f t="shared" ca="1" si="7"/>
        <v>0</v>
      </c>
    </row>
    <row r="224" spans="6:7" x14ac:dyDescent="0.2">
      <c r="F224" t="str">
        <f t="shared" ca="1" si="6"/>
        <v/>
      </c>
      <c r="G224">
        <f t="shared" ca="1" si="7"/>
        <v>0</v>
      </c>
    </row>
    <row r="225" spans="6:7" x14ac:dyDescent="0.2">
      <c r="F225" t="str">
        <f t="shared" ca="1" si="6"/>
        <v/>
      </c>
      <c r="G225">
        <f t="shared" ca="1" si="7"/>
        <v>0</v>
      </c>
    </row>
    <row r="226" spans="6:7" x14ac:dyDescent="0.2">
      <c r="F226" t="str">
        <f t="shared" ca="1" si="6"/>
        <v/>
      </c>
      <c r="G226">
        <f t="shared" ca="1" si="7"/>
        <v>0</v>
      </c>
    </row>
    <row r="227" spans="6:7" x14ac:dyDescent="0.2">
      <c r="F227" t="str">
        <f t="shared" ca="1" si="6"/>
        <v/>
      </c>
      <c r="G227">
        <f t="shared" ca="1" si="7"/>
        <v>0</v>
      </c>
    </row>
    <row r="228" spans="6:7" x14ac:dyDescent="0.2">
      <c r="F228" t="str">
        <f t="shared" ca="1" si="6"/>
        <v/>
      </c>
      <c r="G228">
        <f t="shared" ca="1" si="7"/>
        <v>0</v>
      </c>
    </row>
    <row r="229" spans="6:7" x14ac:dyDescent="0.2">
      <c r="F229" t="str">
        <f t="shared" ca="1" si="6"/>
        <v/>
      </c>
      <c r="G229">
        <f t="shared" ca="1" si="7"/>
        <v>0</v>
      </c>
    </row>
    <row r="230" spans="6:7" x14ac:dyDescent="0.2">
      <c r="F230" t="str">
        <f t="shared" ca="1" si="6"/>
        <v/>
      </c>
      <c r="G230">
        <f t="shared" ca="1" si="7"/>
        <v>0</v>
      </c>
    </row>
    <row r="231" spans="6:7" x14ac:dyDescent="0.2">
      <c r="F231" t="str">
        <f t="shared" ca="1" si="6"/>
        <v/>
      </c>
      <c r="G231">
        <f t="shared" ca="1" si="7"/>
        <v>0</v>
      </c>
    </row>
    <row r="232" spans="6:7" x14ac:dyDescent="0.2">
      <c r="F232" t="str">
        <f t="shared" ca="1" si="6"/>
        <v/>
      </c>
      <c r="G232">
        <f t="shared" ca="1" si="7"/>
        <v>0</v>
      </c>
    </row>
    <row r="233" spans="6:7" x14ac:dyDescent="0.2">
      <c r="F233" t="str">
        <f t="shared" ca="1" si="6"/>
        <v/>
      </c>
      <c r="G233">
        <f t="shared" ca="1" si="7"/>
        <v>0</v>
      </c>
    </row>
    <row r="234" spans="6:7" x14ac:dyDescent="0.2">
      <c r="F234" t="str">
        <f t="shared" ca="1" si="6"/>
        <v/>
      </c>
      <c r="G234">
        <f t="shared" ca="1" si="7"/>
        <v>0</v>
      </c>
    </row>
    <row r="235" spans="6:7" x14ac:dyDescent="0.2">
      <c r="F235" t="str">
        <f t="shared" ca="1" si="6"/>
        <v/>
      </c>
      <c r="G235">
        <f t="shared" ca="1" si="7"/>
        <v>0</v>
      </c>
    </row>
    <row r="236" spans="6:7" x14ac:dyDescent="0.2">
      <c r="F236" t="str">
        <f t="shared" ca="1" si="6"/>
        <v/>
      </c>
      <c r="G236">
        <f t="shared" ca="1" si="7"/>
        <v>0</v>
      </c>
    </row>
    <row r="237" spans="6:7" x14ac:dyDescent="0.2">
      <c r="F237" t="str">
        <f t="shared" ca="1" si="6"/>
        <v/>
      </c>
      <c r="G237">
        <f t="shared" ca="1" si="7"/>
        <v>0</v>
      </c>
    </row>
    <row r="238" spans="6:7" x14ac:dyDescent="0.2">
      <c r="F238" t="str">
        <f t="shared" ca="1" si="6"/>
        <v/>
      </c>
      <c r="G238">
        <f t="shared" ca="1" si="7"/>
        <v>0</v>
      </c>
    </row>
    <row r="239" spans="6:7" x14ac:dyDescent="0.2">
      <c r="F239" t="str">
        <f t="shared" ca="1" si="6"/>
        <v/>
      </c>
      <c r="G239">
        <f t="shared" ca="1" si="7"/>
        <v>0</v>
      </c>
    </row>
    <row r="240" spans="6:7" x14ac:dyDescent="0.2">
      <c r="F240" t="str">
        <f t="shared" ca="1" si="6"/>
        <v/>
      </c>
      <c r="G240">
        <f t="shared" ca="1" si="7"/>
        <v>0</v>
      </c>
    </row>
    <row r="241" spans="6:7" x14ac:dyDescent="0.2">
      <c r="F241" t="str">
        <f t="shared" ca="1" si="6"/>
        <v/>
      </c>
      <c r="G241">
        <f t="shared" ca="1" si="7"/>
        <v>0</v>
      </c>
    </row>
    <row r="242" spans="6:7" x14ac:dyDescent="0.2">
      <c r="F242" t="str">
        <f t="shared" ca="1" si="6"/>
        <v/>
      </c>
      <c r="G242">
        <f t="shared" ca="1" si="7"/>
        <v>0</v>
      </c>
    </row>
    <row r="243" spans="6:7" x14ac:dyDescent="0.2">
      <c r="F243" t="str">
        <f t="shared" ca="1" si="6"/>
        <v/>
      </c>
      <c r="G243">
        <f t="shared" ca="1" si="7"/>
        <v>0</v>
      </c>
    </row>
    <row r="244" spans="6:7" x14ac:dyDescent="0.2">
      <c r="F244" t="str">
        <f t="shared" ca="1" si="6"/>
        <v/>
      </c>
      <c r="G244">
        <f t="shared" ca="1" si="7"/>
        <v>0</v>
      </c>
    </row>
    <row r="245" spans="6:7" x14ac:dyDescent="0.2">
      <c r="F245" t="str">
        <f t="shared" ca="1" si="6"/>
        <v/>
      </c>
      <c r="G245">
        <f t="shared" ca="1" si="7"/>
        <v>0</v>
      </c>
    </row>
    <row r="246" spans="6:7" x14ac:dyDescent="0.2">
      <c r="F246" t="str">
        <f t="shared" ca="1" si="6"/>
        <v/>
      </c>
      <c r="G246">
        <f t="shared" ca="1" si="7"/>
        <v>0</v>
      </c>
    </row>
    <row r="247" spans="6:7" x14ac:dyDescent="0.2">
      <c r="F247" t="str">
        <f t="shared" ca="1" si="6"/>
        <v/>
      </c>
      <c r="G247">
        <f t="shared" ca="1" si="7"/>
        <v>0</v>
      </c>
    </row>
    <row r="248" spans="6:7" x14ac:dyDescent="0.2">
      <c r="F248" t="str">
        <f t="shared" ca="1" si="6"/>
        <v/>
      </c>
      <c r="G248">
        <f t="shared" ca="1" si="7"/>
        <v>0</v>
      </c>
    </row>
    <row r="249" spans="6:7" x14ac:dyDescent="0.2">
      <c r="F249" t="str">
        <f t="shared" ca="1" si="6"/>
        <v/>
      </c>
      <c r="G249">
        <f t="shared" ca="1" si="7"/>
        <v>0</v>
      </c>
    </row>
    <row r="250" spans="6:7" x14ac:dyDescent="0.2">
      <c r="F250" t="str">
        <f t="shared" ca="1" si="6"/>
        <v/>
      </c>
      <c r="G250">
        <f t="shared" ca="1" si="7"/>
        <v>0</v>
      </c>
    </row>
    <row r="251" spans="6:7" x14ac:dyDescent="0.2">
      <c r="F251" t="str">
        <f t="shared" ca="1" si="6"/>
        <v/>
      </c>
      <c r="G251">
        <f t="shared" ca="1" si="7"/>
        <v>0</v>
      </c>
    </row>
    <row r="252" spans="6:7" x14ac:dyDescent="0.2">
      <c r="F252" t="str">
        <f t="shared" ca="1" si="6"/>
        <v/>
      </c>
      <c r="G252">
        <f t="shared" ca="1" si="7"/>
        <v>0</v>
      </c>
    </row>
    <row r="253" spans="6:7" x14ac:dyDescent="0.2">
      <c r="F253" t="str">
        <f t="shared" ca="1" si="6"/>
        <v/>
      </c>
      <c r="G253">
        <f t="shared" ca="1" si="7"/>
        <v>0</v>
      </c>
    </row>
    <row r="254" spans="6:7" x14ac:dyDescent="0.2">
      <c r="F254" t="str">
        <f t="shared" ca="1" si="6"/>
        <v/>
      </c>
      <c r="G254">
        <f t="shared" ca="1" si="7"/>
        <v>0</v>
      </c>
    </row>
    <row r="255" spans="6:7" x14ac:dyDescent="0.2">
      <c r="F255" t="str">
        <f t="shared" ca="1" si="6"/>
        <v/>
      </c>
      <c r="G255">
        <f t="shared" ca="1" si="7"/>
        <v>0</v>
      </c>
    </row>
    <row r="256" spans="6:7" x14ac:dyDescent="0.2">
      <c r="F256" t="str">
        <f t="shared" ca="1" si="6"/>
        <v/>
      </c>
      <c r="G256">
        <f t="shared" ca="1" si="7"/>
        <v>0</v>
      </c>
    </row>
    <row r="257" spans="6:7" x14ac:dyDescent="0.2">
      <c r="F257" t="str">
        <f t="shared" ca="1" si="6"/>
        <v/>
      </c>
      <c r="G257">
        <f t="shared" ca="1" si="7"/>
        <v>0</v>
      </c>
    </row>
    <row r="258" spans="6:7" x14ac:dyDescent="0.2">
      <c r="F258" t="str">
        <f t="shared" ref="F258:F321" ca="1" si="8">IFERROR(MATCH(OFFSET($A$1,ROW()-1,0,1,1),A:A,0),"")</f>
        <v/>
      </c>
      <c r="G258">
        <f t="shared" ref="G258:G321" ca="1" si="9">COUNTIF(A:A,OFFSET($A$1,ROW()-1,0))</f>
        <v>0</v>
      </c>
    </row>
    <row r="259" spans="6:7" x14ac:dyDescent="0.2">
      <c r="F259" t="str">
        <f t="shared" ca="1" si="8"/>
        <v/>
      </c>
      <c r="G259">
        <f t="shared" ca="1" si="9"/>
        <v>0</v>
      </c>
    </row>
    <row r="260" spans="6:7" x14ac:dyDescent="0.2">
      <c r="F260" t="str">
        <f t="shared" ca="1" si="8"/>
        <v/>
      </c>
      <c r="G260">
        <f t="shared" ca="1" si="9"/>
        <v>0</v>
      </c>
    </row>
    <row r="261" spans="6:7" x14ac:dyDescent="0.2">
      <c r="F261" t="str">
        <f t="shared" ca="1" si="8"/>
        <v/>
      </c>
      <c r="G261">
        <f t="shared" ca="1" si="9"/>
        <v>0</v>
      </c>
    </row>
    <row r="262" spans="6:7" x14ac:dyDescent="0.2">
      <c r="F262" t="str">
        <f t="shared" ca="1" si="8"/>
        <v/>
      </c>
      <c r="G262">
        <f t="shared" ca="1" si="9"/>
        <v>0</v>
      </c>
    </row>
    <row r="263" spans="6:7" x14ac:dyDescent="0.2">
      <c r="F263" t="str">
        <f t="shared" ca="1" si="8"/>
        <v/>
      </c>
      <c r="G263">
        <f t="shared" ca="1" si="9"/>
        <v>0</v>
      </c>
    </row>
    <row r="264" spans="6:7" x14ac:dyDescent="0.2">
      <c r="F264" t="str">
        <f t="shared" ca="1" si="8"/>
        <v/>
      </c>
      <c r="G264">
        <f t="shared" ca="1" si="9"/>
        <v>0</v>
      </c>
    </row>
    <row r="265" spans="6:7" x14ac:dyDescent="0.2">
      <c r="F265" t="str">
        <f t="shared" ca="1" si="8"/>
        <v/>
      </c>
      <c r="G265">
        <f t="shared" ca="1" si="9"/>
        <v>0</v>
      </c>
    </row>
    <row r="266" spans="6:7" x14ac:dyDescent="0.2">
      <c r="F266" t="str">
        <f t="shared" ca="1" si="8"/>
        <v/>
      </c>
      <c r="G266">
        <f t="shared" ca="1" si="9"/>
        <v>0</v>
      </c>
    </row>
    <row r="267" spans="6:7" x14ac:dyDescent="0.2">
      <c r="F267" t="str">
        <f t="shared" ca="1" si="8"/>
        <v/>
      </c>
      <c r="G267">
        <f t="shared" ca="1" si="9"/>
        <v>0</v>
      </c>
    </row>
    <row r="268" spans="6:7" x14ac:dyDescent="0.2">
      <c r="F268" t="str">
        <f t="shared" ca="1" si="8"/>
        <v/>
      </c>
      <c r="G268">
        <f t="shared" ca="1" si="9"/>
        <v>0</v>
      </c>
    </row>
    <row r="269" spans="6:7" x14ac:dyDescent="0.2">
      <c r="F269" t="str">
        <f t="shared" ca="1" si="8"/>
        <v/>
      </c>
      <c r="G269">
        <f t="shared" ca="1" si="9"/>
        <v>0</v>
      </c>
    </row>
    <row r="270" spans="6:7" x14ac:dyDescent="0.2">
      <c r="F270" t="str">
        <f t="shared" ca="1" si="8"/>
        <v/>
      </c>
      <c r="G270">
        <f t="shared" ca="1" si="9"/>
        <v>0</v>
      </c>
    </row>
    <row r="271" spans="6:7" x14ac:dyDescent="0.2">
      <c r="F271" t="str">
        <f t="shared" ca="1" si="8"/>
        <v/>
      </c>
      <c r="G271">
        <f t="shared" ca="1" si="9"/>
        <v>0</v>
      </c>
    </row>
    <row r="272" spans="6:7" x14ac:dyDescent="0.2">
      <c r="F272" t="str">
        <f t="shared" ca="1" si="8"/>
        <v/>
      </c>
      <c r="G272">
        <f t="shared" ca="1" si="9"/>
        <v>0</v>
      </c>
    </row>
    <row r="273" spans="6:7" x14ac:dyDescent="0.2">
      <c r="F273" t="str">
        <f t="shared" ca="1" si="8"/>
        <v/>
      </c>
      <c r="G273">
        <f t="shared" ca="1" si="9"/>
        <v>0</v>
      </c>
    </row>
    <row r="274" spans="6:7" x14ac:dyDescent="0.2">
      <c r="F274" t="str">
        <f t="shared" ca="1" si="8"/>
        <v/>
      </c>
      <c r="G274">
        <f t="shared" ca="1" si="9"/>
        <v>0</v>
      </c>
    </row>
    <row r="275" spans="6:7" x14ac:dyDescent="0.2">
      <c r="F275" t="str">
        <f t="shared" ca="1" si="8"/>
        <v/>
      </c>
      <c r="G275">
        <f t="shared" ca="1" si="9"/>
        <v>0</v>
      </c>
    </row>
    <row r="276" spans="6:7" x14ac:dyDescent="0.2">
      <c r="F276" t="str">
        <f t="shared" ca="1" si="8"/>
        <v/>
      </c>
      <c r="G276">
        <f t="shared" ca="1" si="9"/>
        <v>0</v>
      </c>
    </row>
    <row r="277" spans="6:7" x14ac:dyDescent="0.2">
      <c r="F277" t="str">
        <f t="shared" ca="1" si="8"/>
        <v/>
      </c>
      <c r="G277">
        <f t="shared" ca="1" si="9"/>
        <v>0</v>
      </c>
    </row>
    <row r="278" spans="6:7" x14ac:dyDescent="0.2">
      <c r="F278" t="str">
        <f t="shared" ca="1" si="8"/>
        <v/>
      </c>
      <c r="G278">
        <f t="shared" ca="1" si="9"/>
        <v>0</v>
      </c>
    </row>
    <row r="279" spans="6:7" x14ac:dyDescent="0.2">
      <c r="F279" t="str">
        <f t="shared" ca="1" si="8"/>
        <v/>
      </c>
      <c r="G279">
        <f t="shared" ca="1" si="9"/>
        <v>0</v>
      </c>
    </row>
    <row r="280" spans="6:7" x14ac:dyDescent="0.2">
      <c r="F280" t="str">
        <f t="shared" ca="1" si="8"/>
        <v/>
      </c>
      <c r="G280">
        <f t="shared" ca="1" si="9"/>
        <v>0</v>
      </c>
    </row>
    <row r="281" spans="6:7" x14ac:dyDescent="0.2">
      <c r="F281" t="str">
        <f t="shared" ca="1" si="8"/>
        <v/>
      </c>
      <c r="G281">
        <f t="shared" ca="1" si="9"/>
        <v>0</v>
      </c>
    </row>
    <row r="282" spans="6:7" x14ac:dyDescent="0.2">
      <c r="F282" t="str">
        <f t="shared" ca="1" si="8"/>
        <v/>
      </c>
      <c r="G282">
        <f t="shared" ca="1" si="9"/>
        <v>0</v>
      </c>
    </row>
    <row r="283" spans="6:7" x14ac:dyDescent="0.2">
      <c r="F283" t="str">
        <f t="shared" ca="1" si="8"/>
        <v/>
      </c>
      <c r="G283">
        <f t="shared" ca="1" si="9"/>
        <v>0</v>
      </c>
    </row>
    <row r="284" spans="6:7" x14ac:dyDescent="0.2">
      <c r="F284" t="str">
        <f t="shared" ca="1" si="8"/>
        <v/>
      </c>
      <c r="G284">
        <f t="shared" ca="1" si="9"/>
        <v>0</v>
      </c>
    </row>
    <row r="285" spans="6:7" x14ac:dyDescent="0.2">
      <c r="F285" t="str">
        <f t="shared" ca="1" si="8"/>
        <v/>
      </c>
      <c r="G285">
        <f t="shared" ca="1" si="9"/>
        <v>0</v>
      </c>
    </row>
    <row r="286" spans="6:7" x14ac:dyDescent="0.2">
      <c r="F286" t="str">
        <f t="shared" ca="1" si="8"/>
        <v/>
      </c>
      <c r="G286">
        <f t="shared" ca="1" si="9"/>
        <v>0</v>
      </c>
    </row>
    <row r="287" spans="6:7" x14ac:dyDescent="0.2">
      <c r="F287" t="str">
        <f t="shared" ca="1" si="8"/>
        <v/>
      </c>
      <c r="G287">
        <f t="shared" ca="1" si="9"/>
        <v>0</v>
      </c>
    </row>
    <row r="288" spans="6:7" x14ac:dyDescent="0.2">
      <c r="F288" t="str">
        <f t="shared" ca="1" si="8"/>
        <v/>
      </c>
      <c r="G288">
        <f t="shared" ca="1" si="9"/>
        <v>0</v>
      </c>
    </row>
    <row r="289" spans="6:7" x14ac:dyDescent="0.2">
      <c r="F289" t="str">
        <f t="shared" ca="1" si="8"/>
        <v/>
      </c>
      <c r="G289">
        <f t="shared" ca="1" si="9"/>
        <v>0</v>
      </c>
    </row>
    <row r="290" spans="6:7" x14ac:dyDescent="0.2">
      <c r="F290" t="str">
        <f t="shared" ca="1" si="8"/>
        <v/>
      </c>
      <c r="G290">
        <f t="shared" ca="1" si="9"/>
        <v>0</v>
      </c>
    </row>
    <row r="291" spans="6:7" x14ac:dyDescent="0.2">
      <c r="F291" t="str">
        <f t="shared" ca="1" si="8"/>
        <v/>
      </c>
      <c r="G291">
        <f t="shared" ca="1" si="9"/>
        <v>0</v>
      </c>
    </row>
    <row r="292" spans="6:7" x14ac:dyDescent="0.2">
      <c r="F292" t="str">
        <f t="shared" ca="1" si="8"/>
        <v/>
      </c>
      <c r="G292">
        <f t="shared" ca="1" si="9"/>
        <v>0</v>
      </c>
    </row>
    <row r="293" spans="6:7" x14ac:dyDescent="0.2">
      <c r="F293" t="str">
        <f t="shared" ca="1" si="8"/>
        <v/>
      </c>
      <c r="G293">
        <f t="shared" ca="1" si="9"/>
        <v>0</v>
      </c>
    </row>
    <row r="294" spans="6:7" x14ac:dyDescent="0.2">
      <c r="F294" t="str">
        <f t="shared" ca="1" si="8"/>
        <v/>
      </c>
      <c r="G294">
        <f t="shared" ca="1" si="9"/>
        <v>0</v>
      </c>
    </row>
    <row r="295" spans="6:7" x14ac:dyDescent="0.2">
      <c r="F295" t="str">
        <f t="shared" ca="1" si="8"/>
        <v/>
      </c>
      <c r="G295">
        <f t="shared" ca="1" si="9"/>
        <v>0</v>
      </c>
    </row>
    <row r="296" spans="6:7" x14ac:dyDescent="0.2">
      <c r="F296" t="str">
        <f t="shared" ca="1" si="8"/>
        <v/>
      </c>
      <c r="G296">
        <f t="shared" ca="1" si="9"/>
        <v>0</v>
      </c>
    </row>
    <row r="297" spans="6:7" x14ac:dyDescent="0.2">
      <c r="F297" t="str">
        <f t="shared" ca="1" si="8"/>
        <v/>
      </c>
      <c r="G297">
        <f t="shared" ca="1" si="9"/>
        <v>0</v>
      </c>
    </row>
    <row r="298" spans="6:7" x14ac:dyDescent="0.2">
      <c r="F298" t="str">
        <f t="shared" ca="1" si="8"/>
        <v/>
      </c>
      <c r="G298">
        <f t="shared" ca="1" si="9"/>
        <v>0</v>
      </c>
    </row>
    <row r="299" spans="6:7" x14ac:dyDescent="0.2">
      <c r="F299" t="str">
        <f t="shared" ca="1" si="8"/>
        <v/>
      </c>
      <c r="G299">
        <f t="shared" ca="1" si="9"/>
        <v>0</v>
      </c>
    </row>
    <row r="300" spans="6:7" x14ac:dyDescent="0.2">
      <c r="F300" t="str">
        <f t="shared" ca="1" si="8"/>
        <v/>
      </c>
      <c r="G300">
        <f t="shared" ca="1" si="9"/>
        <v>0</v>
      </c>
    </row>
    <row r="301" spans="6:7" x14ac:dyDescent="0.2">
      <c r="F301" t="str">
        <f t="shared" ca="1" si="8"/>
        <v/>
      </c>
      <c r="G301">
        <f t="shared" ca="1" si="9"/>
        <v>0</v>
      </c>
    </row>
    <row r="302" spans="6:7" x14ac:dyDescent="0.2">
      <c r="F302" t="str">
        <f t="shared" ca="1" si="8"/>
        <v/>
      </c>
      <c r="G302">
        <f t="shared" ca="1" si="9"/>
        <v>0</v>
      </c>
    </row>
    <row r="303" spans="6:7" x14ac:dyDescent="0.2">
      <c r="F303" t="str">
        <f t="shared" ca="1" si="8"/>
        <v/>
      </c>
      <c r="G303">
        <f t="shared" ca="1" si="9"/>
        <v>0</v>
      </c>
    </row>
    <row r="304" spans="6:7" x14ac:dyDescent="0.2">
      <c r="F304" t="str">
        <f t="shared" ca="1" si="8"/>
        <v/>
      </c>
      <c r="G304">
        <f t="shared" ca="1" si="9"/>
        <v>0</v>
      </c>
    </row>
    <row r="305" spans="6:7" x14ac:dyDescent="0.2">
      <c r="F305" t="str">
        <f t="shared" ca="1" si="8"/>
        <v/>
      </c>
      <c r="G305">
        <f t="shared" ca="1" si="9"/>
        <v>0</v>
      </c>
    </row>
    <row r="306" spans="6:7" x14ac:dyDescent="0.2">
      <c r="F306" t="str">
        <f t="shared" ca="1" si="8"/>
        <v/>
      </c>
      <c r="G306">
        <f t="shared" ca="1" si="9"/>
        <v>0</v>
      </c>
    </row>
    <row r="307" spans="6:7" x14ac:dyDescent="0.2">
      <c r="F307" t="str">
        <f t="shared" ca="1" si="8"/>
        <v/>
      </c>
      <c r="G307">
        <f t="shared" ca="1" si="9"/>
        <v>0</v>
      </c>
    </row>
    <row r="308" spans="6:7" x14ac:dyDescent="0.2">
      <c r="F308" t="str">
        <f t="shared" ca="1" si="8"/>
        <v/>
      </c>
      <c r="G308">
        <f t="shared" ca="1" si="9"/>
        <v>0</v>
      </c>
    </row>
    <row r="309" spans="6:7" x14ac:dyDescent="0.2">
      <c r="F309" t="str">
        <f t="shared" ca="1" si="8"/>
        <v/>
      </c>
      <c r="G309">
        <f t="shared" ca="1" si="9"/>
        <v>0</v>
      </c>
    </row>
    <row r="310" spans="6:7" x14ac:dyDescent="0.2">
      <c r="F310" t="str">
        <f t="shared" ca="1" si="8"/>
        <v/>
      </c>
      <c r="G310">
        <f t="shared" ca="1" si="9"/>
        <v>0</v>
      </c>
    </row>
    <row r="311" spans="6:7" x14ac:dyDescent="0.2">
      <c r="F311" t="str">
        <f t="shared" ca="1" si="8"/>
        <v/>
      </c>
      <c r="G311">
        <f t="shared" ca="1" si="9"/>
        <v>0</v>
      </c>
    </row>
    <row r="312" spans="6:7" x14ac:dyDescent="0.2">
      <c r="F312" t="str">
        <f t="shared" ca="1" si="8"/>
        <v/>
      </c>
      <c r="G312">
        <f t="shared" ca="1" si="9"/>
        <v>0</v>
      </c>
    </row>
    <row r="313" spans="6:7" x14ac:dyDescent="0.2">
      <c r="F313" t="str">
        <f t="shared" ca="1" si="8"/>
        <v/>
      </c>
      <c r="G313">
        <f t="shared" ca="1" si="9"/>
        <v>0</v>
      </c>
    </row>
    <row r="314" spans="6:7" x14ac:dyDescent="0.2">
      <c r="F314" t="str">
        <f t="shared" ca="1" si="8"/>
        <v/>
      </c>
      <c r="G314">
        <f t="shared" ca="1" si="9"/>
        <v>0</v>
      </c>
    </row>
    <row r="315" spans="6:7" x14ac:dyDescent="0.2">
      <c r="F315" t="str">
        <f t="shared" ca="1" si="8"/>
        <v/>
      </c>
      <c r="G315">
        <f t="shared" ca="1" si="9"/>
        <v>0</v>
      </c>
    </row>
    <row r="316" spans="6:7" x14ac:dyDescent="0.2">
      <c r="F316" t="str">
        <f t="shared" ca="1" si="8"/>
        <v/>
      </c>
      <c r="G316">
        <f t="shared" ca="1" si="9"/>
        <v>0</v>
      </c>
    </row>
    <row r="317" spans="6:7" x14ac:dyDescent="0.2">
      <c r="F317" t="str">
        <f t="shared" ca="1" si="8"/>
        <v/>
      </c>
      <c r="G317">
        <f t="shared" ca="1" si="9"/>
        <v>0</v>
      </c>
    </row>
    <row r="318" spans="6:7" x14ac:dyDescent="0.2">
      <c r="F318" t="str">
        <f t="shared" ca="1" si="8"/>
        <v/>
      </c>
      <c r="G318">
        <f t="shared" ca="1" si="9"/>
        <v>0</v>
      </c>
    </row>
    <row r="319" spans="6:7" x14ac:dyDescent="0.2">
      <c r="F319" t="str">
        <f t="shared" ca="1" si="8"/>
        <v/>
      </c>
      <c r="G319">
        <f t="shared" ca="1" si="9"/>
        <v>0</v>
      </c>
    </row>
    <row r="320" spans="6:7" x14ac:dyDescent="0.2">
      <c r="F320" t="str">
        <f t="shared" ca="1" si="8"/>
        <v/>
      </c>
      <c r="G320">
        <f t="shared" ca="1" si="9"/>
        <v>0</v>
      </c>
    </row>
    <row r="321" spans="6:7" x14ac:dyDescent="0.2">
      <c r="F321" t="str">
        <f t="shared" ca="1" si="8"/>
        <v/>
      </c>
      <c r="G321">
        <f t="shared" ca="1" si="9"/>
        <v>0</v>
      </c>
    </row>
    <row r="322" spans="6:7" x14ac:dyDescent="0.2">
      <c r="F322" t="str">
        <f t="shared" ref="F322:F365" ca="1" si="10">IFERROR(MATCH(OFFSET($A$1,ROW()-1,0,1,1),A:A,0),"")</f>
        <v/>
      </c>
      <c r="G322">
        <f t="shared" ref="G322:G365" ca="1" si="11">COUNTIF(A:A,OFFSET($A$1,ROW()-1,0))</f>
        <v>0</v>
      </c>
    </row>
    <row r="323" spans="6:7" x14ac:dyDescent="0.2">
      <c r="F323" t="str">
        <f t="shared" ca="1" si="10"/>
        <v/>
      </c>
      <c r="G323">
        <f t="shared" ca="1" si="11"/>
        <v>0</v>
      </c>
    </row>
    <row r="324" spans="6:7" x14ac:dyDescent="0.2">
      <c r="F324" t="str">
        <f t="shared" ca="1" si="10"/>
        <v/>
      </c>
      <c r="G324">
        <f t="shared" ca="1" si="11"/>
        <v>0</v>
      </c>
    </row>
    <row r="325" spans="6:7" x14ac:dyDescent="0.2">
      <c r="F325" t="str">
        <f t="shared" ca="1" si="10"/>
        <v/>
      </c>
      <c r="G325">
        <f t="shared" ca="1" si="11"/>
        <v>0</v>
      </c>
    </row>
    <row r="326" spans="6:7" x14ac:dyDescent="0.2">
      <c r="F326" t="str">
        <f t="shared" ca="1" si="10"/>
        <v/>
      </c>
      <c r="G326">
        <f t="shared" ca="1" si="11"/>
        <v>0</v>
      </c>
    </row>
    <row r="327" spans="6:7" x14ac:dyDescent="0.2">
      <c r="F327" t="str">
        <f t="shared" ca="1" si="10"/>
        <v/>
      </c>
      <c r="G327">
        <f t="shared" ca="1" si="11"/>
        <v>0</v>
      </c>
    </row>
    <row r="328" spans="6:7" x14ac:dyDescent="0.2">
      <c r="F328" t="str">
        <f t="shared" ca="1" si="10"/>
        <v/>
      </c>
      <c r="G328">
        <f t="shared" ca="1" si="11"/>
        <v>0</v>
      </c>
    </row>
    <row r="329" spans="6:7" x14ac:dyDescent="0.2">
      <c r="F329" t="str">
        <f t="shared" ca="1" si="10"/>
        <v/>
      </c>
      <c r="G329">
        <f t="shared" ca="1" si="11"/>
        <v>0</v>
      </c>
    </row>
    <row r="330" spans="6:7" x14ac:dyDescent="0.2">
      <c r="F330" t="str">
        <f t="shared" ca="1" si="10"/>
        <v/>
      </c>
      <c r="G330">
        <f t="shared" ca="1" si="11"/>
        <v>0</v>
      </c>
    </row>
    <row r="331" spans="6:7" x14ac:dyDescent="0.2">
      <c r="F331" t="str">
        <f t="shared" ca="1" si="10"/>
        <v/>
      </c>
      <c r="G331">
        <f t="shared" ca="1" si="11"/>
        <v>0</v>
      </c>
    </row>
    <row r="332" spans="6:7" x14ac:dyDescent="0.2">
      <c r="F332" t="str">
        <f t="shared" ca="1" si="10"/>
        <v/>
      </c>
      <c r="G332">
        <f t="shared" ca="1" si="11"/>
        <v>0</v>
      </c>
    </row>
    <row r="333" spans="6:7" x14ac:dyDescent="0.2">
      <c r="F333" t="str">
        <f t="shared" ca="1" si="10"/>
        <v/>
      </c>
      <c r="G333">
        <f t="shared" ca="1" si="11"/>
        <v>0</v>
      </c>
    </row>
    <row r="334" spans="6:7" x14ac:dyDescent="0.2">
      <c r="F334" t="str">
        <f t="shared" ca="1" si="10"/>
        <v/>
      </c>
      <c r="G334">
        <f t="shared" ca="1" si="11"/>
        <v>0</v>
      </c>
    </row>
    <row r="335" spans="6:7" x14ac:dyDescent="0.2">
      <c r="F335" t="str">
        <f t="shared" ca="1" si="10"/>
        <v/>
      </c>
      <c r="G335">
        <f t="shared" ca="1" si="11"/>
        <v>0</v>
      </c>
    </row>
    <row r="336" spans="6:7" x14ac:dyDescent="0.2">
      <c r="F336" t="str">
        <f t="shared" ca="1" si="10"/>
        <v/>
      </c>
      <c r="G336">
        <f t="shared" ca="1" si="11"/>
        <v>0</v>
      </c>
    </row>
    <row r="337" spans="6:7" x14ac:dyDescent="0.2">
      <c r="F337" t="str">
        <f t="shared" ca="1" si="10"/>
        <v/>
      </c>
      <c r="G337">
        <f t="shared" ca="1" si="11"/>
        <v>0</v>
      </c>
    </row>
    <row r="338" spans="6:7" x14ac:dyDescent="0.2">
      <c r="F338" t="str">
        <f t="shared" ca="1" si="10"/>
        <v/>
      </c>
      <c r="G338">
        <f t="shared" ca="1" si="11"/>
        <v>0</v>
      </c>
    </row>
    <row r="339" spans="6:7" x14ac:dyDescent="0.2">
      <c r="F339" t="str">
        <f t="shared" ca="1" si="10"/>
        <v/>
      </c>
      <c r="G339">
        <f t="shared" ca="1" si="11"/>
        <v>0</v>
      </c>
    </row>
    <row r="340" spans="6:7" x14ac:dyDescent="0.2">
      <c r="F340" t="str">
        <f t="shared" ca="1" si="10"/>
        <v/>
      </c>
      <c r="G340">
        <f t="shared" ca="1" si="11"/>
        <v>0</v>
      </c>
    </row>
    <row r="341" spans="6:7" x14ac:dyDescent="0.2">
      <c r="F341" t="str">
        <f t="shared" ca="1" si="10"/>
        <v/>
      </c>
      <c r="G341">
        <f t="shared" ca="1" si="11"/>
        <v>0</v>
      </c>
    </row>
    <row r="342" spans="6:7" x14ac:dyDescent="0.2">
      <c r="F342" t="str">
        <f t="shared" ca="1" si="10"/>
        <v/>
      </c>
      <c r="G342">
        <f t="shared" ca="1" si="11"/>
        <v>0</v>
      </c>
    </row>
    <row r="343" spans="6:7" x14ac:dyDescent="0.2">
      <c r="F343" t="str">
        <f t="shared" ca="1" si="10"/>
        <v/>
      </c>
      <c r="G343">
        <f t="shared" ca="1" si="11"/>
        <v>0</v>
      </c>
    </row>
    <row r="344" spans="6:7" x14ac:dyDescent="0.2">
      <c r="F344" t="str">
        <f t="shared" ca="1" si="10"/>
        <v/>
      </c>
      <c r="G344">
        <f t="shared" ca="1" si="11"/>
        <v>0</v>
      </c>
    </row>
    <row r="345" spans="6:7" x14ac:dyDescent="0.2">
      <c r="F345" t="str">
        <f t="shared" ca="1" si="10"/>
        <v/>
      </c>
      <c r="G345">
        <f t="shared" ca="1" si="11"/>
        <v>0</v>
      </c>
    </row>
    <row r="346" spans="6:7" x14ac:dyDescent="0.2">
      <c r="F346" t="str">
        <f t="shared" ca="1" si="10"/>
        <v/>
      </c>
      <c r="G346">
        <f t="shared" ca="1" si="11"/>
        <v>0</v>
      </c>
    </row>
    <row r="347" spans="6:7" x14ac:dyDescent="0.2">
      <c r="F347" t="str">
        <f t="shared" ca="1" si="10"/>
        <v/>
      </c>
      <c r="G347">
        <f t="shared" ca="1" si="11"/>
        <v>0</v>
      </c>
    </row>
    <row r="348" spans="6:7" x14ac:dyDescent="0.2">
      <c r="F348" t="str">
        <f t="shared" ca="1" si="10"/>
        <v/>
      </c>
      <c r="G348">
        <f t="shared" ca="1" si="11"/>
        <v>0</v>
      </c>
    </row>
    <row r="349" spans="6:7" x14ac:dyDescent="0.2">
      <c r="F349" t="str">
        <f t="shared" ca="1" si="10"/>
        <v/>
      </c>
      <c r="G349">
        <f t="shared" ca="1" si="11"/>
        <v>0</v>
      </c>
    </row>
    <row r="350" spans="6:7" x14ac:dyDescent="0.2">
      <c r="F350" t="str">
        <f t="shared" ca="1" si="10"/>
        <v/>
      </c>
      <c r="G350">
        <f t="shared" ca="1" si="11"/>
        <v>0</v>
      </c>
    </row>
    <row r="351" spans="6:7" x14ac:dyDescent="0.2">
      <c r="F351" t="str">
        <f t="shared" ca="1" si="10"/>
        <v/>
      </c>
      <c r="G351">
        <f t="shared" ca="1" si="11"/>
        <v>0</v>
      </c>
    </row>
    <row r="352" spans="6:7" x14ac:dyDescent="0.2">
      <c r="F352" t="str">
        <f t="shared" ca="1" si="10"/>
        <v/>
      </c>
      <c r="G352">
        <f t="shared" ca="1" si="11"/>
        <v>0</v>
      </c>
    </row>
    <row r="353" spans="6:7" x14ac:dyDescent="0.2">
      <c r="F353" t="str">
        <f t="shared" ca="1" si="10"/>
        <v/>
      </c>
      <c r="G353">
        <f t="shared" ca="1" si="11"/>
        <v>0</v>
      </c>
    </row>
    <row r="354" spans="6:7" x14ac:dyDescent="0.2">
      <c r="F354" t="str">
        <f t="shared" ca="1" si="10"/>
        <v/>
      </c>
      <c r="G354">
        <f t="shared" ca="1" si="11"/>
        <v>0</v>
      </c>
    </row>
    <row r="355" spans="6:7" x14ac:dyDescent="0.2">
      <c r="F355" t="str">
        <f t="shared" ca="1" si="10"/>
        <v/>
      </c>
      <c r="G355">
        <f t="shared" ca="1" si="11"/>
        <v>0</v>
      </c>
    </row>
    <row r="356" spans="6:7" x14ac:dyDescent="0.2">
      <c r="F356" t="str">
        <f t="shared" ca="1" si="10"/>
        <v/>
      </c>
      <c r="G356">
        <f t="shared" ca="1" si="11"/>
        <v>0</v>
      </c>
    </row>
    <row r="357" spans="6:7" x14ac:dyDescent="0.2">
      <c r="F357" t="str">
        <f t="shared" ca="1" si="10"/>
        <v/>
      </c>
      <c r="G357">
        <f t="shared" ca="1" si="11"/>
        <v>0</v>
      </c>
    </row>
    <row r="358" spans="6:7" x14ac:dyDescent="0.2">
      <c r="F358" t="str">
        <f t="shared" ca="1" si="10"/>
        <v/>
      </c>
      <c r="G358">
        <f t="shared" ca="1" si="11"/>
        <v>0</v>
      </c>
    </row>
    <row r="359" spans="6:7" x14ac:dyDescent="0.2">
      <c r="F359" t="str">
        <f t="shared" ca="1" si="10"/>
        <v/>
      </c>
      <c r="G359">
        <f t="shared" ca="1" si="11"/>
        <v>0</v>
      </c>
    </row>
    <row r="360" spans="6:7" x14ac:dyDescent="0.2">
      <c r="F360" t="str">
        <f t="shared" ca="1" si="10"/>
        <v/>
      </c>
      <c r="G360">
        <f t="shared" ca="1" si="11"/>
        <v>0</v>
      </c>
    </row>
    <row r="361" spans="6:7" x14ac:dyDescent="0.2">
      <c r="F361" t="str">
        <f t="shared" ca="1" si="10"/>
        <v/>
      </c>
      <c r="G361">
        <f t="shared" ca="1" si="11"/>
        <v>0</v>
      </c>
    </row>
    <row r="362" spans="6:7" x14ac:dyDescent="0.2">
      <c r="F362" t="str">
        <f t="shared" ca="1" si="10"/>
        <v/>
      </c>
      <c r="G362">
        <f t="shared" ca="1" si="11"/>
        <v>0</v>
      </c>
    </row>
    <row r="363" spans="6:7" x14ac:dyDescent="0.2">
      <c r="F363" t="str">
        <f t="shared" ca="1" si="10"/>
        <v/>
      </c>
      <c r="G363">
        <f t="shared" ca="1" si="11"/>
        <v>0</v>
      </c>
    </row>
    <row r="364" spans="6:7" x14ac:dyDescent="0.2">
      <c r="F364" t="str">
        <f t="shared" ca="1" si="10"/>
        <v/>
      </c>
      <c r="G364">
        <f t="shared" ca="1" si="11"/>
        <v>0</v>
      </c>
    </row>
    <row r="365" spans="6:7" x14ac:dyDescent="0.2">
      <c r="F365" t="str">
        <f t="shared" ca="1" si="10"/>
        <v/>
      </c>
      <c r="G365">
        <f t="shared" ca="1" si="11"/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66F-57BC-4308-B278-8874B8624E49}">
  <sheetPr codeName="Sht_AHSubClass"/>
  <dimension ref="A1:G81"/>
  <sheetViews>
    <sheetView topLeftCell="A59" workbookViewId="0">
      <selection activeCell="B35" sqref="B35"/>
    </sheetView>
  </sheetViews>
  <sheetFormatPr defaultRowHeight="14.25" x14ac:dyDescent="0.2"/>
  <cols>
    <col min="1" max="1" width="27.75" bestFit="1" customWidth="1"/>
    <col min="2" max="2" width="38" bestFit="1" customWidth="1"/>
  </cols>
  <sheetData>
    <row r="1" spans="1:7" x14ac:dyDescent="0.2">
      <c r="A1" t="s">
        <v>359</v>
      </c>
      <c r="B1" t="s">
        <v>360</v>
      </c>
    </row>
    <row r="2" spans="1:7" x14ac:dyDescent="0.2">
      <c r="A2" t="s">
        <v>1205</v>
      </c>
      <c r="B2" t="s">
        <v>1205</v>
      </c>
      <c r="F2">
        <f t="shared" ref="F2:F33" ca="1" si="0">IFERROR(MATCH(OFFSET($A$1,ROW()-1,0,1,1),A:A,0),"")</f>
        <v>2</v>
      </c>
      <c r="G2">
        <f t="shared" ref="G2:G33" ca="1" si="1">COUNTIF(A:A,OFFSET($A$1,ROW()-1,0))</f>
        <v>1</v>
      </c>
    </row>
    <row r="3" spans="1:7" x14ac:dyDescent="0.2">
      <c r="A3" t="s">
        <v>274</v>
      </c>
      <c r="B3" t="s">
        <v>395</v>
      </c>
      <c r="F3">
        <f t="shared" ca="1" si="0"/>
        <v>3</v>
      </c>
      <c r="G3">
        <f t="shared" ca="1" si="1"/>
        <v>5</v>
      </c>
    </row>
    <row r="4" spans="1:7" x14ac:dyDescent="0.2">
      <c r="A4" t="s">
        <v>274</v>
      </c>
      <c r="B4" t="s">
        <v>396</v>
      </c>
      <c r="F4">
        <f t="shared" ca="1" si="0"/>
        <v>3</v>
      </c>
      <c r="G4">
        <f t="shared" ca="1" si="1"/>
        <v>5</v>
      </c>
    </row>
    <row r="5" spans="1:7" x14ac:dyDescent="0.2">
      <c r="A5" t="s">
        <v>274</v>
      </c>
      <c r="B5" t="s">
        <v>398</v>
      </c>
      <c r="F5">
        <f t="shared" ca="1" si="0"/>
        <v>3</v>
      </c>
      <c r="G5">
        <f t="shared" ca="1" si="1"/>
        <v>5</v>
      </c>
    </row>
    <row r="6" spans="1:7" x14ac:dyDescent="0.2">
      <c r="A6" t="s">
        <v>274</v>
      </c>
      <c r="B6" t="s">
        <v>394</v>
      </c>
      <c r="F6">
        <f t="shared" ca="1" si="0"/>
        <v>3</v>
      </c>
      <c r="G6">
        <f t="shared" ca="1" si="1"/>
        <v>5</v>
      </c>
    </row>
    <row r="7" spans="1:7" x14ac:dyDescent="0.2">
      <c r="A7" t="s">
        <v>274</v>
      </c>
      <c r="B7" t="s">
        <v>397</v>
      </c>
      <c r="F7">
        <f t="shared" ca="1" si="0"/>
        <v>3</v>
      </c>
      <c r="G7">
        <f t="shared" ca="1" si="1"/>
        <v>5</v>
      </c>
    </row>
    <row r="8" spans="1:7" x14ac:dyDescent="0.2">
      <c r="A8" t="s">
        <v>258</v>
      </c>
      <c r="B8" t="s">
        <v>258</v>
      </c>
      <c r="F8">
        <f t="shared" ca="1" si="0"/>
        <v>8</v>
      </c>
      <c r="G8">
        <f t="shared" ca="1" si="1"/>
        <v>1</v>
      </c>
    </row>
    <row r="9" spans="1:7" x14ac:dyDescent="0.2">
      <c r="A9" t="s">
        <v>284</v>
      </c>
      <c r="B9" t="s">
        <v>424</v>
      </c>
      <c r="F9">
        <f t="shared" ca="1" si="0"/>
        <v>9</v>
      </c>
      <c r="G9">
        <f t="shared" ca="1" si="1"/>
        <v>12</v>
      </c>
    </row>
    <row r="10" spans="1:7" x14ac:dyDescent="0.2">
      <c r="A10" t="s">
        <v>284</v>
      </c>
      <c r="B10" t="s">
        <v>423</v>
      </c>
      <c r="F10">
        <f t="shared" ca="1" si="0"/>
        <v>9</v>
      </c>
      <c r="G10">
        <f t="shared" ca="1" si="1"/>
        <v>12</v>
      </c>
    </row>
    <row r="11" spans="1:7" x14ac:dyDescent="0.2">
      <c r="A11" t="s">
        <v>284</v>
      </c>
      <c r="B11" t="s">
        <v>426</v>
      </c>
      <c r="F11">
        <f t="shared" ca="1" si="0"/>
        <v>9</v>
      </c>
      <c r="G11">
        <f t="shared" ca="1" si="1"/>
        <v>12</v>
      </c>
    </row>
    <row r="12" spans="1:7" x14ac:dyDescent="0.2">
      <c r="A12" t="s">
        <v>284</v>
      </c>
      <c r="B12" t="s">
        <v>372</v>
      </c>
      <c r="F12">
        <f t="shared" ca="1" si="0"/>
        <v>9</v>
      </c>
      <c r="G12">
        <f t="shared" ca="1" si="1"/>
        <v>12</v>
      </c>
    </row>
    <row r="13" spans="1:7" x14ac:dyDescent="0.2">
      <c r="A13" t="s">
        <v>284</v>
      </c>
      <c r="B13" t="s">
        <v>425</v>
      </c>
      <c r="F13">
        <f t="shared" ca="1" si="0"/>
        <v>9</v>
      </c>
      <c r="G13">
        <f t="shared" ca="1" si="1"/>
        <v>12</v>
      </c>
    </row>
    <row r="14" spans="1:7" x14ac:dyDescent="0.2">
      <c r="A14" t="s">
        <v>284</v>
      </c>
      <c r="B14" t="s">
        <v>429</v>
      </c>
      <c r="F14">
        <f t="shared" ca="1" si="0"/>
        <v>9</v>
      </c>
      <c r="G14">
        <f t="shared" ca="1" si="1"/>
        <v>12</v>
      </c>
    </row>
    <row r="15" spans="1:7" x14ac:dyDescent="0.2">
      <c r="A15" t="s">
        <v>284</v>
      </c>
      <c r="B15" t="s">
        <v>409</v>
      </c>
      <c r="F15">
        <f t="shared" ca="1" si="0"/>
        <v>9</v>
      </c>
      <c r="G15">
        <f t="shared" ca="1" si="1"/>
        <v>12</v>
      </c>
    </row>
    <row r="16" spans="1:7" x14ac:dyDescent="0.2">
      <c r="A16" t="s">
        <v>284</v>
      </c>
      <c r="B16" t="s">
        <v>427</v>
      </c>
      <c r="F16">
        <f t="shared" ca="1" si="0"/>
        <v>9</v>
      </c>
      <c r="G16">
        <f t="shared" ca="1" si="1"/>
        <v>12</v>
      </c>
    </row>
    <row r="17" spans="1:7" x14ac:dyDescent="0.2">
      <c r="A17" t="s">
        <v>284</v>
      </c>
      <c r="B17" t="s">
        <v>428</v>
      </c>
      <c r="F17">
        <f t="shared" ca="1" si="0"/>
        <v>9</v>
      </c>
      <c r="G17">
        <f t="shared" ca="1" si="1"/>
        <v>12</v>
      </c>
    </row>
    <row r="18" spans="1:7" x14ac:dyDescent="0.2">
      <c r="A18" t="s">
        <v>284</v>
      </c>
      <c r="B18" t="s">
        <v>434</v>
      </c>
      <c r="F18">
        <f t="shared" ca="1" si="0"/>
        <v>9</v>
      </c>
      <c r="G18">
        <f t="shared" ca="1" si="1"/>
        <v>12</v>
      </c>
    </row>
    <row r="19" spans="1:7" x14ac:dyDescent="0.2">
      <c r="A19" t="s">
        <v>284</v>
      </c>
      <c r="B19" t="s">
        <v>1182</v>
      </c>
      <c r="F19">
        <f t="shared" ca="1" si="0"/>
        <v>9</v>
      </c>
      <c r="G19">
        <f t="shared" ca="1" si="1"/>
        <v>12</v>
      </c>
    </row>
    <row r="20" spans="1:7" x14ac:dyDescent="0.2">
      <c r="A20" t="s">
        <v>284</v>
      </c>
      <c r="B20" t="s">
        <v>1183</v>
      </c>
      <c r="F20">
        <f t="shared" ca="1" si="0"/>
        <v>9</v>
      </c>
      <c r="G20">
        <f t="shared" ca="1" si="1"/>
        <v>12</v>
      </c>
    </row>
    <row r="21" spans="1:7" x14ac:dyDescent="0.2">
      <c r="A21" t="s">
        <v>121</v>
      </c>
      <c r="B21" t="s">
        <v>75</v>
      </c>
      <c r="F21">
        <f t="shared" ca="1" si="0"/>
        <v>21</v>
      </c>
      <c r="G21">
        <f t="shared" ca="1" si="1"/>
        <v>2</v>
      </c>
    </row>
    <row r="22" spans="1:7" x14ac:dyDescent="0.2">
      <c r="A22" t="s">
        <v>121</v>
      </c>
      <c r="B22" t="s">
        <v>121</v>
      </c>
      <c r="F22">
        <f t="shared" ca="1" si="0"/>
        <v>21</v>
      </c>
      <c r="G22">
        <f t="shared" ca="1" si="1"/>
        <v>2</v>
      </c>
    </row>
    <row r="23" spans="1:7" x14ac:dyDescent="0.2">
      <c r="A23" t="s">
        <v>264</v>
      </c>
      <c r="B23" t="s">
        <v>51</v>
      </c>
      <c r="F23">
        <f t="shared" ca="1" si="0"/>
        <v>23</v>
      </c>
      <c r="G23">
        <f t="shared" ca="1" si="1"/>
        <v>4</v>
      </c>
    </row>
    <row r="24" spans="1:7" x14ac:dyDescent="0.2">
      <c r="A24" t="s">
        <v>264</v>
      </c>
      <c r="B24" t="s">
        <v>422</v>
      </c>
      <c r="F24">
        <f t="shared" ca="1" si="0"/>
        <v>23</v>
      </c>
      <c r="G24">
        <f t="shared" ca="1" si="1"/>
        <v>4</v>
      </c>
    </row>
    <row r="25" spans="1:7" x14ac:dyDescent="0.2">
      <c r="A25" t="s">
        <v>264</v>
      </c>
      <c r="B25" t="s">
        <v>404</v>
      </c>
      <c r="F25">
        <f t="shared" ca="1" si="0"/>
        <v>23</v>
      </c>
      <c r="G25">
        <f t="shared" ca="1" si="1"/>
        <v>4</v>
      </c>
    </row>
    <row r="26" spans="1:7" x14ac:dyDescent="0.2">
      <c r="A26" t="s">
        <v>264</v>
      </c>
      <c r="B26" t="s">
        <v>420</v>
      </c>
      <c r="F26">
        <f t="shared" ca="1" si="0"/>
        <v>23</v>
      </c>
      <c r="G26">
        <f t="shared" ca="1" si="1"/>
        <v>4</v>
      </c>
    </row>
    <row r="27" spans="1:7" x14ac:dyDescent="0.2">
      <c r="A27" t="s">
        <v>377</v>
      </c>
      <c r="B27" t="s">
        <v>441</v>
      </c>
      <c r="F27">
        <f t="shared" ca="1" si="0"/>
        <v>27</v>
      </c>
      <c r="G27">
        <f t="shared" ca="1" si="1"/>
        <v>6</v>
      </c>
    </row>
    <row r="28" spans="1:7" x14ac:dyDescent="0.2">
      <c r="A28" t="s">
        <v>377</v>
      </c>
      <c r="B28" t="s">
        <v>432</v>
      </c>
      <c r="F28">
        <f t="shared" ca="1" si="0"/>
        <v>27</v>
      </c>
      <c r="G28">
        <f t="shared" ca="1" si="1"/>
        <v>6</v>
      </c>
    </row>
    <row r="29" spans="1:7" x14ac:dyDescent="0.2">
      <c r="A29" t="s">
        <v>377</v>
      </c>
      <c r="B29" t="s">
        <v>460</v>
      </c>
      <c r="F29">
        <f t="shared" ca="1" si="0"/>
        <v>27</v>
      </c>
      <c r="G29">
        <f t="shared" ca="1" si="1"/>
        <v>6</v>
      </c>
    </row>
    <row r="30" spans="1:7" x14ac:dyDescent="0.2">
      <c r="A30" t="s">
        <v>377</v>
      </c>
      <c r="B30" t="s">
        <v>1166</v>
      </c>
      <c r="F30">
        <f t="shared" ca="1" si="0"/>
        <v>27</v>
      </c>
      <c r="G30">
        <f t="shared" ca="1" si="1"/>
        <v>6</v>
      </c>
    </row>
    <row r="31" spans="1:7" x14ac:dyDescent="0.2">
      <c r="A31" t="s">
        <v>377</v>
      </c>
      <c r="B31" t="s">
        <v>353</v>
      </c>
      <c r="F31">
        <f t="shared" ca="1" si="0"/>
        <v>27</v>
      </c>
      <c r="G31">
        <f t="shared" ca="1" si="1"/>
        <v>6</v>
      </c>
    </row>
    <row r="32" spans="1:7" x14ac:dyDescent="0.2">
      <c r="A32" t="s">
        <v>377</v>
      </c>
      <c r="B32" t="s">
        <v>378</v>
      </c>
      <c r="F32">
        <f t="shared" ca="1" si="0"/>
        <v>27</v>
      </c>
      <c r="G32">
        <f t="shared" ca="1" si="1"/>
        <v>6</v>
      </c>
    </row>
    <row r="33" spans="1:7" x14ac:dyDescent="0.2">
      <c r="A33" t="s">
        <v>438</v>
      </c>
      <c r="B33" t="s">
        <v>439</v>
      </c>
      <c r="F33">
        <f t="shared" ca="1" si="0"/>
        <v>33</v>
      </c>
      <c r="G33">
        <f t="shared" ca="1" si="1"/>
        <v>2</v>
      </c>
    </row>
    <row r="34" spans="1:7" x14ac:dyDescent="0.2">
      <c r="A34" t="s">
        <v>438</v>
      </c>
      <c r="B34" t="s">
        <v>448</v>
      </c>
      <c r="F34">
        <f t="shared" ref="F34:F65" ca="1" si="2">IFERROR(MATCH(OFFSET($A$1,ROW()-1,0,1,1),A:A,0),"")</f>
        <v>33</v>
      </c>
      <c r="G34">
        <f t="shared" ref="G34:G65" ca="1" si="3">COUNTIF(A:A,OFFSET($A$1,ROW()-1,0))</f>
        <v>2</v>
      </c>
    </row>
    <row r="35" spans="1:7" x14ac:dyDescent="0.2">
      <c r="A35" t="s">
        <v>363</v>
      </c>
      <c r="B35" t="s">
        <v>272</v>
      </c>
      <c r="F35">
        <f t="shared" ca="1" si="2"/>
        <v>35</v>
      </c>
      <c r="G35">
        <f t="shared" ca="1" si="3"/>
        <v>5</v>
      </c>
    </row>
    <row r="36" spans="1:7" x14ac:dyDescent="0.2">
      <c r="A36" t="s">
        <v>363</v>
      </c>
      <c r="B36" t="s">
        <v>316</v>
      </c>
      <c r="F36">
        <f t="shared" ca="1" si="2"/>
        <v>35</v>
      </c>
      <c r="G36">
        <f t="shared" ca="1" si="3"/>
        <v>5</v>
      </c>
    </row>
    <row r="37" spans="1:7" x14ac:dyDescent="0.2">
      <c r="A37" t="s">
        <v>363</v>
      </c>
      <c r="B37" t="s">
        <v>364</v>
      </c>
      <c r="F37">
        <f t="shared" ca="1" si="2"/>
        <v>35</v>
      </c>
      <c r="G37">
        <f t="shared" ca="1" si="3"/>
        <v>5</v>
      </c>
    </row>
    <row r="38" spans="1:7" x14ac:dyDescent="0.2">
      <c r="A38" t="s">
        <v>363</v>
      </c>
      <c r="B38" t="s">
        <v>339</v>
      </c>
      <c r="F38">
        <f t="shared" ca="1" si="2"/>
        <v>35</v>
      </c>
      <c r="G38">
        <f t="shared" ca="1" si="3"/>
        <v>5</v>
      </c>
    </row>
    <row r="39" spans="1:7" x14ac:dyDescent="0.2">
      <c r="A39" t="s">
        <v>363</v>
      </c>
      <c r="B39" t="s">
        <v>289</v>
      </c>
      <c r="F39">
        <f t="shared" ca="1" si="2"/>
        <v>35</v>
      </c>
      <c r="G39">
        <f t="shared" ca="1" si="3"/>
        <v>5</v>
      </c>
    </row>
    <row r="40" spans="1:7" x14ac:dyDescent="0.2">
      <c r="A40" t="s">
        <v>263</v>
      </c>
      <c r="B40" t="s">
        <v>372</v>
      </c>
      <c r="F40">
        <f t="shared" ca="1" si="2"/>
        <v>40</v>
      </c>
      <c r="G40">
        <f t="shared" ca="1" si="3"/>
        <v>9</v>
      </c>
    </row>
    <row r="41" spans="1:7" x14ac:dyDescent="0.2">
      <c r="A41" t="s">
        <v>263</v>
      </c>
      <c r="B41" t="s">
        <v>375</v>
      </c>
      <c r="F41">
        <f t="shared" ca="1" si="2"/>
        <v>40</v>
      </c>
      <c r="G41">
        <f t="shared" ca="1" si="3"/>
        <v>9</v>
      </c>
    </row>
    <row r="42" spans="1:7" x14ac:dyDescent="0.2">
      <c r="A42" t="s">
        <v>263</v>
      </c>
      <c r="B42" t="s">
        <v>1207</v>
      </c>
      <c r="F42">
        <f t="shared" ca="1" si="2"/>
        <v>40</v>
      </c>
      <c r="G42">
        <f t="shared" ca="1" si="3"/>
        <v>9</v>
      </c>
    </row>
    <row r="43" spans="1:7" x14ac:dyDescent="0.2">
      <c r="A43" t="s">
        <v>263</v>
      </c>
      <c r="B43" t="s">
        <v>328</v>
      </c>
      <c r="F43">
        <f t="shared" ca="1" si="2"/>
        <v>40</v>
      </c>
      <c r="G43">
        <f t="shared" ca="1" si="3"/>
        <v>9</v>
      </c>
    </row>
    <row r="44" spans="1:7" x14ac:dyDescent="0.2">
      <c r="A44" t="s">
        <v>263</v>
      </c>
      <c r="B44" t="s">
        <v>454</v>
      </c>
      <c r="F44">
        <f t="shared" ca="1" si="2"/>
        <v>40</v>
      </c>
      <c r="G44">
        <f t="shared" ca="1" si="3"/>
        <v>9</v>
      </c>
    </row>
    <row r="45" spans="1:7" x14ac:dyDescent="0.2">
      <c r="A45" t="s">
        <v>263</v>
      </c>
      <c r="B45" t="s">
        <v>460</v>
      </c>
      <c r="F45">
        <f t="shared" ca="1" si="2"/>
        <v>40</v>
      </c>
      <c r="G45">
        <f t="shared" ca="1" si="3"/>
        <v>9</v>
      </c>
    </row>
    <row r="46" spans="1:7" x14ac:dyDescent="0.2">
      <c r="A46" t="s">
        <v>263</v>
      </c>
      <c r="B46" t="s">
        <v>415</v>
      </c>
      <c r="F46">
        <f t="shared" ca="1" si="2"/>
        <v>40</v>
      </c>
      <c r="G46">
        <f t="shared" ca="1" si="3"/>
        <v>9</v>
      </c>
    </row>
    <row r="47" spans="1:7" x14ac:dyDescent="0.2">
      <c r="A47" t="s">
        <v>263</v>
      </c>
      <c r="B47" t="s">
        <v>222</v>
      </c>
      <c r="F47">
        <f t="shared" ca="1" si="2"/>
        <v>40</v>
      </c>
      <c r="G47">
        <f t="shared" ca="1" si="3"/>
        <v>9</v>
      </c>
    </row>
    <row r="48" spans="1:7" x14ac:dyDescent="0.2">
      <c r="A48" t="s">
        <v>263</v>
      </c>
      <c r="B48" t="s">
        <v>383</v>
      </c>
      <c r="F48">
        <f t="shared" ca="1" si="2"/>
        <v>40</v>
      </c>
      <c r="G48">
        <f t="shared" ca="1" si="3"/>
        <v>9</v>
      </c>
    </row>
    <row r="49" spans="1:7" x14ac:dyDescent="0.2">
      <c r="A49" t="s">
        <v>255</v>
      </c>
      <c r="B49" t="s">
        <v>1195</v>
      </c>
      <c r="F49">
        <f t="shared" ca="1" si="2"/>
        <v>49</v>
      </c>
      <c r="G49">
        <f t="shared" ca="1" si="3"/>
        <v>5</v>
      </c>
    </row>
    <row r="50" spans="1:7" x14ac:dyDescent="0.2">
      <c r="A50" t="s">
        <v>255</v>
      </c>
      <c r="B50" t="s">
        <v>456</v>
      </c>
      <c r="F50">
        <f t="shared" ca="1" si="2"/>
        <v>49</v>
      </c>
      <c r="G50">
        <f t="shared" ca="1" si="3"/>
        <v>5</v>
      </c>
    </row>
    <row r="51" spans="1:7" x14ac:dyDescent="0.2">
      <c r="A51" t="s">
        <v>255</v>
      </c>
      <c r="B51" t="s">
        <v>367</v>
      </c>
      <c r="F51">
        <f t="shared" ca="1" si="2"/>
        <v>49</v>
      </c>
      <c r="G51">
        <f t="shared" ca="1" si="3"/>
        <v>5</v>
      </c>
    </row>
    <row r="52" spans="1:7" x14ac:dyDescent="0.2">
      <c r="A52" t="s">
        <v>255</v>
      </c>
      <c r="B52" t="s">
        <v>381</v>
      </c>
      <c r="F52">
        <f t="shared" ca="1" si="2"/>
        <v>49</v>
      </c>
      <c r="G52">
        <f t="shared" ca="1" si="3"/>
        <v>5</v>
      </c>
    </row>
    <row r="53" spans="1:7" x14ac:dyDescent="0.2">
      <c r="A53" t="s">
        <v>255</v>
      </c>
      <c r="B53" t="s">
        <v>368</v>
      </c>
      <c r="F53">
        <f t="shared" ca="1" si="2"/>
        <v>49</v>
      </c>
      <c r="G53">
        <f t="shared" ca="1" si="3"/>
        <v>5</v>
      </c>
    </row>
    <row r="54" spans="1:7" x14ac:dyDescent="0.2">
      <c r="F54" t="str">
        <f t="shared" ca="1" si="2"/>
        <v/>
      </c>
      <c r="G54">
        <f t="shared" ca="1" si="3"/>
        <v>0</v>
      </c>
    </row>
    <row r="55" spans="1:7" x14ac:dyDescent="0.2">
      <c r="F55" t="str">
        <f t="shared" ca="1" si="2"/>
        <v/>
      </c>
      <c r="G55">
        <f t="shared" ca="1" si="3"/>
        <v>0</v>
      </c>
    </row>
    <row r="56" spans="1:7" x14ac:dyDescent="0.2">
      <c r="F56" t="str">
        <f t="shared" ca="1" si="2"/>
        <v/>
      </c>
      <c r="G56">
        <f t="shared" ca="1" si="3"/>
        <v>0</v>
      </c>
    </row>
    <row r="57" spans="1:7" x14ac:dyDescent="0.2">
      <c r="F57" t="str">
        <f t="shared" ca="1" si="2"/>
        <v/>
      </c>
      <c r="G57">
        <f t="shared" ca="1" si="3"/>
        <v>0</v>
      </c>
    </row>
    <row r="58" spans="1:7" x14ac:dyDescent="0.2">
      <c r="F58" t="str">
        <f t="shared" ca="1" si="2"/>
        <v/>
      </c>
      <c r="G58">
        <f t="shared" ca="1" si="3"/>
        <v>0</v>
      </c>
    </row>
    <row r="59" spans="1:7" x14ac:dyDescent="0.2">
      <c r="F59" t="str">
        <f t="shared" ca="1" si="2"/>
        <v/>
      </c>
      <c r="G59">
        <f t="shared" ca="1" si="3"/>
        <v>0</v>
      </c>
    </row>
    <row r="60" spans="1:7" x14ac:dyDescent="0.2">
      <c r="F60" t="str">
        <f t="shared" ca="1" si="2"/>
        <v/>
      </c>
      <c r="G60">
        <f t="shared" ca="1" si="3"/>
        <v>0</v>
      </c>
    </row>
    <row r="61" spans="1:7" x14ac:dyDescent="0.2">
      <c r="F61" t="str">
        <f t="shared" ca="1" si="2"/>
        <v/>
      </c>
      <c r="G61">
        <f t="shared" ca="1" si="3"/>
        <v>0</v>
      </c>
    </row>
    <row r="62" spans="1:7" x14ac:dyDescent="0.2">
      <c r="F62" t="str">
        <f t="shared" ca="1" si="2"/>
        <v/>
      </c>
      <c r="G62">
        <f t="shared" ca="1" si="3"/>
        <v>0</v>
      </c>
    </row>
    <row r="63" spans="1:7" x14ac:dyDescent="0.2">
      <c r="F63" t="str">
        <f t="shared" ca="1" si="2"/>
        <v/>
      </c>
      <c r="G63">
        <f t="shared" ca="1" si="3"/>
        <v>0</v>
      </c>
    </row>
    <row r="64" spans="1:7" x14ac:dyDescent="0.2">
      <c r="F64" t="str">
        <f t="shared" ca="1" si="2"/>
        <v/>
      </c>
      <c r="G64">
        <f t="shared" ca="1" si="3"/>
        <v>0</v>
      </c>
    </row>
    <row r="65" spans="6:7" x14ac:dyDescent="0.2">
      <c r="F65" t="str">
        <f t="shared" ca="1" si="2"/>
        <v/>
      </c>
      <c r="G65">
        <f t="shared" ca="1" si="3"/>
        <v>0</v>
      </c>
    </row>
    <row r="66" spans="6:7" x14ac:dyDescent="0.2">
      <c r="F66" t="str">
        <f t="shared" ref="F66:F81" ca="1" si="4">IFERROR(MATCH(OFFSET($A$1,ROW()-1,0,1,1),A:A,0),"")</f>
        <v/>
      </c>
      <c r="G66">
        <f t="shared" ref="G66:G81" ca="1" si="5">COUNTIF(A:A,OFFSET($A$1,ROW()-1,0))</f>
        <v>0</v>
      </c>
    </row>
    <row r="67" spans="6:7" x14ac:dyDescent="0.2">
      <c r="F67" t="str">
        <f t="shared" ca="1" si="4"/>
        <v/>
      </c>
      <c r="G67">
        <f t="shared" ca="1" si="5"/>
        <v>0</v>
      </c>
    </row>
    <row r="68" spans="6:7" x14ac:dyDescent="0.2">
      <c r="F68" t="str">
        <f t="shared" ca="1" si="4"/>
        <v/>
      </c>
      <c r="G68">
        <f t="shared" ca="1" si="5"/>
        <v>0</v>
      </c>
    </row>
    <row r="69" spans="6:7" x14ac:dyDescent="0.2">
      <c r="F69" t="str">
        <f t="shared" ca="1" si="4"/>
        <v/>
      </c>
      <c r="G69">
        <f t="shared" ca="1" si="5"/>
        <v>0</v>
      </c>
    </row>
    <row r="70" spans="6:7" x14ac:dyDescent="0.2">
      <c r="F70" t="str">
        <f t="shared" ca="1" si="4"/>
        <v/>
      </c>
      <c r="G70">
        <f t="shared" ca="1" si="5"/>
        <v>0</v>
      </c>
    </row>
    <row r="71" spans="6:7" x14ac:dyDescent="0.2">
      <c r="F71" t="str">
        <f t="shared" ca="1" si="4"/>
        <v/>
      </c>
      <c r="G71">
        <f t="shared" ca="1" si="5"/>
        <v>0</v>
      </c>
    </row>
    <row r="72" spans="6:7" x14ac:dyDescent="0.2">
      <c r="F72" t="str">
        <f t="shared" ca="1" si="4"/>
        <v/>
      </c>
      <c r="G72">
        <f t="shared" ca="1" si="5"/>
        <v>0</v>
      </c>
    </row>
    <row r="73" spans="6:7" x14ac:dyDescent="0.2">
      <c r="F73" t="str">
        <f t="shared" ca="1" si="4"/>
        <v/>
      </c>
      <c r="G73">
        <f t="shared" ca="1" si="5"/>
        <v>0</v>
      </c>
    </row>
    <row r="74" spans="6:7" x14ac:dyDescent="0.2">
      <c r="F74" t="str">
        <f t="shared" ca="1" si="4"/>
        <v/>
      </c>
      <c r="G74">
        <f t="shared" ca="1" si="5"/>
        <v>0</v>
      </c>
    </row>
    <row r="75" spans="6:7" x14ac:dyDescent="0.2">
      <c r="F75" t="str">
        <f t="shared" ca="1" si="4"/>
        <v/>
      </c>
      <c r="G75">
        <f t="shared" ca="1" si="5"/>
        <v>0</v>
      </c>
    </row>
    <row r="76" spans="6:7" x14ac:dyDescent="0.2">
      <c r="F76" t="str">
        <f t="shared" ca="1" si="4"/>
        <v/>
      </c>
      <c r="G76">
        <f t="shared" ca="1" si="5"/>
        <v>0</v>
      </c>
    </row>
    <row r="77" spans="6:7" x14ac:dyDescent="0.2">
      <c r="F77" t="str">
        <f t="shared" ca="1" si="4"/>
        <v/>
      </c>
      <c r="G77">
        <f t="shared" ca="1" si="5"/>
        <v>0</v>
      </c>
    </row>
    <row r="78" spans="6:7" x14ac:dyDescent="0.2">
      <c r="F78" t="str">
        <f t="shared" ca="1" si="4"/>
        <v/>
      </c>
      <c r="G78">
        <f t="shared" ca="1" si="5"/>
        <v>0</v>
      </c>
    </row>
    <row r="79" spans="6:7" x14ac:dyDescent="0.2">
      <c r="F79" t="str">
        <f t="shared" ca="1" si="4"/>
        <v/>
      </c>
      <c r="G79">
        <f t="shared" ca="1" si="5"/>
        <v>0</v>
      </c>
    </row>
    <row r="80" spans="6:7" x14ac:dyDescent="0.2">
      <c r="F80" t="str">
        <f t="shared" ca="1" si="4"/>
        <v/>
      </c>
      <c r="G80">
        <f t="shared" ca="1" si="5"/>
        <v>0</v>
      </c>
    </row>
    <row r="81" spans="6:7" x14ac:dyDescent="0.2">
      <c r="F81" t="str">
        <f t="shared" ca="1" si="4"/>
        <v/>
      </c>
      <c r="G81">
        <f t="shared" ca="1" si="5"/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EBDA2-E79C-4BA2-A78C-E6CC93E36388}">
  <sheetPr codeName="Sht_AHClass"/>
  <dimension ref="A1:A12"/>
  <sheetViews>
    <sheetView workbookViewId="0">
      <selection activeCell="A6" sqref="A6"/>
    </sheetView>
  </sheetViews>
  <sheetFormatPr defaultRowHeight="14.25" x14ac:dyDescent="0.2"/>
  <cols>
    <col min="1" max="1" width="27.75" bestFit="1" customWidth="1"/>
  </cols>
  <sheetData>
    <row r="1" spans="1:1" x14ac:dyDescent="0.2">
      <c r="A1" t="s">
        <v>359</v>
      </c>
    </row>
    <row r="2" spans="1:1" x14ac:dyDescent="0.2">
      <c r="A2" t="s">
        <v>1205</v>
      </c>
    </row>
    <row r="3" spans="1:1" x14ac:dyDescent="0.2">
      <c r="A3" t="s">
        <v>274</v>
      </c>
    </row>
    <row r="4" spans="1:1" x14ac:dyDescent="0.2">
      <c r="A4" t="s">
        <v>258</v>
      </c>
    </row>
    <row r="5" spans="1:1" x14ac:dyDescent="0.2">
      <c r="A5" t="s">
        <v>284</v>
      </c>
    </row>
    <row r="6" spans="1:1" x14ac:dyDescent="0.2">
      <c r="A6" t="s">
        <v>121</v>
      </c>
    </row>
    <row r="7" spans="1:1" x14ac:dyDescent="0.2">
      <c r="A7" t="s">
        <v>264</v>
      </c>
    </row>
    <row r="8" spans="1:1" x14ac:dyDescent="0.2">
      <c r="A8" t="s">
        <v>377</v>
      </c>
    </row>
    <row r="9" spans="1:1" x14ac:dyDescent="0.2">
      <c r="A9" t="s">
        <v>438</v>
      </c>
    </row>
    <row r="10" spans="1:1" x14ac:dyDescent="0.2">
      <c r="A10" t="s">
        <v>363</v>
      </c>
    </row>
    <row r="11" spans="1:1" x14ac:dyDescent="0.2">
      <c r="A11" t="s">
        <v>263</v>
      </c>
    </row>
    <row r="12" spans="1:1" x14ac:dyDescent="0.2">
      <c r="A12" t="s">
        <v>255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9EC8-19DF-42AA-8A81-9CF0D9512890}">
  <sheetPr codeName="Sht_Transactions"/>
  <dimension ref="B1:O1768"/>
  <sheetViews>
    <sheetView showGridLines="0" zoomScaleNormal="100" workbookViewId="0">
      <selection activeCell="C15" sqref="C15"/>
    </sheetView>
  </sheetViews>
  <sheetFormatPr defaultRowHeight="14.25" x14ac:dyDescent="0.2"/>
  <cols>
    <col min="1" max="1" width="1.75" customWidth="1"/>
    <col min="2" max="2" width="22" customWidth="1"/>
    <col min="3" max="3" width="12.375" customWidth="1"/>
    <col min="4" max="4" width="13.25" style="79" customWidth="1"/>
    <col min="5" max="5" width="18.625" bestFit="1" customWidth="1"/>
    <col min="6" max="6" width="14.25" bestFit="1" customWidth="1"/>
    <col min="7" max="7" width="19.25" customWidth="1"/>
    <col min="8" max="8" width="22.625" customWidth="1"/>
    <col min="9" max="9" width="18.75" customWidth="1"/>
    <col min="10" max="10" width="18.625" customWidth="1"/>
    <col min="11" max="11" width="32.875" customWidth="1"/>
    <col min="12" max="12" width="32.25" customWidth="1"/>
    <col min="13" max="13" width="22" customWidth="1"/>
    <col min="14" max="14" width="20.75" customWidth="1"/>
    <col min="15" max="15" width="23" customWidth="1"/>
  </cols>
  <sheetData>
    <row r="1" spans="2:15" ht="3" customHeight="1" x14ac:dyDescent="0.2">
      <c r="D1"/>
    </row>
    <row r="2" spans="2:15" ht="23.25" x14ac:dyDescent="0.2">
      <c r="B2" s="33" t="str">
        <f>"Project Asset Register - " &amp; PR_T1_Number &amp; " " &amp; PR_Project_Name</f>
        <v>Project Asset Register - Z123 Test</v>
      </c>
      <c r="C2" s="34"/>
      <c r="D2" s="34"/>
      <c r="K2" s="34" t="s">
        <v>484</v>
      </c>
      <c r="L2" s="34"/>
      <c r="M2" s="34"/>
      <c r="N2" s="34"/>
      <c r="O2" s="34"/>
    </row>
    <row r="3" spans="2:15" x14ac:dyDescent="0.2">
      <c r="B3" s="34"/>
      <c r="C3" s="34"/>
      <c r="D3" s="34"/>
      <c r="K3" s="68" t="s">
        <v>485</v>
      </c>
      <c r="L3" s="68"/>
      <c r="M3" s="68"/>
      <c r="N3" s="71" t="s">
        <v>486</v>
      </c>
      <c r="O3" s="71"/>
    </row>
    <row r="4" spans="2:15" x14ac:dyDescent="0.2">
      <c r="B4" s="34"/>
      <c r="C4" s="34"/>
      <c r="D4" s="34"/>
      <c r="K4" s="67" t="s">
        <v>487</v>
      </c>
      <c r="L4" s="67"/>
      <c r="M4" s="67"/>
      <c r="N4" s="34"/>
      <c r="O4" s="34"/>
    </row>
    <row r="5" spans="2:15" x14ac:dyDescent="0.2">
      <c r="B5" s="34"/>
      <c r="C5" s="34"/>
      <c r="D5" s="34"/>
      <c r="K5" s="69" t="s">
        <v>488</v>
      </c>
      <c r="L5" s="69"/>
      <c r="M5" s="69"/>
      <c r="N5" s="34"/>
      <c r="O5" s="34"/>
    </row>
    <row r="6" spans="2:15" x14ac:dyDescent="0.2">
      <c r="B6" s="34"/>
      <c r="C6" s="34"/>
      <c r="D6" s="34"/>
      <c r="K6" s="70" t="s">
        <v>489</v>
      </c>
      <c r="L6" s="70"/>
      <c r="M6" s="70"/>
      <c r="N6" s="34"/>
      <c r="O6" s="34"/>
    </row>
    <row r="7" spans="2:15" ht="15.75" x14ac:dyDescent="0.25">
      <c r="B7" s="25" t="s">
        <v>921</v>
      </c>
      <c r="C7" s="25"/>
      <c r="D7" s="25"/>
      <c r="F7">
        <f>SUBTOTAL(9,F10:F1048576)</f>
        <v>0</v>
      </c>
    </row>
    <row r="8" spans="2:15" ht="15.75" x14ac:dyDescent="0.25">
      <c r="B8" s="64" t="s">
        <v>922</v>
      </c>
      <c r="C8" s="25"/>
      <c r="D8" s="25"/>
    </row>
    <row r="9" spans="2:15" s="2" customFormat="1" ht="25.5" x14ac:dyDescent="0.2">
      <c r="B9" s="72" t="s">
        <v>923</v>
      </c>
      <c r="C9" s="72" t="s">
        <v>924</v>
      </c>
      <c r="D9" s="72" t="s">
        <v>925</v>
      </c>
      <c r="E9" s="72" t="s">
        <v>926</v>
      </c>
      <c r="F9" s="72" t="s">
        <v>927</v>
      </c>
      <c r="G9" s="72" t="s">
        <v>928</v>
      </c>
      <c r="H9" s="72" t="s">
        <v>929</v>
      </c>
      <c r="I9" s="72" t="s">
        <v>930</v>
      </c>
      <c r="J9" s="72" t="s">
        <v>931</v>
      </c>
      <c r="K9" s="72" t="s">
        <v>932</v>
      </c>
      <c r="L9" s="72" t="s">
        <v>933</v>
      </c>
      <c r="M9" s="72" t="s">
        <v>934</v>
      </c>
      <c r="N9" s="72" t="s">
        <v>935</v>
      </c>
      <c r="O9" s="72" t="s">
        <v>475</v>
      </c>
    </row>
    <row r="10" spans="2:15" s="3" customFormat="1" ht="12.75" x14ac:dyDescent="0.2">
      <c r="B10" s="47"/>
      <c r="C10" s="47"/>
      <c r="D10" s="47"/>
      <c r="E10" s="78"/>
      <c r="F10" s="47"/>
      <c r="G10" s="47"/>
      <c r="H10" s="47"/>
      <c r="I10" s="47"/>
      <c r="J10" s="48"/>
      <c r="K10" s="47"/>
      <c r="L10" s="47"/>
      <c r="M10" s="47"/>
      <c r="N10" s="47"/>
      <c r="O10" s="48"/>
    </row>
    <row r="11" spans="2:15" s="3" customFormat="1" ht="12.75" x14ac:dyDescent="0.2">
      <c r="B11" s="47"/>
      <c r="C11" s="47"/>
      <c r="D11" s="47"/>
      <c r="E11" s="78"/>
      <c r="F11" s="47"/>
      <c r="G11" s="47"/>
      <c r="H11" s="47"/>
      <c r="I11" s="47"/>
      <c r="J11" s="48"/>
      <c r="K11" s="47"/>
      <c r="L11" s="47"/>
      <c r="M11" s="47"/>
      <c r="N11" s="47"/>
      <c r="O11" s="48"/>
    </row>
    <row r="12" spans="2:15" s="3" customFormat="1" ht="12.75" x14ac:dyDescent="0.2">
      <c r="B12" s="47"/>
      <c r="C12" s="47"/>
      <c r="D12" s="47"/>
      <c r="E12" s="78"/>
      <c r="F12" s="47"/>
      <c r="G12" s="47"/>
      <c r="H12" s="47"/>
      <c r="I12" s="47"/>
      <c r="J12" s="48"/>
      <c r="K12" s="47"/>
      <c r="L12" s="47"/>
      <c r="M12" s="47"/>
      <c r="N12" s="47"/>
      <c r="O12" s="48"/>
    </row>
    <row r="13" spans="2:15" s="3" customFormat="1" ht="12.75" x14ac:dyDescent="0.2">
      <c r="B13" s="47"/>
      <c r="C13" s="47"/>
      <c r="D13" s="47"/>
      <c r="E13" s="78"/>
      <c r="F13" s="47"/>
      <c r="G13" s="47"/>
      <c r="H13" s="47"/>
      <c r="I13" s="47"/>
      <c r="J13" s="48"/>
      <c r="K13" s="47"/>
      <c r="L13" s="47"/>
      <c r="M13" s="47"/>
      <c r="N13" s="47"/>
      <c r="O13" s="48"/>
    </row>
    <row r="14" spans="2:15" s="3" customFormat="1" ht="12.75" x14ac:dyDescent="0.2">
      <c r="B14" s="47"/>
      <c r="C14" s="47"/>
      <c r="D14" s="47"/>
      <c r="E14" s="78"/>
      <c r="F14" s="47"/>
      <c r="G14" s="47"/>
      <c r="H14" s="47"/>
      <c r="I14" s="47"/>
      <c r="J14" s="48"/>
      <c r="K14" s="47"/>
      <c r="L14" s="47"/>
      <c r="M14" s="47"/>
      <c r="N14" s="47"/>
      <c r="O14" s="48"/>
    </row>
    <row r="15" spans="2:15" s="3" customFormat="1" ht="12.75" x14ac:dyDescent="0.2">
      <c r="B15" s="47"/>
      <c r="C15" s="47"/>
      <c r="D15" s="47"/>
      <c r="E15" s="78"/>
      <c r="F15" s="47"/>
      <c r="G15" s="47"/>
      <c r="H15" s="47"/>
      <c r="I15" s="47"/>
      <c r="J15" s="48"/>
      <c r="K15" s="47"/>
      <c r="L15" s="47"/>
      <c r="M15" s="47"/>
      <c r="N15" s="47"/>
      <c r="O15" s="48"/>
    </row>
    <row r="16" spans="2:15" s="3" customFormat="1" ht="12.75" x14ac:dyDescent="0.2">
      <c r="B16" s="47"/>
      <c r="C16" s="47"/>
      <c r="D16" s="47"/>
      <c r="E16" s="78"/>
      <c r="F16" s="47"/>
      <c r="G16" s="47"/>
      <c r="H16" s="47"/>
      <c r="I16" s="47"/>
      <c r="J16" s="48"/>
      <c r="K16" s="47"/>
      <c r="L16" s="47"/>
      <c r="M16" s="47"/>
      <c r="N16" s="47"/>
      <c r="O16" s="48"/>
    </row>
    <row r="17" spans="2:15" s="3" customFormat="1" ht="12.75" x14ac:dyDescent="0.2">
      <c r="B17" s="47"/>
      <c r="C17" s="47"/>
      <c r="D17" s="47"/>
      <c r="E17" s="78"/>
      <c r="F17" s="47"/>
      <c r="G17" s="47"/>
      <c r="H17" s="47"/>
      <c r="I17" s="47"/>
      <c r="J17" s="48"/>
      <c r="K17" s="47"/>
      <c r="L17" s="47"/>
      <c r="M17" s="47"/>
      <c r="N17" s="47"/>
      <c r="O17" s="48"/>
    </row>
    <row r="18" spans="2:15" s="3" customFormat="1" ht="12.75" x14ac:dyDescent="0.2">
      <c r="B18" s="47"/>
      <c r="C18" s="47"/>
      <c r="D18" s="47"/>
      <c r="E18" s="78"/>
      <c r="F18" s="47"/>
      <c r="G18" s="47"/>
      <c r="H18" s="47"/>
      <c r="I18" s="47"/>
      <c r="J18" s="48"/>
      <c r="K18" s="47"/>
      <c r="L18" s="47"/>
      <c r="M18" s="47"/>
      <c r="N18" s="47"/>
      <c r="O18" s="48"/>
    </row>
    <row r="19" spans="2:15" s="3" customFormat="1" ht="12.75" x14ac:dyDescent="0.2">
      <c r="B19" s="47"/>
      <c r="C19" s="47"/>
      <c r="D19" s="47"/>
      <c r="E19" s="78"/>
      <c r="F19" s="47"/>
      <c r="G19" s="47"/>
      <c r="H19" s="47"/>
      <c r="I19" s="47"/>
      <c r="J19" s="48"/>
      <c r="K19" s="47"/>
      <c r="L19" s="47"/>
      <c r="M19" s="47"/>
      <c r="N19" s="47"/>
      <c r="O19" s="48"/>
    </row>
    <row r="20" spans="2:15" s="3" customFormat="1" ht="12.75" x14ac:dyDescent="0.2">
      <c r="B20" s="47"/>
      <c r="C20" s="47"/>
      <c r="D20" s="47"/>
      <c r="E20" s="78"/>
      <c r="F20" s="47"/>
      <c r="G20" s="47"/>
      <c r="H20" s="47"/>
      <c r="I20" s="47"/>
      <c r="J20" s="48"/>
      <c r="K20" s="47"/>
      <c r="L20" s="47"/>
      <c r="M20" s="47"/>
      <c r="N20" s="47"/>
      <c r="O20" s="48"/>
    </row>
    <row r="21" spans="2:15" s="3" customFormat="1" ht="12.75" x14ac:dyDescent="0.2">
      <c r="B21" s="47"/>
      <c r="C21" s="47"/>
      <c r="D21" s="47"/>
      <c r="E21" s="78"/>
      <c r="F21" s="47"/>
      <c r="G21" s="47"/>
      <c r="H21" s="47"/>
      <c r="I21" s="47"/>
      <c r="J21" s="48"/>
      <c r="K21" s="47"/>
      <c r="L21" s="47"/>
      <c r="M21" s="47"/>
      <c r="N21" s="47"/>
      <c r="O21" s="48"/>
    </row>
    <row r="22" spans="2:15" s="3" customFormat="1" ht="12.75" x14ac:dyDescent="0.2">
      <c r="B22" s="47"/>
      <c r="C22" s="47"/>
      <c r="D22" s="47"/>
      <c r="E22" s="78"/>
      <c r="F22" s="47"/>
      <c r="G22" s="47"/>
      <c r="H22" s="47"/>
      <c r="I22" s="47"/>
      <c r="J22" s="48"/>
      <c r="K22" s="47"/>
      <c r="L22" s="47"/>
      <c r="M22" s="47"/>
      <c r="N22" s="47"/>
      <c r="O22" s="48"/>
    </row>
    <row r="23" spans="2:15" s="3" customFormat="1" ht="12.75" x14ac:dyDescent="0.2">
      <c r="B23" s="47"/>
      <c r="C23" s="47"/>
      <c r="D23" s="47"/>
      <c r="E23" s="78"/>
      <c r="F23" s="47"/>
      <c r="G23" s="47"/>
      <c r="H23" s="47"/>
      <c r="I23" s="47"/>
      <c r="J23" s="48"/>
      <c r="K23" s="47"/>
      <c r="L23" s="47"/>
      <c r="M23" s="47"/>
      <c r="N23" s="47"/>
      <c r="O23" s="48"/>
    </row>
    <row r="24" spans="2:15" s="3" customFormat="1" ht="12.75" x14ac:dyDescent="0.2">
      <c r="B24" s="47"/>
      <c r="C24" s="47"/>
      <c r="D24" s="47"/>
      <c r="E24" s="78"/>
      <c r="F24" s="47"/>
      <c r="G24" s="47"/>
      <c r="H24" s="47"/>
      <c r="I24" s="47"/>
      <c r="J24" s="48"/>
      <c r="K24" s="47"/>
      <c r="L24" s="47"/>
      <c r="M24" s="47"/>
      <c r="N24" s="47"/>
      <c r="O24" s="48"/>
    </row>
    <row r="25" spans="2:15" s="3" customFormat="1" ht="12.75" x14ac:dyDescent="0.2">
      <c r="B25" s="47"/>
      <c r="C25" s="47"/>
      <c r="D25" s="47"/>
      <c r="E25" s="78"/>
      <c r="F25" s="47"/>
      <c r="G25" s="47"/>
      <c r="H25" s="47"/>
      <c r="I25" s="47"/>
      <c r="J25" s="48"/>
      <c r="K25" s="47"/>
      <c r="L25" s="47"/>
      <c r="M25" s="47"/>
      <c r="N25" s="47"/>
      <c r="O25" s="48"/>
    </row>
    <row r="26" spans="2:15" s="3" customFormat="1" ht="12.75" x14ac:dyDescent="0.2">
      <c r="B26" s="47"/>
      <c r="C26" s="47"/>
      <c r="D26" s="47"/>
      <c r="E26" s="78"/>
      <c r="F26" s="47"/>
      <c r="G26" s="47"/>
      <c r="H26" s="47"/>
      <c r="I26" s="47"/>
      <c r="J26" s="48"/>
      <c r="K26" s="47"/>
      <c r="L26" s="47"/>
      <c r="M26" s="47"/>
      <c r="N26" s="47"/>
      <c r="O26" s="48"/>
    </row>
    <row r="27" spans="2:15" s="3" customFormat="1" ht="12.75" x14ac:dyDescent="0.2">
      <c r="B27" s="47"/>
      <c r="C27" s="47"/>
      <c r="D27" s="47"/>
      <c r="E27" s="78"/>
      <c r="F27" s="47"/>
      <c r="G27" s="47"/>
      <c r="H27" s="47"/>
      <c r="I27" s="47"/>
      <c r="J27" s="48"/>
      <c r="K27" s="47"/>
      <c r="L27" s="47"/>
      <c r="M27" s="47"/>
      <c r="N27" s="47"/>
      <c r="O27" s="48"/>
    </row>
    <row r="28" spans="2:15" s="3" customFormat="1" ht="12.75" x14ac:dyDescent="0.2">
      <c r="B28" s="47"/>
      <c r="C28" s="47"/>
      <c r="D28" s="47"/>
      <c r="E28" s="78"/>
      <c r="F28" s="47"/>
      <c r="G28" s="47"/>
      <c r="H28" s="47"/>
      <c r="I28" s="47"/>
      <c r="J28" s="48"/>
      <c r="K28" s="47"/>
      <c r="L28" s="47"/>
      <c r="M28" s="47"/>
      <c r="N28" s="47"/>
      <c r="O28" s="48"/>
    </row>
    <row r="29" spans="2:15" s="3" customFormat="1" ht="12.75" x14ac:dyDescent="0.2">
      <c r="B29" s="47"/>
      <c r="C29" s="47"/>
      <c r="D29" s="47"/>
      <c r="E29" s="78"/>
      <c r="F29" s="47"/>
      <c r="G29" s="47"/>
      <c r="H29" s="47"/>
      <c r="I29" s="47"/>
      <c r="J29" s="48"/>
      <c r="K29" s="47"/>
      <c r="L29" s="47"/>
      <c r="M29" s="47"/>
      <c r="N29" s="47"/>
      <c r="O29" s="48"/>
    </row>
    <row r="30" spans="2:15" s="3" customFormat="1" ht="12.75" x14ac:dyDescent="0.2">
      <c r="B30" s="47"/>
      <c r="C30" s="47"/>
      <c r="D30" s="47"/>
      <c r="E30" s="78"/>
      <c r="F30" s="47"/>
      <c r="G30" s="47"/>
      <c r="H30" s="47"/>
      <c r="I30" s="47"/>
      <c r="J30" s="48"/>
      <c r="K30" s="47"/>
      <c r="L30" s="47"/>
      <c r="M30" s="47"/>
      <c r="N30" s="47"/>
      <c r="O30" s="48"/>
    </row>
    <row r="31" spans="2:15" s="3" customFormat="1" ht="12.75" x14ac:dyDescent="0.2">
      <c r="B31" s="47"/>
      <c r="C31" s="47"/>
      <c r="D31" s="47"/>
      <c r="E31" s="78"/>
      <c r="F31" s="47"/>
      <c r="G31" s="47"/>
      <c r="H31" s="47"/>
      <c r="I31" s="47"/>
      <c r="J31" s="48"/>
      <c r="K31" s="47"/>
      <c r="L31" s="47"/>
      <c r="M31" s="47"/>
      <c r="N31" s="47"/>
      <c r="O31" s="48"/>
    </row>
    <row r="32" spans="2:15" s="3" customFormat="1" ht="12.75" x14ac:dyDescent="0.2">
      <c r="B32" s="47"/>
      <c r="C32" s="47"/>
      <c r="D32" s="47"/>
      <c r="E32" s="78"/>
      <c r="F32" s="47"/>
      <c r="G32" s="47"/>
      <c r="H32" s="47"/>
      <c r="I32" s="47"/>
      <c r="J32" s="48"/>
      <c r="K32" s="47"/>
      <c r="L32" s="47"/>
      <c r="M32" s="47"/>
      <c r="N32" s="47"/>
      <c r="O32" s="48"/>
    </row>
    <row r="33" spans="2:15" s="3" customFormat="1" ht="12.75" x14ac:dyDescent="0.2">
      <c r="B33" s="47"/>
      <c r="C33" s="47"/>
      <c r="D33" s="47"/>
      <c r="E33" s="78"/>
      <c r="F33" s="47"/>
      <c r="G33" s="47"/>
      <c r="H33" s="47"/>
      <c r="I33" s="47"/>
      <c r="J33" s="48"/>
      <c r="K33" s="47"/>
      <c r="L33" s="47"/>
      <c r="M33" s="47"/>
      <c r="N33" s="47"/>
      <c r="O33" s="48"/>
    </row>
    <row r="34" spans="2:15" s="3" customFormat="1" ht="12.75" x14ac:dyDescent="0.2">
      <c r="B34" s="47"/>
      <c r="C34" s="47"/>
      <c r="D34" s="47"/>
      <c r="E34" s="78"/>
      <c r="F34" s="47"/>
      <c r="G34" s="47"/>
      <c r="H34" s="47"/>
      <c r="I34" s="47"/>
      <c r="J34" s="48"/>
      <c r="K34" s="47"/>
      <c r="L34" s="47"/>
      <c r="M34" s="47"/>
      <c r="N34" s="47"/>
      <c r="O34" s="48"/>
    </row>
    <row r="35" spans="2:15" s="3" customFormat="1" ht="12.75" x14ac:dyDescent="0.2">
      <c r="B35" s="47"/>
      <c r="C35" s="47"/>
      <c r="D35" s="47"/>
      <c r="E35" s="78"/>
      <c r="F35" s="47"/>
      <c r="G35" s="47"/>
      <c r="H35" s="47"/>
      <c r="I35" s="47"/>
      <c r="J35" s="48"/>
      <c r="K35" s="47"/>
      <c r="L35" s="47"/>
      <c r="M35" s="47"/>
      <c r="N35" s="47"/>
      <c r="O35" s="48"/>
    </row>
    <row r="36" spans="2:15" s="3" customFormat="1" ht="12.75" x14ac:dyDescent="0.2">
      <c r="B36" s="47"/>
      <c r="C36" s="47"/>
      <c r="D36" s="47"/>
      <c r="E36" s="78"/>
      <c r="F36" s="47"/>
      <c r="G36" s="47"/>
      <c r="H36" s="47"/>
      <c r="I36" s="47"/>
      <c r="J36" s="48"/>
      <c r="K36" s="47"/>
      <c r="L36" s="47"/>
      <c r="M36" s="47"/>
      <c r="N36" s="47"/>
      <c r="O36" s="48"/>
    </row>
    <row r="37" spans="2:15" s="3" customFormat="1" ht="12.75" x14ac:dyDescent="0.2">
      <c r="B37" s="47"/>
      <c r="C37" s="47"/>
      <c r="D37" s="47"/>
      <c r="E37" s="78"/>
      <c r="F37" s="47"/>
      <c r="G37" s="47"/>
      <c r="H37" s="47"/>
      <c r="I37" s="47"/>
      <c r="J37" s="48"/>
      <c r="K37" s="47"/>
      <c r="L37" s="47"/>
      <c r="M37" s="47"/>
      <c r="N37" s="47"/>
      <c r="O37" s="48"/>
    </row>
    <row r="38" spans="2:15" s="3" customFormat="1" ht="12.75" x14ac:dyDescent="0.2">
      <c r="B38" s="47"/>
      <c r="C38" s="47"/>
      <c r="D38" s="47"/>
      <c r="E38" s="78"/>
      <c r="F38" s="47"/>
      <c r="G38" s="47"/>
      <c r="H38" s="47"/>
      <c r="I38" s="47"/>
      <c r="J38" s="48"/>
      <c r="K38" s="47"/>
      <c r="L38" s="47"/>
      <c r="M38" s="47"/>
      <c r="N38" s="47"/>
      <c r="O38" s="48"/>
    </row>
    <row r="39" spans="2:15" s="3" customFormat="1" ht="12.75" x14ac:dyDescent="0.2">
      <c r="B39" s="47"/>
      <c r="C39" s="47"/>
      <c r="D39" s="47"/>
      <c r="E39" s="78"/>
      <c r="F39" s="47"/>
      <c r="G39" s="47"/>
      <c r="H39" s="47"/>
      <c r="I39" s="47"/>
      <c r="J39" s="48"/>
      <c r="K39" s="47"/>
      <c r="L39" s="47"/>
      <c r="M39" s="47"/>
      <c r="N39" s="47"/>
      <c r="O39" s="48"/>
    </row>
    <row r="40" spans="2:15" s="3" customFormat="1" ht="12.75" x14ac:dyDescent="0.2">
      <c r="B40" s="47"/>
      <c r="C40" s="47"/>
      <c r="D40" s="47"/>
      <c r="E40" s="78"/>
      <c r="F40" s="47"/>
      <c r="G40" s="47"/>
      <c r="H40" s="47"/>
      <c r="I40" s="47"/>
      <c r="J40" s="48"/>
      <c r="K40" s="47"/>
      <c r="L40" s="47"/>
      <c r="M40" s="47"/>
      <c r="N40" s="47"/>
      <c r="O40" s="48"/>
    </row>
    <row r="41" spans="2:15" s="3" customFormat="1" ht="12.75" x14ac:dyDescent="0.2">
      <c r="B41" s="47"/>
      <c r="C41" s="47"/>
      <c r="D41" s="47"/>
      <c r="E41" s="78"/>
      <c r="F41" s="47"/>
      <c r="G41" s="47"/>
      <c r="H41" s="47"/>
      <c r="I41" s="47"/>
      <c r="J41" s="48"/>
      <c r="K41" s="47"/>
      <c r="L41" s="47"/>
      <c r="M41" s="47"/>
      <c r="N41" s="47"/>
      <c r="O41" s="48"/>
    </row>
    <row r="42" spans="2:15" s="3" customFormat="1" ht="12.75" x14ac:dyDescent="0.2">
      <c r="B42" s="47"/>
      <c r="C42" s="47"/>
      <c r="D42" s="47"/>
      <c r="E42" s="78"/>
      <c r="F42" s="47"/>
      <c r="G42" s="47"/>
      <c r="H42" s="47"/>
      <c r="I42" s="47"/>
      <c r="J42" s="48"/>
      <c r="K42" s="47"/>
      <c r="L42" s="47"/>
      <c r="M42" s="47"/>
      <c r="N42" s="47"/>
      <c r="O42" s="48"/>
    </row>
    <row r="43" spans="2:15" s="3" customFormat="1" ht="12.75" x14ac:dyDescent="0.2">
      <c r="B43" s="47"/>
      <c r="C43" s="47"/>
      <c r="D43" s="47"/>
      <c r="E43" s="78"/>
      <c r="F43" s="47"/>
      <c r="G43" s="47"/>
      <c r="H43" s="47"/>
      <c r="I43" s="47"/>
      <c r="J43" s="48"/>
      <c r="K43" s="47"/>
      <c r="L43" s="47"/>
      <c r="M43" s="47"/>
      <c r="N43" s="47"/>
      <c r="O43" s="48"/>
    </row>
    <row r="44" spans="2:15" s="3" customFormat="1" ht="12.75" x14ac:dyDescent="0.2">
      <c r="B44" s="47"/>
      <c r="C44" s="47"/>
      <c r="D44" s="47"/>
      <c r="E44" s="78"/>
      <c r="F44" s="47"/>
      <c r="G44" s="47"/>
      <c r="H44" s="47"/>
      <c r="I44" s="47"/>
      <c r="J44" s="48"/>
      <c r="K44" s="47"/>
      <c r="L44" s="47"/>
      <c r="M44" s="47"/>
      <c r="N44" s="47"/>
      <c r="O44" s="48"/>
    </row>
    <row r="45" spans="2:15" s="3" customFormat="1" ht="12.75" x14ac:dyDescent="0.2">
      <c r="B45" s="47"/>
      <c r="C45" s="47"/>
      <c r="D45" s="47"/>
      <c r="E45" s="78"/>
      <c r="F45" s="47"/>
      <c r="G45" s="47"/>
      <c r="H45" s="47"/>
      <c r="I45" s="47"/>
      <c r="J45" s="48"/>
      <c r="K45" s="47"/>
      <c r="L45" s="47"/>
      <c r="M45" s="47"/>
      <c r="N45" s="47"/>
      <c r="O45" s="48"/>
    </row>
    <row r="46" spans="2:15" s="3" customFormat="1" ht="12.75" x14ac:dyDescent="0.2">
      <c r="B46" s="47"/>
      <c r="C46" s="47"/>
      <c r="D46" s="47"/>
      <c r="E46" s="78"/>
      <c r="F46" s="47"/>
      <c r="G46" s="47"/>
      <c r="H46" s="47"/>
      <c r="I46" s="47"/>
      <c r="J46" s="48"/>
      <c r="K46" s="47"/>
      <c r="L46" s="47"/>
      <c r="M46" s="47"/>
      <c r="N46" s="47"/>
      <c r="O46" s="48"/>
    </row>
    <row r="47" spans="2:15" s="3" customFormat="1" ht="12.75" x14ac:dyDescent="0.2">
      <c r="B47" s="47"/>
      <c r="C47" s="47"/>
      <c r="D47" s="47"/>
      <c r="E47" s="78"/>
      <c r="F47" s="47"/>
      <c r="G47" s="47"/>
      <c r="H47" s="47"/>
      <c r="I47" s="47"/>
      <c r="J47" s="48"/>
      <c r="K47" s="47"/>
      <c r="L47" s="47"/>
      <c r="M47" s="47"/>
      <c r="N47" s="47"/>
      <c r="O47" s="48"/>
    </row>
    <row r="48" spans="2:15" s="3" customFormat="1" ht="12.75" x14ac:dyDescent="0.2">
      <c r="B48" s="47"/>
      <c r="C48" s="47"/>
      <c r="D48" s="47"/>
      <c r="E48" s="78"/>
      <c r="F48" s="47"/>
      <c r="G48" s="47"/>
      <c r="H48" s="47"/>
      <c r="I48" s="47"/>
      <c r="J48" s="48"/>
      <c r="K48" s="47"/>
      <c r="L48" s="47"/>
      <c r="M48" s="47"/>
      <c r="N48" s="47"/>
      <c r="O48" s="48"/>
    </row>
    <row r="49" spans="2:15" s="3" customFormat="1" ht="12.75" x14ac:dyDescent="0.2">
      <c r="B49" s="47"/>
      <c r="C49" s="47"/>
      <c r="D49" s="47"/>
      <c r="E49" s="78"/>
      <c r="F49" s="47"/>
      <c r="G49" s="47"/>
      <c r="H49" s="47"/>
      <c r="I49" s="47"/>
      <c r="J49" s="48"/>
      <c r="K49" s="47"/>
      <c r="L49" s="47"/>
      <c r="M49" s="47"/>
      <c r="N49" s="47"/>
      <c r="O49" s="48"/>
    </row>
    <row r="50" spans="2:15" s="3" customFormat="1" ht="12.75" x14ac:dyDescent="0.2">
      <c r="B50" s="47"/>
      <c r="C50" s="47"/>
      <c r="D50" s="47"/>
      <c r="E50" s="78"/>
      <c r="F50" s="47"/>
      <c r="G50" s="47"/>
      <c r="H50" s="47"/>
      <c r="I50" s="47"/>
      <c r="J50" s="48"/>
      <c r="K50" s="47"/>
      <c r="L50" s="47"/>
      <c r="M50" s="47"/>
      <c r="N50" s="47"/>
      <c r="O50" s="48"/>
    </row>
    <row r="51" spans="2:15" s="3" customFormat="1" ht="12.75" x14ac:dyDescent="0.2">
      <c r="B51" s="47"/>
      <c r="C51" s="47"/>
      <c r="D51" s="47"/>
      <c r="E51" s="78"/>
      <c r="F51" s="47"/>
      <c r="G51" s="47"/>
      <c r="H51" s="47"/>
      <c r="I51" s="47"/>
      <c r="J51" s="48"/>
      <c r="K51" s="47"/>
      <c r="L51" s="47"/>
      <c r="M51" s="47"/>
      <c r="N51" s="47"/>
      <c r="O51" s="48"/>
    </row>
    <row r="52" spans="2:15" s="3" customFormat="1" ht="12.75" x14ac:dyDescent="0.2">
      <c r="B52" s="47"/>
      <c r="C52" s="47"/>
      <c r="D52" s="47"/>
      <c r="E52" s="78"/>
      <c r="F52" s="47"/>
      <c r="G52" s="47"/>
      <c r="H52" s="47"/>
      <c r="I52" s="47"/>
      <c r="J52" s="48"/>
      <c r="K52" s="47"/>
      <c r="L52" s="47"/>
      <c r="M52" s="47"/>
      <c r="N52" s="47"/>
      <c r="O52" s="48"/>
    </row>
    <row r="53" spans="2:15" s="3" customFormat="1" ht="12.75" x14ac:dyDescent="0.2">
      <c r="B53" s="47"/>
      <c r="C53" s="47"/>
      <c r="D53" s="47"/>
      <c r="E53" s="78"/>
      <c r="F53" s="47"/>
      <c r="G53" s="47"/>
      <c r="H53" s="47"/>
      <c r="I53" s="47"/>
      <c r="J53" s="48"/>
      <c r="K53" s="47"/>
      <c r="L53" s="47"/>
      <c r="M53" s="47"/>
      <c r="N53" s="47"/>
      <c r="O53" s="48"/>
    </row>
    <row r="54" spans="2:15" s="3" customFormat="1" ht="12.75" x14ac:dyDescent="0.2">
      <c r="B54" s="47"/>
      <c r="C54" s="47"/>
      <c r="D54" s="47"/>
      <c r="E54" s="78"/>
      <c r="F54" s="47"/>
      <c r="G54" s="47"/>
      <c r="H54" s="47"/>
      <c r="I54" s="47"/>
      <c r="J54" s="48"/>
      <c r="K54" s="47"/>
      <c r="L54" s="47"/>
      <c r="M54" s="47"/>
      <c r="N54" s="47"/>
      <c r="O54" s="48"/>
    </row>
    <row r="55" spans="2:15" s="3" customFormat="1" ht="12.75" x14ac:dyDescent="0.2">
      <c r="B55" s="47"/>
      <c r="C55" s="47"/>
      <c r="D55" s="47"/>
      <c r="E55" s="78"/>
      <c r="F55" s="47"/>
      <c r="G55" s="47"/>
      <c r="H55" s="47"/>
      <c r="I55" s="47"/>
      <c r="J55" s="48"/>
      <c r="K55" s="47"/>
      <c r="L55" s="47"/>
      <c r="M55" s="47"/>
      <c r="N55" s="47"/>
      <c r="O55" s="48"/>
    </row>
    <row r="56" spans="2:15" s="3" customFormat="1" ht="12.75" x14ac:dyDescent="0.2">
      <c r="B56" s="47"/>
      <c r="C56" s="47"/>
      <c r="D56" s="47"/>
      <c r="E56" s="78"/>
      <c r="F56" s="47"/>
      <c r="G56" s="47"/>
      <c r="H56" s="47"/>
      <c r="I56" s="47"/>
      <c r="J56" s="48"/>
      <c r="K56" s="47"/>
      <c r="L56" s="47"/>
      <c r="M56" s="47"/>
      <c r="N56" s="47"/>
      <c r="O56" s="48"/>
    </row>
    <row r="57" spans="2:15" s="3" customFormat="1" ht="12.75" x14ac:dyDescent="0.2">
      <c r="B57" s="47"/>
      <c r="C57" s="47"/>
      <c r="D57" s="78"/>
      <c r="E57" s="47"/>
      <c r="F57" s="47"/>
      <c r="G57" s="47"/>
      <c r="H57" s="47"/>
      <c r="I57" s="48"/>
      <c r="J57" s="47"/>
      <c r="K57" s="47"/>
      <c r="L57" s="47"/>
      <c r="M57" s="47"/>
      <c r="N57" s="48"/>
      <c r="O57" s="48"/>
    </row>
    <row r="58" spans="2:15" s="3" customFormat="1" ht="12.75" x14ac:dyDescent="0.2">
      <c r="B58" s="47"/>
      <c r="C58" s="47"/>
      <c r="D58" s="78"/>
      <c r="E58" s="47"/>
      <c r="F58" s="47"/>
      <c r="G58" s="47"/>
      <c r="H58" s="47"/>
      <c r="I58" s="48"/>
      <c r="J58" s="47"/>
      <c r="K58" s="47"/>
      <c r="L58" s="47"/>
      <c r="M58" s="47"/>
      <c r="N58" s="48"/>
      <c r="O58" s="48"/>
    </row>
    <row r="59" spans="2:15" s="3" customFormat="1" ht="12.75" x14ac:dyDescent="0.2">
      <c r="B59" s="47"/>
      <c r="C59" s="47"/>
      <c r="D59" s="78"/>
      <c r="E59" s="47"/>
      <c r="F59" s="47"/>
      <c r="G59" s="47"/>
      <c r="H59" s="47"/>
      <c r="I59" s="48"/>
      <c r="J59" s="47"/>
      <c r="K59" s="47"/>
      <c r="L59" s="47"/>
      <c r="M59" s="47"/>
      <c r="N59" s="48"/>
      <c r="O59" s="48"/>
    </row>
    <row r="60" spans="2:15" s="3" customFormat="1" ht="12.75" x14ac:dyDescent="0.2">
      <c r="B60" s="47"/>
      <c r="C60" s="47"/>
      <c r="D60" s="78"/>
      <c r="E60" s="47"/>
      <c r="F60" s="47"/>
      <c r="G60" s="47"/>
      <c r="H60" s="47"/>
      <c r="I60" s="48"/>
      <c r="J60" s="47"/>
      <c r="K60" s="47"/>
      <c r="L60" s="47"/>
      <c r="M60" s="47"/>
      <c r="N60" s="48"/>
      <c r="O60" s="48"/>
    </row>
    <row r="61" spans="2:15" s="3" customFormat="1" ht="12.75" x14ac:dyDescent="0.2">
      <c r="B61" s="47"/>
      <c r="C61" s="47"/>
      <c r="D61" s="78"/>
      <c r="E61" s="47"/>
      <c r="F61" s="47"/>
      <c r="G61" s="47"/>
      <c r="H61" s="47"/>
      <c r="I61" s="48"/>
      <c r="J61" s="47"/>
      <c r="K61" s="47"/>
      <c r="L61" s="47"/>
      <c r="M61" s="47"/>
      <c r="N61" s="48"/>
      <c r="O61" s="48"/>
    </row>
    <row r="62" spans="2:15" s="3" customFormat="1" ht="12.75" x14ac:dyDescent="0.2">
      <c r="B62" s="47"/>
      <c r="C62" s="47"/>
      <c r="D62" s="78"/>
      <c r="E62" s="47"/>
      <c r="F62" s="47"/>
      <c r="G62" s="47"/>
      <c r="H62" s="47"/>
      <c r="I62" s="48"/>
      <c r="J62" s="47"/>
      <c r="K62" s="47"/>
      <c r="L62" s="47"/>
      <c r="M62" s="47"/>
      <c r="N62" s="48"/>
      <c r="O62" s="48"/>
    </row>
    <row r="63" spans="2:15" s="3" customFormat="1" ht="12.75" x14ac:dyDescent="0.2">
      <c r="B63" s="47"/>
      <c r="C63" s="47"/>
      <c r="D63" s="78"/>
      <c r="E63" s="47"/>
      <c r="F63" s="47"/>
      <c r="G63" s="47"/>
      <c r="H63" s="47"/>
      <c r="I63" s="48"/>
      <c r="J63" s="47"/>
      <c r="K63" s="47"/>
      <c r="L63" s="47"/>
      <c r="M63" s="47"/>
      <c r="N63" s="48"/>
      <c r="O63" s="48"/>
    </row>
    <row r="64" spans="2:15" s="3" customFormat="1" ht="12.75" x14ac:dyDescent="0.2">
      <c r="B64" s="47"/>
      <c r="C64" s="47"/>
      <c r="D64" s="78"/>
      <c r="E64" s="47"/>
      <c r="F64" s="47"/>
      <c r="G64" s="47"/>
      <c r="H64" s="47"/>
      <c r="I64" s="48"/>
      <c r="J64" s="47"/>
      <c r="K64" s="47"/>
      <c r="L64" s="47"/>
      <c r="M64" s="47"/>
      <c r="N64" s="48"/>
      <c r="O64" s="48"/>
    </row>
    <row r="65" spans="2:15" s="3" customFormat="1" ht="12.75" x14ac:dyDescent="0.2">
      <c r="B65" s="47"/>
      <c r="C65" s="47"/>
      <c r="D65" s="78"/>
      <c r="E65" s="47"/>
      <c r="F65" s="47"/>
      <c r="G65" s="47"/>
      <c r="H65" s="47"/>
      <c r="I65" s="48"/>
      <c r="J65" s="47"/>
      <c r="K65" s="47"/>
      <c r="L65" s="47"/>
      <c r="M65" s="47"/>
      <c r="N65" s="48"/>
      <c r="O65" s="48"/>
    </row>
    <row r="66" spans="2:15" s="3" customFormat="1" ht="12.75" x14ac:dyDescent="0.2">
      <c r="B66" s="47"/>
      <c r="C66" s="47"/>
      <c r="D66" s="78"/>
      <c r="E66" s="47"/>
      <c r="F66" s="47"/>
      <c r="G66" s="47"/>
      <c r="H66" s="47"/>
      <c r="I66" s="48"/>
      <c r="J66" s="47"/>
      <c r="K66" s="47"/>
      <c r="L66" s="47"/>
      <c r="M66" s="47"/>
      <c r="N66" s="48"/>
      <c r="O66" s="48"/>
    </row>
    <row r="67" spans="2:15" s="3" customFormat="1" ht="12.75" x14ac:dyDescent="0.2">
      <c r="B67" s="47"/>
      <c r="C67" s="47"/>
      <c r="D67" s="78"/>
      <c r="E67" s="47"/>
      <c r="F67" s="47"/>
      <c r="G67" s="47"/>
      <c r="H67" s="47"/>
      <c r="I67" s="48"/>
      <c r="J67" s="47"/>
      <c r="K67" s="47"/>
      <c r="L67" s="47"/>
      <c r="M67" s="47"/>
      <c r="N67" s="48"/>
      <c r="O67" s="48"/>
    </row>
    <row r="68" spans="2:15" s="3" customFormat="1" ht="12.75" x14ac:dyDescent="0.2">
      <c r="B68" s="47"/>
      <c r="C68" s="47"/>
      <c r="D68" s="78"/>
      <c r="E68" s="47"/>
      <c r="F68" s="47"/>
      <c r="G68" s="47"/>
      <c r="H68" s="47"/>
      <c r="I68" s="48"/>
      <c r="J68" s="47"/>
      <c r="K68" s="47"/>
      <c r="L68" s="47"/>
      <c r="M68" s="47"/>
      <c r="N68" s="48"/>
      <c r="O68" s="48"/>
    </row>
    <row r="69" spans="2:15" s="3" customFormat="1" ht="12.75" x14ac:dyDescent="0.2">
      <c r="B69" s="47"/>
      <c r="C69" s="47"/>
      <c r="D69" s="78"/>
      <c r="E69" s="47"/>
      <c r="F69" s="47"/>
      <c r="G69" s="47"/>
      <c r="H69" s="47"/>
      <c r="I69" s="48"/>
      <c r="J69" s="47"/>
      <c r="K69" s="47"/>
      <c r="L69" s="47"/>
      <c r="M69" s="47"/>
      <c r="N69" s="48"/>
      <c r="O69" s="48"/>
    </row>
    <row r="70" spans="2:15" s="3" customFormat="1" ht="12.75" x14ac:dyDescent="0.2">
      <c r="B70" s="47"/>
      <c r="C70" s="47"/>
      <c r="D70" s="78"/>
      <c r="E70" s="47"/>
      <c r="F70" s="47"/>
      <c r="G70" s="47"/>
      <c r="H70" s="47"/>
      <c r="I70" s="48"/>
      <c r="J70" s="47"/>
      <c r="K70" s="47"/>
      <c r="L70" s="47"/>
      <c r="M70" s="47"/>
      <c r="N70" s="48"/>
      <c r="O70" s="48"/>
    </row>
    <row r="71" spans="2:15" s="3" customFormat="1" ht="12.75" x14ac:dyDescent="0.2">
      <c r="B71" s="47"/>
      <c r="C71" s="47"/>
      <c r="D71" s="78"/>
      <c r="E71" s="47"/>
      <c r="F71" s="47"/>
      <c r="G71" s="47"/>
      <c r="H71" s="47"/>
      <c r="I71" s="48"/>
      <c r="J71" s="47"/>
      <c r="K71" s="47"/>
      <c r="L71" s="47"/>
      <c r="M71" s="47"/>
      <c r="N71" s="48"/>
      <c r="O71" s="48"/>
    </row>
    <row r="72" spans="2:15" s="3" customFormat="1" ht="12.75" x14ac:dyDescent="0.2">
      <c r="B72" s="47"/>
      <c r="C72" s="47"/>
      <c r="D72" s="78"/>
      <c r="E72" s="47"/>
      <c r="F72" s="47"/>
      <c r="G72" s="47"/>
      <c r="H72" s="47"/>
      <c r="I72" s="48"/>
      <c r="J72" s="47"/>
      <c r="K72" s="47"/>
      <c r="L72" s="47"/>
      <c r="M72" s="47"/>
      <c r="N72" s="48"/>
      <c r="O72" s="48"/>
    </row>
    <row r="73" spans="2:15" s="3" customFormat="1" ht="12.75" x14ac:dyDescent="0.2">
      <c r="B73" s="47"/>
      <c r="C73" s="47"/>
      <c r="D73" s="78"/>
      <c r="E73" s="47"/>
      <c r="F73" s="47"/>
      <c r="G73" s="47"/>
      <c r="H73" s="47"/>
      <c r="I73" s="48"/>
      <c r="J73" s="47"/>
      <c r="K73" s="47"/>
      <c r="L73" s="47"/>
      <c r="M73" s="47"/>
      <c r="N73" s="48"/>
      <c r="O73" s="48"/>
    </row>
    <row r="74" spans="2:15" s="3" customFormat="1" ht="12.75" x14ac:dyDescent="0.2">
      <c r="B74" s="47"/>
      <c r="C74" s="47"/>
      <c r="D74" s="78"/>
      <c r="E74" s="47"/>
      <c r="F74" s="47"/>
      <c r="G74" s="47"/>
      <c r="H74" s="47"/>
      <c r="I74" s="48"/>
      <c r="J74" s="47"/>
      <c r="K74" s="47"/>
      <c r="L74" s="47"/>
      <c r="M74" s="47"/>
      <c r="N74" s="48"/>
      <c r="O74" s="48"/>
    </row>
    <row r="75" spans="2:15" s="3" customFormat="1" ht="12.75" x14ac:dyDescent="0.2">
      <c r="B75" s="47"/>
      <c r="C75" s="47"/>
      <c r="D75" s="78"/>
      <c r="E75" s="47"/>
      <c r="F75" s="47"/>
      <c r="G75" s="47"/>
      <c r="H75" s="47"/>
      <c r="I75" s="48"/>
      <c r="J75" s="47"/>
      <c r="K75" s="47"/>
      <c r="L75" s="47"/>
      <c r="M75" s="47"/>
      <c r="N75" s="48"/>
      <c r="O75" s="48"/>
    </row>
    <row r="76" spans="2:15" s="3" customFormat="1" ht="12.75" x14ac:dyDescent="0.2">
      <c r="B76" s="47"/>
      <c r="C76" s="47"/>
      <c r="D76" s="78"/>
      <c r="E76" s="47"/>
      <c r="F76" s="47"/>
      <c r="G76" s="47"/>
      <c r="H76" s="47"/>
      <c r="I76" s="48"/>
      <c r="J76" s="47"/>
      <c r="K76" s="47"/>
      <c r="L76" s="47"/>
      <c r="M76" s="47"/>
      <c r="N76" s="48"/>
      <c r="O76" s="48"/>
    </row>
    <row r="77" spans="2:15" s="3" customFormat="1" ht="12.75" x14ac:dyDescent="0.2">
      <c r="B77" s="47"/>
      <c r="C77" s="47"/>
      <c r="D77" s="78"/>
      <c r="E77" s="47"/>
      <c r="F77" s="47"/>
      <c r="G77" s="47"/>
      <c r="H77" s="47"/>
      <c r="I77" s="48"/>
      <c r="J77" s="47"/>
      <c r="K77" s="47"/>
      <c r="L77" s="47"/>
      <c r="M77" s="47"/>
      <c r="N77" s="48"/>
      <c r="O77" s="48"/>
    </row>
    <row r="78" spans="2:15" s="3" customFormat="1" ht="12.75" x14ac:dyDescent="0.2">
      <c r="B78" s="47"/>
      <c r="C78" s="47"/>
      <c r="D78" s="78"/>
      <c r="E78" s="47"/>
      <c r="F78" s="47"/>
      <c r="G78" s="47"/>
      <c r="H78" s="47"/>
      <c r="I78" s="48"/>
      <c r="J78" s="47"/>
      <c r="K78" s="47"/>
      <c r="L78" s="47"/>
      <c r="M78" s="47"/>
      <c r="N78" s="48"/>
      <c r="O78" s="48"/>
    </row>
    <row r="79" spans="2:15" s="3" customFormat="1" ht="12.75" x14ac:dyDescent="0.2">
      <c r="B79" s="47"/>
      <c r="C79" s="47"/>
      <c r="D79" s="78"/>
      <c r="E79" s="47"/>
      <c r="F79" s="47"/>
      <c r="G79" s="47"/>
      <c r="H79" s="47"/>
      <c r="I79" s="48"/>
      <c r="J79" s="47"/>
      <c r="K79" s="47"/>
      <c r="L79" s="47"/>
      <c r="M79" s="47"/>
      <c r="N79" s="48"/>
      <c r="O79" s="48"/>
    </row>
    <row r="80" spans="2:15" s="3" customFormat="1" ht="12.75" x14ac:dyDescent="0.2">
      <c r="B80" s="47"/>
      <c r="C80" s="47"/>
      <c r="D80" s="78"/>
      <c r="E80" s="47"/>
      <c r="F80" s="47"/>
      <c r="G80" s="47"/>
      <c r="H80" s="47"/>
      <c r="I80" s="48"/>
      <c r="J80" s="47"/>
      <c r="K80" s="47"/>
      <c r="L80" s="47"/>
      <c r="M80" s="47"/>
      <c r="N80" s="48"/>
      <c r="O80" s="48"/>
    </row>
    <row r="81" spans="2:15" s="3" customFormat="1" ht="12.75" x14ac:dyDescent="0.2">
      <c r="B81" s="47"/>
      <c r="C81" s="47"/>
      <c r="D81" s="78"/>
      <c r="E81" s="47"/>
      <c r="F81" s="47"/>
      <c r="G81" s="47"/>
      <c r="H81" s="47"/>
      <c r="I81" s="48"/>
      <c r="J81" s="47"/>
      <c r="K81" s="47"/>
      <c r="L81" s="47"/>
      <c r="M81" s="47"/>
      <c r="N81" s="48"/>
      <c r="O81" s="48"/>
    </row>
    <row r="82" spans="2:15" s="3" customFormat="1" ht="12.75" x14ac:dyDescent="0.2">
      <c r="B82" s="47"/>
      <c r="C82" s="47"/>
      <c r="D82" s="78"/>
      <c r="E82" s="47"/>
      <c r="F82" s="47"/>
      <c r="G82" s="47"/>
      <c r="H82" s="47"/>
      <c r="I82" s="48"/>
      <c r="J82" s="47"/>
      <c r="K82" s="47"/>
      <c r="L82" s="47"/>
      <c r="M82" s="47"/>
      <c r="N82" s="48"/>
      <c r="O82" s="48"/>
    </row>
    <row r="83" spans="2:15" s="3" customFormat="1" ht="12.75" x14ac:dyDescent="0.2">
      <c r="B83" s="47"/>
      <c r="C83" s="47"/>
      <c r="D83" s="78"/>
      <c r="E83" s="47"/>
      <c r="F83" s="47"/>
      <c r="G83" s="47"/>
      <c r="H83" s="47"/>
      <c r="I83" s="48"/>
      <c r="J83" s="47"/>
      <c r="K83" s="47"/>
      <c r="L83" s="47"/>
      <c r="M83" s="47"/>
      <c r="N83" s="48"/>
      <c r="O83" s="48"/>
    </row>
    <row r="84" spans="2:15" s="3" customFormat="1" ht="12.75" x14ac:dyDescent="0.2">
      <c r="B84" s="47"/>
      <c r="C84" s="47"/>
      <c r="D84" s="78"/>
      <c r="E84" s="47"/>
      <c r="F84" s="47"/>
      <c r="G84" s="47"/>
      <c r="H84" s="47"/>
      <c r="I84" s="48"/>
      <c r="J84" s="47"/>
      <c r="K84" s="47"/>
      <c r="L84" s="47"/>
      <c r="M84" s="47"/>
      <c r="N84" s="48"/>
      <c r="O84" s="48"/>
    </row>
    <row r="85" spans="2:15" s="3" customFormat="1" ht="12.75" x14ac:dyDescent="0.2">
      <c r="B85" s="47"/>
      <c r="C85" s="47"/>
      <c r="D85" s="78"/>
      <c r="E85" s="47"/>
      <c r="F85" s="47"/>
      <c r="G85" s="47"/>
      <c r="H85" s="47"/>
      <c r="I85" s="48"/>
      <c r="J85" s="47"/>
      <c r="K85" s="47"/>
      <c r="L85" s="47"/>
      <c r="M85" s="47"/>
      <c r="N85" s="48"/>
      <c r="O85" s="48"/>
    </row>
    <row r="86" spans="2:15" s="3" customFormat="1" ht="12.75" x14ac:dyDescent="0.2">
      <c r="B86" s="47"/>
      <c r="C86" s="47"/>
      <c r="D86" s="78"/>
      <c r="E86" s="47"/>
      <c r="F86" s="47"/>
      <c r="G86" s="47"/>
      <c r="H86" s="47"/>
      <c r="I86" s="48"/>
      <c r="J86" s="47"/>
      <c r="K86" s="47"/>
      <c r="L86" s="47"/>
      <c r="M86" s="47"/>
      <c r="N86" s="48"/>
      <c r="O86" s="48"/>
    </row>
    <row r="87" spans="2:15" s="3" customFormat="1" ht="12.75" x14ac:dyDescent="0.2">
      <c r="B87" s="47"/>
      <c r="C87" s="47"/>
      <c r="D87" s="78"/>
      <c r="E87" s="47"/>
      <c r="F87" s="47"/>
      <c r="G87" s="47"/>
      <c r="H87" s="47"/>
      <c r="I87" s="48"/>
      <c r="J87" s="47"/>
      <c r="K87" s="47"/>
      <c r="L87" s="47"/>
      <c r="M87" s="47"/>
      <c r="N87" s="48"/>
      <c r="O87" s="48"/>
    </row>
    <row r="88" spans="2:15" s="3" customFormat="1" ht="12.75" x14ac:dyDescent="0.2">
      <c r="B88" s="47"/>
      <c r="C88" s="47"/>
      <c r="D88" s="78"/>
      <c r="E88" s="47"/>
      <c r="F88" s="47"/>
      <c r="G88" s="47"/>
      <c r="H88" s="47"/>
      <c r="I88" s="48"/>
      <c r="J88" s="47"/>
      <c r="K88" s="47"/>
      <c r="L88" s="47"/>
      <c r="M88" s="47"/>
      <c r="N88" s="48"/>
      <c r="O88" s="48"/>
    </row>
    <row r="89" spans="2:15" s="3" customFormat="1" ht="12.75" x14ac:dyDescent="0.2">
      <c r="B89" s="47"/>
      <c r="C89" s="47"/>
      <c r="D89" s="78"/>
      <c r="E89" s="47"/>
      <c r="F89" s="47"/>
      <c r="G89" s="47"/>
      <c r="H89" s="47"/>
      <c r="I89" s="48"/>
      <c r="J89" s="47"/>
      <c r="K89" s="47"/>
      <c r="L89" s="47"/>
      <c r="M89" s="47"/>
      <c r="N89" s="48"/>
      <c r="O89" s="48"/>
    </row>
    <row r="90" spans="2:15" s="3" customFormat="1" ht="12.75" x14ac:dyDescent="0.2">
      <c r="B90" s="47"/>
      <c r="C90" s="47"/>
      <c r="D90" s="78"/>
      <c r="E90" s="47"/>
      <c r="F90" s="47"/>
      <c r="G90" s="47"/>
      <c r="H90" s="47"/>
      <c r="I90" s="48"/>
      <c r="J90" s="47"/>
      <c r="K90" s="47"/>
      <c r="L90" s="47"/>
      <c r="M90" s="47"/>
      <c r="N90" s="48"/>
      <c r="O90" s="48"/>
    </row>
    <row r="91" spans="2:15" s="3" customFormat="1" ht="12.75" x14ac:dyDescent="0.2">
      <c r="B91" s="47"/>
      <c r="C91" s="47"/>
      <c r="D91" s="78"/>
      <c r="E91" s="47"/>
      <c r="F91" s="47"/>
      <c r="G91" s="47"/>
      <c r="H91" s="47"/>
      <c r="I91" s="48"/>
      <c r="J91" s="47"/>
      <c r="K91" s="47"/>
      <c r="L91" s="47"/>
      <c r="M91" s="47"/>
      <c r="N91" s="48"/>
      <c r="O91" s="48"/>
    </row>
    <row r="92" spans="2:15" s="3" customFormat="1" ht="12.75" x14ac:dyDescent="0.2">
      <c r="B92" s="47"/>
      <c r="C92" s="47"/>
      <c r="D92" s="78"/>
      <c r="E92" s="47"/>
      <c r="F92" s="47"/>
      <c r="G92" s="47"/>
      <c r="H92" s="47"/>
      <c r="I92" s="48"/>
      <c r="J92" s="47"/>
      <c r="K92" s="47"/>
      <c r="L92" s="47"/>
      <c r="M92" s="47"/>
      <c r="N92" s="48"/>
      <c r="O92" s="48"/>
    </row>
    <row r="93" spans="2:15" s="3" customFormat="1" ht="12.75" x14ac:dyDescent="0.2">
      <c r="B93" s="47"/>
      <c r="C93" s="47"/>
      <c r="D93" s="78"/>
      <c r="E93" s="47"/>
      <c r="F93" s="47"/>
      <c r="G93" s="47"/>
      <c r="H93" s="47"/>
      <c r="I93" s="48"/>
      <c r="J93" s="47"/>
      <c r="K93" s="47"/>
      <c r="L93" s="47"/>
      <c r="M93" s="47"/>
      <c r="N93" s="48"/>
      <c r="O93" s="48"/>
    </row>
    <row r="94" spans="2:15" s="3" customFormat="1" ht="12.75" x14ac:dyDescent="0.2">
      <c r="B94" s="47"/>
      <c r="C94" s="47"/>
      <c r="D94" s="78"/>
      <c r="E94" s="47"/>
      <c r="F94" s="47"/>
      <c r="G94" s="47"/>
      <c r="H94" s="47"/>
      <c r="I94" s="48"/>
      <c r="J94" s="47"/>
      <c r="K94" s="47"/>
      <c r="L94" s="47"/>
      <c r="M94" s="47"/>
      <c r="N94" s="48"/>
      <c r="O94" s="48"/>
    </row>
    <row r="95" spans="2:15" s="3" customFormat="1" ht="12.75" x14ac:dyDescent="0.2">
      <c r="B95" s="47"/>
      <c r="C95" s="47"/>
      <c r="D95" s="78"/>
      <c r="E95" s="47"/>
      <c r="F95" s="47"/>
      <c r="G95" s="47"/>
      <c r="H95" s="47"/>
      <c r="I95" s="48"/>
      <c r="J95" s="47"/>
      <c r="K95" s="47"/>
      <c r="L95" s="47"/>
      <c r="M95" s="47"/>
      <c r="N95" s="48"/>
      <c r="O95" s="48"/>
    </row>
    <row r="96" spans="2:15" s="3" customFormat="1" ht="12.75" x14ac:dyDescent="0.2">
      <c r="B96" s="47"/>
      <c r="C96" s="47"/>
      <c r="D96" s="78"/>
      <c r="E96" s="47"/>
      <c r="F96" s="47"/>
      <c r="G96" s="47"/>
      <c r="H96" s="47"/>
      <c r="I96" s="48"/>
      <c r="J96" s="47"/>
      <c r="K96" s="47"/>
      <c r="L96" s="47"/>
      <c r="M96" s="47"/>
      <c r="N96" s="48"/>
      <c r="O96" s="48"/>
    </row>
    <row r="97" spans="2:15" s="3" customFormat="1" ht="12.75" x14ac:dyDescent="0.2">
      <c r="B97" s="47"/>
      <c r="C97" s="47"/>
      <c r="D97" s="78"/>
      <c r="E97" s="47"/>
      <c r="F97" s="47"/>
      <c r="G97" s="47"/>
      <c r="H97" s="47"/>
      <c r="I97" s="48"/>
      <c r="J97" s="47"/>
      <c r="K97" s="47"/>
      <c r="L97" s="47"/>
      <c r="M97" s="47"/>
      <c r="N97" s="48"/>
      <c r="O97" s="48"/>
    </row>
    <row r="98" spans="2:15" s="3" customFormat="1" ht="12.75" x14ac:dyDescent="0.2">
      <c r="B98" s="47"/>
      <c r="C98" s="47"/>
      <c r="D98" s="78"/>
      <c r="E98" s="47"/>
      <c r="F98" s="47"/>
      <c r="G98" s="47"/>
      <c r="H98" s="47"/>
      <c r="I98" s="48"/>
      <c r="J98" s="47"/>
      <c r="K98" s="47"/>
      <c r="L98" s="47"/>
      <c r="M98" s="47"/>
      <c r="N98" s="48"/>
      <c r="O98" s="48"/>
    </row>
    <row r="99" spans="2:15" s="3" customFormat="1" ht="12.75" x14ac:dyDescent="0.2">
      <c r="B99" s="47"/>
      <c r="C99" s="47"/>
      <c r="D99" s="78"/>
      <c r="E99" s="47"/>
      <c r="F99" s="47"/>
      <c r="G99" s="47"/>
      <c r="H99" s="47"/>
      <c r="I99" s="48"/>
      <c r="J99" s="47"/>
      <c r="K99" s="47"/>
      <c r="L99" s="47"/>
      <c r="M99" s="47"/>
      <c r="N99" s="48"/>
      <c r="O99" s="48"/>
    </row>
    <row r="100" spans="2:15" s="3" customFormat="1" ht="12.75" x14ac:dyDescent="0.2">
      <c r="B100" s="47"/>
      <c r="C100" s="47"/>
      <c r="D100" s="78"/>
      <c r="E100" s="47"/>
      <c r="F100" s="47"/>
      <c r="G100" s="47"/>
      <c r="H100" s="47"/>
      <c r="I100" s="48"/>
      <c r="J100" s="47"/>
      <c r="K100" s="47"/>
      <c r="L100" s="47"/>
      <c r="M100" s="47"/>
      <c r="N100" s="48"/>
      <c r="O100" s="48"/>
    </row>
    <row r="101" spans="2:15" s="3" customFormat="1" ht="12.75" x14ac:dyDescent="0.2">
      <c r="B101" s="47"/>
      <c r="C101" s="47"/>
      <c r="D101" s="78"/>
      <c r="E101" s="47"/>
      <c r="F101" s="47"/>
      <c r="G101" s="47"/>
      <c r="H101" s="47"/>
      <c r="I101" s="48"/>
      <c r="J101" s="47"/>
      <c r="K101" s="47"/>
      <c r="L101" s="47"/>
      <c r="M101" s="47"/>
      <c r="N101" s="48"/>
      <c r="O101" s="48"/>
    </row>
    <row r="102" spans="2:15" s="3" customFormat="1" ht="12.75" x14ac:dyDescent="0.2">
      <c r="B102" s="47"/>
      <c r="C102" s="47"/>
      <c r="D102" s="78"/>
      <c r="E102" s="47"/>
      <c r="F102" s="47"/>
      <c r="G102" s="47"/>
      <c r="H102" s="47"/>
      <c r="I102" s="48"/>
      <c r="J102" s="47"/>
      <c r="K102" s="47"/>
      <c r="L102" s="47"/>
      <c r="M102" s="47"/>
      <c r="N102" s="48"/>
      <c r="O102" s="48"/>
    </row>
    <row r="103" spans="2:15" s="3" customFormat="1" ht="12.75" x14ac:dyDescent="0.2">
      <c r="B103" s="47"/>
      <c r="C103" s="47"/>
      <c r="D103" s="78"/>
      <c r="E103" s="47"/>
      <c r="F103" s="47"/>
      <c r="G103" s="47"/>
      <c r="H103" s="47"/>
      <c r="I103" s="48"/>
      <c r="J103" s="47"/>
      <c r="K103" s="47"/>
      <c r="L103" s="47"/>
      <c r="M103" s="47"/>
      <c r="N103" s="48"/>
      <c r="O103" s="48"/>
    </row>
    <row r="104" spans="2:15" s="3" customFormat="1" ht="12.75" x14ac:dyDescent="0.2">
      <c r="B104" s="47"/>
      <c r="C104" s="47"/>
      <c r="D104" s="78"/>
      <c r="E104" s="47"/>
      <c r="F104" s="47"/>
      <c r="G104" s="47"/>
      <c r="H104" s="47"/>
      <c r="I104" s="48"/>
      <c r="J104" s="47"/>
      <c r="K104" s="47"/>
      <c r="L104" s="47"/>
      <c r="M104" s="47"/>
      <c r="N104" s="48"/>
      <c r="O104" s="48"/>
    </row>
    <row r="105" spans="2:15" s="3" customFormat="1" ht="12.75" x14ac:dyDescent="0.2">
      <c r="B105" s="47"/>
      <c r="C105" s="47"/>
      <c r="D105" s="78"/>
      <c r="E105" s="47"/>
      <c r="F105" s="47"/>
      <c r="G105" s="47"/>
      <c r="H105" s="47"/>
      <c r="I105" s="48"/>
      <c r="J105" s="47"/>
      <c r="K105" s="47"/>
      <c r="L105" s="47"/>
      <c r="M105" s="47"/>
      <c r="N105" s="48"/>
      <c r="O105" s="48"/>
    </row>
    <row r="106" spans="2:15" s="3" customFormat="1" ht="12.75" x14ac:dyDescent="0.2">
      <c r="B106" s="47"/>
      <c r="C106" s="47"/>
      <c r="D106" s="78"/>
      <c r="E106" s="47"/>
      <c r="F106" s="47"/>
      <c r="G106" s="47"/>
      <c r="H106" s="47"/>
      <c r="I106" s="48"/>
      <c r="J106" s="47"/>
      <c r="K106" s="47"/>
      <c r="L106" s="47"/>
      <c r="M106" s="47"/>
      <c r="N106" s="48"/>
      <c r="O106" s="48"/>
    </row>
    <row r="107" spans="2:15" s="3" customFormat="1" ht="12.75" x14ac:dyDescent="0.2">
      <c r="B107" s="47"/>
      <c r="C107" s="47"/>
      <c r="D107" s="78"/>
      <c r="E107" s="47"/>
      <c r="F107" s="47"/>
      <c r="G107" s="47"/>
      <c r="H107" s="47"/>
      <c r="I107" s="48"/>
      <c r="J107" s="47"/>
      <c r="K107" s="47"/>
      <c r="L107" s="47"/>
      <c r="M107" s="47"/>
      <c r="N107" s="48"/>
      <c r="O107" s="48"/>
    </row>
    <row r="108" spans="2:15" s="3" customFormat="1" ht="12.75" x14ac:dyDescent="0.2">
      <c r="B108" s="47"/>
      <c r="C108" s="47"/>
      <c r="D108" s="78"/>
      <c r="E108" s="47"/>
      <c r="F108" s="47"/>
      <c r="G108" s="47"/>
      <c r="H108" s="47"/>
      <c r="I108" s="48"/>
      <c r="J108" s="47"/>
      <c r="K108" s="47"/>
      <c r="L108" s="47"/>
      <c r="M108" s="47"/>
      <c r="N108" s="48"/>
      <c r="O108" s="48"/>
    </row>
    <row r="109" spans="2:15" s="3" customFormat="1" ht="12.75" x14ac:dyDescent="0.2">
      <c r="B109" s="47"/>
      <c r="C109" s="47"/>
      <c r="D109" s="78"/>
      <c r="E109" s="47"/>
      <c r="F109" s="47"/>
      <c r="G109" s="47"/>
      <c r="H109" s="47"/>
      <c r="I109" s="48"/>
      <c r="J109" s="47"/>
      <c r="K109" s="47"/>
      <c r="L109" s="47"/>
      <c r="M109" s="47"/>
      <c r="N109" s="48"/>
      <c r="O109" s="48"/>
    </row>
    <row r="110" spans="2:15" s="3" customFormat="1" ht="12.75" x14ac:dyDescent="0.2">
      <c r="B110" s="47"/>
      <c r="C110" s="47"/>
      <c r="D110" s="78"/>
      <c r="E110" s="47"/>
      <c r="F110" s="47"/>
      <c r="G110" s="47"/>
      <c r="H110" s="47"/>
      <c r="I110" s="48"/>
      <c r="J110" s="47"/>
      <c r="K110" s="47"/>
      <c r="L110" s="47"/>
      <c r="M110" s="47"/>
      <c r="N110" s="48"/>
      <c r="O110" s="48"/>
    </row>
    <row r="111" spans="2:15" s="3" customFormat="1" ht="12.75" x14ac:dyDescent="0.2">
      <c r="B111" s="47"/>
      <c r="C111" s="47"/>
      <c r="D111" s="78"/>
      <c r="E111" s="47"/>
      <c r="F111" s="47"/>
      <c r="G111" s="47"/>
      <c r="H111" s="47"/>
      <c r="I111" s="48"/>
      <c r="J111" s="47"/>
      <c r="K111" s="47"/>
      <c r="L111" s="47"/>
      <c r="M111" s="47"/>
      <c r="N111" s="48"/>
      <c r="O111" s="48"/>
    </row>
    <row r="112" spans="2:15" s="3" customFormat="1" ht="12.75" x14ac:dyDescent="0.2">
      <c r="B112" s="47"/>
      <c r="C112" s="47"/>
      <c r="D112" s="78"/>
      <c r="E112" s="47"/>
      <c r="F112" s="47"/>
      <c r="G112" s="47"/>
      <c r="H112" s="47"/>
      <c r="I112" s="48"/>
      <c r="J112" s="47"/>
      <c r="K112" s="47"/>
      <c r="L112" s="47"/>
      <c r="M112" s="47"/>
      <c r="N112" s="48"/>
      <c r="O112" s="48"/>
    </row>
    <row r="113" spans="2:15" s="3" customFormat="1" ht="12.75" x14ac:dyDescent="0.2">
      <c r="B113" s="47"/>
      <c r="C113" s="47"/>
      <c r="D113" s="78"/>
      <c r="E113" s="47"/>
      <c r="F113" s="47"/>
      <c r="G113" s="47"/>
      <c r="H113" s="47"/>
      <c r="I113" s="48"/>
      <c r="J113" s="47"/>
      <c r="K113" s="47"/>
      <c r="L113" s="47"/>
      <c r="M113" s="47"/>
      <c r="N113" s="48"/>
      <c r="O113" s="48"/>
    </row>
    <row r="114" spans="2:15" s="3" customFormat="1" ht="12.75" x14ac:dyDescent="0.2">
      <c r="B114" s="47"/>
      <c r="C114" s="47"/>
      <c r="D114" s="78"/>
      <c r="E114" s="47"/>
      <c r="F114" s="47"/>
      <c r="G114" s="47"/>
      <c r="H114" s="47"/>
      <c r="I114" s="48"/>
      <c r="J114" s="47"/>
      <c r="K114" s="47"/>
      <c r="L114" s="47"/>
      <c r="M114" s="47"/>
      <c r="N114" s="48"/>
      <c r="O114" s="48"/>
    </row>
    <row r="115" spans="2:15" s="3" customFormat="1" ht="12.75" x14ac:dyDescent="0.2">
      <c r="B115" s="47"/>
      <c r="C115" s="47"/>
      <c r="D115" s="78"/>
      <c r="E115" s="47"/>
      <c r="F115" s="47"/>
      <c r="G115" s="47"/>
      <c r="H115" s="47"/>
      <c r="I115" s="48"/>
      <c r="J115" s="47"/>
      <c r="K115" s="47"/>
      <c r="L115" s="47"/>
      <c r="M115" s="47"/>
      <c r="N115" s="48"/>
      <c r="O115" s="48"/>
    </row>
    <row r="116" spans="2:15" s="3" customFormat="1" ht="12.75" x14ac:dyDescent="0.2">
      <c r="B116" s="47"/>
      <c r="C116" s="47"/>
      <c r="D116" s="78"/>
      <c r="E116" s="47"/>
      <c r="F116" s="47"/>
      <c r="G116" s="47"/>
      <c r="H116" s="47"/>
      <c r="I116" s="48"/>
      <c r="J116" s="47"/>
      <c r="K116" s="47"/>
      <c r="L116" s="47"/>
      <c r="M116" s="47"/>
      <c r="N116" s="48"/>
      <c r="O116" s="48"/>
    </row>
    <row r="117" spans="2:15" s="3" customFormat="1" ht="12.75" x14ac:dyDescent="0.2">
      <c r="B117" s="47"/>
      <c r="C117" s="47"/>
      <c r="D117" s="78"/>
      <c r="E117" s="47"/>
      <c r="F117" s="47"/>
      <c r="G117" s="47"/>
      <c r="H117" s="47"/>
      <c r="I117" s="48"/>
      <c r="J117" s="47"/>
      <c r="K117" s="47"/>
      <c r="L117" s="47"/>
      <c r="M117" s="47"/>
      <c r="N117" s="48"/>
      <c r="O117" s="48"/>
    </row>
    <row r="118" spans="2:15" s="3" customFormat="1" ht="12.75" x14ac:dyDescent="0.2">
      <c r="B118" s="47"/>
      <c r="C118" s="47"/>
      <c r="D118" s="78"/>
      <c r="E118" s="47"/>
      <c r="F118" s="47"/>
      <c r="G118" s="47"/>
      <c r="H118" s="47"/>
      <c r="I118" s="48"/>
      <c r="J118" s="47"/>
      <c r="K118" s="47"/>
      <c r="L118" s="47"/>
      <c r="M118" s="47"/>
      <c r="N118" s="48"/>
      <c r="O118" s="48"/>
    </row>
    <row r="119" spans="2:15" s="3" customFormat="1" ht="12.75" x14ac:dyDescent="0.2">
      <c r="B119" s="47"/>
      <c r="C119" s="47"/>
      <c r="D119" s="78"/>
      <c r="E119" s="47"/>
      <c r="F119" s="47"/>
      <c r="G119" s="47"/>
      <c r="H119" s="47"/>
      <c r="I119" s="48"/>
      <c r="J119" s="47"/>
      <c r="K119" s="47"/>
      <c r="L119" s="47"/>
      <c r="M119" s="47"/>
      <c r="N119" s="48"/>
      <c r="O119" s="48"/>
    </row>
    <row r="120" spans="2:15" s="3" customFormat="1" ht="12.75" x14ac:dyDescent="0.2">
      <c r="B120" s="47"/>
      <c r="C120" s="47"/>
      <c r="D120" s="78"/>
      <c r="E120" s="47"/>
      <c r="F120" s="47"/>
      <c r="G120" s="47"/>
      <c r="H120" s="47"/>
      <c r="I120" s="48"/>
      <c r="J120" s="47"/>
      <c r="K120" s="47"/>
      <c r="L120" s="47"/>
      <c r="M120" s="47"/>
      <c r="N120" s="48"/>
      <c r="O120" s="48"/>
    </row>
    <row r="121" spans="2:15" s="3" customFormat="1" ht="12.75" x14ac:dyDescent="0.2">
      <c r="B121" s="47"/>
      <c r="C121" s="47"/>
      <c r="D121" s="78"/>
      <c r="E121" s="47"/>
      <c r="F121" s="47"/>
      <c r="G121" s="47"/>
      <c r="H121" s="47"/>
      <c r="I121" s="48"/>
      <c r="J121" s="47"/>
      <c r="K121" s="47"/>
      <c r="L121" s="47"/>
      <c r="M121" s="47"/>
      <c r="N121" s="48"/>
      <c r="O121" s="48"/>
    </row>
    <row r="122" spans="2:15" s="3" customFormat="1" ht="12.75" x14ac:dyDescent="0.2">
      <c r="B122" s="47"/>
      <c r="C122" s="47"/>
      <c r="D122" s="78"/>
      <c r="E122" s="47"/>
      <c r="F122" s="47"/>
      <c r="G122" s="47"/>
      <c r="H122" s="47"/>
      <c r="I122" s="48"/>
      <c r="J122" s="47"/>
      <c r="K122" s="47"/>
      <c r="L122" s="47"/>
      <c r="M122" s="47"/>
      <c r="N122" s="48"/>
      <c r="O122" s="48"/>
    </row>
    <row r="123" spans="2:15" s="3" customFormat="1" ht="12.75" x14ac:dyDescent="0.2">
      <c r="B123" s="47"/>
      <c r="C123" s="47"/>
      <c r="D123" s="78"/>
      <c r="E123" s="47"/>
      <c r="F123" s="47"/>
      <c r="G123" s="47"/>
      <c r="H123" s="47"/>
      <c r="I123" s="48"/>
      <c r="J123" s="47"/>
      <c r="K123" s="47"/>
      <c r="L123" s="47"/>
      <c r="M123" s="47"/>
      <c r="N123" s="48"/>
      <c r="O123" s="48"/>
    </row>
    <row r="124" spans="2:15" s="3" customFormat="1" ht="12.75" x14ac:dyDescent="0.2">
      <c r="B124" s="47"/>
      <c r="C124" s="47"/>
      <c r="D124" s="78"/>
      <c r="E124" s="47"/>
      <c r="F124" s="47"/>
      <c r="G124" s="47"/>
      <c r="H124" s="47"/>
      <c r="I124" s="48"/>
      <c r="J124" s="47"/>
      <c r="K124" s="47"/>
      <c r="L124" s="47"/>
      <c r="M124" s="47"/>
      <c r="N124" s="48"/>
      <c r="O124" s="48"/>
    </row>
    <row r="125" spans="2:15" s="3" customFormat="1" ht="12.75" x14ac:dyDescent="0.2">
      <c r="B125" s="47"/>
      <c r="C125" s="47"/>
      <c r="D125" s="78"/>
      <c r="E125" s="47"/>
      <c r="F125" s="47"/>
      <c r="G125" s="47"/>
      <c r="H125" s="47"/>
      <c r="I125" s="48"/>
      <c r="J125" s="47"/>
      <c r="K125" s="47"/>
      <c r="L125" s="47"/>
      <c r="M125" s="47"/>
      <c r="N125" s="48"/>
      <c r="O125" s="48"/>
    </row>
    <row r="126" spans="2:15" s="3" customFormat="1" ht="12.75" x14ac:dyDescent="0.2">
      <c r="B126" s="47"/>
      <c r="C126" s="47"/>
      <c r="D126" s="78"/>
      <c r="E126" s="47"/>
      <c r="F126" s="47"/>
      <c r="G126" s="47"/>
      <c r="H126" s="47"/>
      <c r="I126" s="48"/>
      <c r="J126" s="47"/>
      <c r="K126" s="47"/>
      <c r="L126" s="47"/>
      <c r="M126" s="47"/>
      <c r="N126" s="48"/>
      <c r="O126" s="48"/>
    </row>
    <row r="127" spans="2:15" s="3" customFormat="1" ht="12.75" x14ac:dyDescent="0.2">
      <c r="B127" s="47"/>
      <c r="C127" s="47"/>
      <c r="D127" s="78"/>
      <c r="E127" s="47"/>
      <c r="F127" s="47"/>
      <c r="G127" s="47"/>
      <c r="H127" s="47"/>
      <c r="I127" s="48"/>
      <c r="J127" s="47"/>
      <c r="K127" s="47"/>
      <c r="L127" s="47"/>
      <c r="M127" s="47"/>
      <c r="N127" s="48"/>
      <c r="O127" s="48"/>
    </row>
    <row r="128" spans="2:15" s="3" customFormat="1" ht="12.75" x14ac:dyDescent="0.2">
      <c r="B128" s="47"/>
      <c r="C128" s="47"/>
      <c r="D128" s="78"/>
      <c r="E128" s="47"/>
      <c r="F128" s="47"/>
      <c r="G128" s="47"/>
      <c r="H128" s="47"/>
      <c r="I128" s="48"/>
      <c r="J128" s="47"/>
      <c r="K128" s="47"/>
      <c r="L128" s="47"/>
      <c r="M128" s="47"/>
      <c r="N128" s="48"/>
      <c r="O128" s="48"/>
    </row>
    <row r="129" spans="2:15" s="3" customFormat="1" ht="12.75" x14ac:dyDescent="0.2">
      <c r="B129" s="47"/>
      <c r="C129" s="47"/>
      <c r="D129" s="78"/>
      <c r="E129" s="47"/>
      <c r="F129" s="47"/>
      <c r="G129" s="47"/>
      <c r="H129" s="47"/>
      <c r="I129" s="48"/>
      <c r="J129" s="47"/>
      <c r="K129" s="47"/>
      <c r="L129" s="47"/>
      <c r="M129" s="47"/>
      <c r="N129" s="48"/>
      <c r="O129" s="48"/>
    </row>
    <row r="130" spans="2:15" s="3" customFormat="1" ht="12.75" x14ac:dyDescent="0.2">
      <c r="B130" s="47"/>
      <c r="C130" s="47"/>
      <c r="D130" s="78"/>
      <c r="E130" s="47"/>
      <c r="F130" s="47"/>
      <c r="G130" s="47"/>
      <c r="H130" s="47"/>
      <c r="I130" s="48"/>
      <c r="J130" s="47"/>
      <c r="K130" s="47"/>
      <c r="L130" s="47"/>
      <c r="M130" s="47"/>
      <c r="N130" s="48"/>
      <c r="O130" s="48"/>
    </row>
    <row r="131" spans="2:15" s="3" customFormat="1" ht="12.75" x14ac:dyDescent="0.2">
      <c r="B131" s="47"/>
      <c r="C131" s="47"/>
      <c r="D131" s="78"/>
      <c r="E131" s="47"/>
      <c r="F131" s="47"/>
      <c r="G131" s="47"/>
      <c r="H131" s="47"/>
      <c r="I131" s="48"/>
      <c r="J131" s="47"/>
      <c r="K131" s="47"/>
      <c r="L131" s="47"/>
      <c r="M131" s="47"/>
      <c r="N131" s="48"/>
      <c r="O131" s="48"/>
    </row>
    <row r="132" spans="2:15" s="3" customFormat="1" ht="12.75" x14ac:dyDescent="0.2">
      <c r="B132" s="47"/>
      <c r="C132" s="47"/>
      <c r="D132" s="78"/>
      <c r="E132" s="47"/>
      <c r="F132" s="47"/>
      <c r="G132" s="47"/>
      <c r="H132" s="47"/>
      <c r="I132" s="48"/>
      <c r="J132" s="47"/>
      <c r="K132" s="47"/>
      <c r="L132" s="47"/>
      <c r="M132" s="47"/>
      <c r="N132" s="48"/>
      <c r="O132" s="48"/>
    </row>
    <row r="133" spans="2:15" s="3" customFormat="1" ht="12.75" x14ac:dyDescent="0.2">
      <c r="B133" s="47"/>
      <c r="C133" s="47"/>
      <c r="D133" s="78"/>
      <c r="E133" s="47"/>
      <c r="F133" s="47"/>
      <c r="G133" s="47"/>
      <c r="H133" s="47"/>
      <c r="I133" s="48"/>
      <c r="J133" s="47"/>
      <c r="K133" s="47"/>
      <c r="L133" s="47"/>
      <c r="M133" s="47"/>
      <c r="N133" s="48"/>
      <c r="O133" s="48"/>
    </row>
    <row r="134" spans="2:15" s="3" customFormat="1" ht="12.75" x14ac:dyDescent="0.2">
      <c r="B134" s="47"/>
      <c r="C134" s="47"/>
      <c r="D134" s="78"/>
      <c r="E134" s="47"/>
      <c r="F134" s="47"/>
      <c r="G134" s="47"/>
      <c r="H134" s="47"/>
      <c r="I134" s="48"/>
      <c r="J134" s="47"/>
      <c r="K134" s="47"/>
      <c r="L134" s="47"/>
      <c r="M134" s="47"/>
      <c r="N134" s="48"/>
      <c r="O134" s="48"/>
    </row>
    <row r="135" spans="2:15" s="3" customFormat="1" ht="12.75" x14ac:dyDescent="0.2">
      <c r="B135" s="47"/>
      <c r="C135" s="47"/>
      <c r="D135" s="78"/>
      <c r="E135" s="47"/>
      <c r="F135" s="47"/>
      <c r="G135" s="47"/>
      <c r="H135" s="47"/>
      <c r="I135" s="48"/>
      <c r="J135" s="47"/>
      <c r="K135" s="47"/>
      <c r="L135" s="47"/>
      <c r="M135" s="47"/>
      <c r="N135" s="48"/>
      <c r="O135" s="48"/>
    </row>
    <row r="136" spans="2:15" s="3" customFormat="1" ht="12.75" x14ac:dyDescent="0.2">
      <c r="B136" s="47"/>
      <c r="C136" s="47"/>
      <c r="D136" s="78"/>
      <c r="E136" s="47"/>
      <c r="F136" s="47"/>
      <c r="G136" s="47"/>
      <c r="H136" s="47"/>
      <c r="I136" s="48"/>
      <c r="J136" s="47"/>
      <c r="K136" s="47"/>
      <c r="L136" s="47"/>
      <c r="M136" s="47"/>
      <c r="N136" s="48"/>
      <c r="O136" s="48"/>
    </row>
    <row r="137" spans="2:15" s="3" customFormat="1" ht="12.75" x14ac:dyDescent="0.2">
      <c r="B137" s="47"/>
      <c r="C137" s="47"/>
      <c r="D137" s="78"/>
      <c r="E137" s="47"/>
      <c r="F137" s="47"/>
      <c r="G137" s="47"/>
      <c r="H137" s="47"/>
      <c r="I137" s="48"/>
      <c r="J137" s="47"/>
      <c r="K137" s="47"/>
      <c r="L137" s="47"/>
      <c r="M137" s="47"/>
      <c r="N137" s="48"/>
      <c r="O137" s="48"/>
    </row>
    <row r="138" spans="2:15" s="3" customFormat="1" ht="12.75" x14ac:dyDescent="0.2">
      <c r="B138" s="47"/>
      <c r="C138" s="47"/>
      <c r="D138" s="78"/>
      <c r="E138" s="47"/>
      <c r="F138" s="47"/>
      <c r="G138" s="47"/>
      <c r="H138" s="47"/>
      <c r="I138" s="48"/>
      <c r="J138" s="47"/>
      <c r="K138" s="47"/>
      <c r="L138" s="47"/>
      <c r="M138" s="47"/>
      <c r="N138" s="48"/>
      <c r="O138" s="48"/>
    </row>
    <row r="139" spans="2:15" s="3" customFormat="1" ht="12.75" x14ac:dyDescent="0.2">
      <c r="B139" s="47"/>
      <c r="C139" s="47"/>
      <c r="D139" s="78"/>
      <c r="E139" s="47"/>
      <c r="F139" s="47"/>
      <c r="G139" s="47"/>
      <c r="H139" s="47"/>
      <c r="I139" s="48"/>
      <c r="J139" s="47"/>
      <c r="K139" s="47"/>
      <c r="L139" s="47"/>
      <c r="M139" s="47"/>
      <c r="N139" s="48"/>
      <c r="O139" s="48"/>
    </row>
    <row r="140" spans="2:15" s="3" customFormat="1" ht="12.75" x14ac:dyDescent="0.2">
      <c r="B140" s="47"/>
      <c r="C140" s="47"/>
      <c r="D140" s="78"/>
      <c r="E140" s="47"/>
      <c r="F140" s="47"/>
      <c r="G140" s="47"/>
      <c r="H140" s="47"/>
      <c r="I140" s="48"/>
      <c r="J140" s="47"/>
      <c r="K140" s="47"/>
      <c r="L140" s="47"/>
      <c r="M140" s="47"/>
      <c r="N140" s="48"/>
      <c r="O140" s="48"/>
    </row>
    <row r="141" spans="2:15" s="3" customFormat="1" ht="12.75" x14ac:dyDescent="0.2">
      <c r="B141" s="47"/>
      <c r="C141" s="47"/>
      <c r="D141" s="78"/>
      <c r="E141" s="47"/>
      <c r="F141" s="47"/>
      <c r="G141" s="47"/>
      <c r="H141" s="47"/>
      <c r="I141" s="48"/>
      <c r="J141" s="47"/>
      <c r="K141" s="47"/>
      <c r="L141" s="47"/>
      <c r="M141" s="47"/>
      <c r="N141" s="48"/>
      <c r="O141" s="48"/>
    </row>
    <row r="142" spans="2:15" s="3" customFormat="1" ht="12.75" x14ac:dyDescent="0.2">
      <c r="B142" s="47"/>
      <c r="C142" s="47"/>
      <c r="D142" s="78"/>
      <c r="E142" s="47"/>
      <c r="F142" s="47"/>
      <c r="G142" s="47"/>
      <c r="H142" s="47"/>
      <c r="I142" s="48"/>
      <c r="J142" s="47"/>
      <c r="K142" s="47"/>
      <c r="L142" s="47"/>
      <c r="M142" s="47"/>
      <c r="N142" s="48"/>
      <c r="O142" s="48"/>
    </row>
    <row r="143" spans="2:15" s="3" customFormat="1" ht="12.75" x14ac:dyDescent="0.2">
      <c r="B143" s="47"/>
      <c r="C143" s="47"/>
      <c r="D143" s="78"/>
      <c r="E143" s="47"/>
      <c r="F143" s="47"/>
      <c r="G143" s="47"/>
      <c r="H143" s="47"/>
      <c r="I143" s="48"/>
      <c r="J143" s="47"/>
      <c r="K143" s="47"/>
      <c r="L143" s="47"/>
      <c r="M143" s="47"/>
      <c r="N143" s="48"/>
      <c r="O143" s="48"/>
    </row>
    <row r="144" spans="2:15" s="3" customFormat="1" ht="12.75" x14ac:dyDescent="0.2">
      <c r="B144" s="47"/>
      <c r="C144" s="47"/>
      <c r="D144" s="78"/>
      <c r="E144" s="47"/>
      <c r="F144" s="47"/>
      <c r="G144" s="47"/>
      <c r="H144" s="47"/>
      <c r="I144" s="48"/>
      <c r="J144" s="47"/>
      <c r="K144" s="47"/>
      <c r="L144" s="47"/>
      <c r="M144" s="47"/>
      <c r="N144" s="48"/>
      <c r="O144" s="48"/>
    </row>
    <row r="145" spans="2:15" s="3" customFormat="1" ht="12.75" x14ac:dyDescent="0.2">
      <c r="B145" s="47"/>
      <c r="C145" s="47"/>
      <c r="D145" s="78"/>
      <c r="E145" s="47"/>
      <c r="F145" s="47"/>
      <c r="G145" s="47"/>
      <c r="H145" s="47"/>
      <c r="I145" s="48"/>
      <c r="J145" s="47"/>
      <c r="K145" s="47"/>
      <c r="L145" s="47"/>
      <c r="M145" s="47"/>
      <c r="N145" s="48"/>
      <c r="O145" s="48"/>
    </row>
    <row r="146" spans="2:15" s="3" customFormat="1" ht="12.75" x14ac:dyDescent="0.2">
      <c r="B146" s="47"/>
      <c r="C146" s="47"/>
      <c r="D146" s="78"/>
      <c r="E146" s="47"/>
      <c r="F146" s="47"/>
      <c r="G146" s="47"/>
      <c r="H146" s="47"/>
      <c r="I146" s="48"/>
      <c r="J146" s="47"/>
      <c r="K146" s="47"/>
      <c r="L146" s="47"/>
      <c r="M146" s="47"/>
      <c r="N146" s="48"/>
      <c r="O146" s="48"/>
    </row>
    <row r="147" spans="2:15" s="3" customFormat="1" ht="12.75" x14ac:dyDescent="0.2">
      <c r="B147" s="47"/>
      <c r="C147" s="47"/>
      <c r="D147" s="78"/>
      <c r="E147" s="47"/>
      <c r="F147" s="47"/>
      <c r="G147" s="47"/>
      <c r="H147" s="47"/>
      <c r="I147" s="48"/>
      <c r="J147" s="47"/>
      <c r="K147" s="47"/>
      <c r="L147" s="47"/>
      <c r="M147" s="47"/>
      <c r="N147" s="48"/>
      <c r="O147" s="48"/>
    </row>
    <row r="148" spans="2:15" s="3" customFormat="1" ht="12.75" x14ac:dyDescent="0.2">
      <c r="B148" s="47"/>
      <c r="C148" s="47"/>
      <c r="D148" s="78"/>
      <c r="E148" s="47"/>
      <c r="F148" s="47"/>
      <c r="G148" s="47"/>
      <c r="H148" s="47"/>
      <c r="I148" s="48"/>
      <c r="J148" s="47"/>
      <c r="K148" s="47"/>
      <c r="L148" s="47"/>
      <c r="M148" s="47"/>
      <c r="N148" s="48"/>
      <c r="O148" s="48"/>
    </row>
    <row r="149" spans="2:15" x14ac:dyDescent="0.2">
      <c r="B149" s="47"/>
      <c r="C149" s="47"/>
      <c r="D149" s="78"/>
      <c r="E149" s="47"/>
      <c r="F149" s="47"/>
      <c r="G149" s="47"/>
      <c r="H149" s="47"/>
      <c r="I149" s="48"/>
      <c r="J149" s="47"/>
      <c r="K149" s="47"/>
      <c r="L149" s="47"/>
      <c r="M149" s="47"/>
      <c r="N149" s="48"/>
      <c r="O149" s="48"/>
    </row>
    <row r="150" spans="2:15" x14ac:dyDescent="0.2">
      <c r="B150" s="47"/>
      <c r="C150" s="47"/>
      <c r="D150" s="78"/>
      <c r="E150" s="47"/>
      <c r="F150" s="47"/>
      <c r="G150" s="47"/>
      <c r="H150" s="47"/>
      <c r="I150" s="48"/>
      <c r="J150" s="47"/>
      <c r="K150" s="47"/>
      <c r="L150" s="47"/>
      <c r="M150" s="47"/>
      <c r="N150" s="48"/>
      <c r="O150" s="48"/>
    </row>
    <row r="151" spans="2:15" x14ac:dyDescent="0.2">
      <c r="B151" s="47"/>
      <c r="C151" s="47"/>
      <c r="D151" s="78"/>
      <c r="E151" s="47"/>
      <c r="F151" s="47"/>
      <c r="G151" s="47"/>
      <c r="H151" s="47"/>
      <c r="I151" s="48"/>
      <c r="J151" s="47"/>
      <c r="K151" s="47"/>
      <c r="L151" s="47"/>
      <c r="M151" s="47"/>
      <c r="N151" s="48"/>
      <c r="O151" s="48"/>
    </row>
    <row r="152" spans="2:15" x14ac:dyDescent="0.2">
      <c r="B152" s="47"/>
      <c r="C152" s="47"/>
      <c r="D152" s="78"/>
      <c r="E152" s="47"/>
      <c r="F152" s="47"/>
      <c r="G152" s="47"/>
      <c r="H152" s="47"/>
      <c r="I152" s="48"/>
      <c r="J152" s="47"/>
      <c r="K152" s="47"/>
      <c r="L152" s="47"/>
      <c r="M152" s="47"/>
      <c r="N152" s="48"/>
      <c r="O152" s="48"/>
    </row>
    <row r="153" spans="2:15" x14ac:dyDescent="0.2">
      <c r="B153" s="47"/>
      <c r="C153" s="47"/>
      <c r="D153" s="78"/>
      <c r="E153" s="47"/>
      <c r="F153" s="47"/>
      <c r="G153" s="47"/>
      <c r="H153" s="47"/>
      <c r="I153" s="48"/>
      <c r="J153" s="47"/>
      <c r="K153" s="47"/>
      <c r="L153" s="47"/>
      <c r="M153" s="47"/>
      <c r="N153" s="48"/>
      <c r="O153" s="48"/>
    </row>
    <row r="154" spans="2:15" x14ac:dyDescent="0.2">
      <c r="B154" s="47"/>
      <c r="C154" s="47"/>
      <c r="D154" s="78"/>
      <c r="E154" s="47"/>
      <c r="F154" s="47"/>
      <c r="G154" s="47"/>
      <c r="H154" s="47"/>
      <c r="I154" s="48"/>
      <c r="J154" s="47"/>
      <c r="K154" s="47"/>
      <c r="L154" s="47"/>
      <c r="M154" s="47"/>
      <c r="N154" s="48"/>
      <c r="O154" s="48"/>
    </row>
    <row r="155" spans="2:15" x14ac:dyDescent="0.2">
      <c r="B155" s="47"/>
      <c r="C155" s="47"/>
      <c r="D155" s="78"/>
      <c r="E155" s="47"/>
      <c r="F155" s="47"/>
      <c r="G155" s="47"/>
      <c r="H155" s="47"/>
      <c r="I155" s="48"/>
      <c r="J155" s="47"/>
      <c r="K155" s="47"/>
      <c r="L155" s="47"/>
      <c r="M155" s="47"/>
      <c r="N155" s="48"/>
      <c r="O155" s="48"/>
    </row>
    <row r="156" spans="2:15" x14ac:dyDescent="0.2">
      <c r="B156" s="47"/>
      <c r="C156" s="47"/>
      <c r="D156" s="78"/>
      <c r="E156" s="47"/>
      <c r="F156" s="47"/>
      <c r="G156" s="47"/>
      <c r="H156" s="47"/>
      <c r="I156" s="48"/>
      <c r="J156" s="47"/>
      <c r="K156" s="47"/>
      <c r="L156" s="47"/>
      <c r="M156" s="47"/>
      <c r="N156" s="48"/>
      <c r="O156" s="48"/>
    </row>
    <row r="157" spans="2:15" x14ac:dyDescent="0.2">
      <c r="B157" s="47"/>
      <c r="C157" s="47"/>
      <c r="D157" s="78"/>
      <c r="E157" s="47"/>
      <c r="F157" s="47"/>
      <c r="G157" s="47"/>
      <c r="H157" s="47"/>
      <c r="I157" s="48"/>
      <c r="J157" s="47"/>
      <c r="K157" s="47"/>
      <c r="L157" s="47"/>
      <c r="M157" s="47"/>
      <c r="N157" s="48"/>
      <c r="O157" s="48"/>
    </row>
    <row r="158" spans="2:15" x14ac:dyDescent="0.2">
      <c r="B158" s="47"/>
      <c r="C158" s="47"/>
      <c r="D158" s="78"/>
      <c r="E158" s="47"/>
      <c r="F158" s="47"/>
      <c r="G158" s="47"/>
      <c r="H158" s="47"/>
      <c r="I158" s="48"/>
      <c r="J158" s="47"/>
      <c r="K158" s="47"/>
      <c r="L158" s="47"/>
      <c r="M158" s="47"/>
      <c r="N158" s="48"/>
      <c r="O158" s="48"/>
    </row>
    <row r="159" spans="2:15" x14ac:dyDescent="0.2">
      <c r="B159" s="47"/>
      <c r="C159" s="47"/>
      <c r="D159" s="78"/>
      <c r="E159" s="47"/>
      <c r="F159" s="47"/>
      <c r="G159" s="47"/>
      <c r="H159" s="47"/>
      <c r="I159" s="48"/>
      <c r="J159" s="47"/>
      <c r="K159" s="47"/>
      <c r="L159" s="47"/>
      <c r="M159" s="47"/>
      <c r="N159" s="48"/>
      <c r="O159" s="48"/>
    </row>
    <row r="160" spans="2:15" x14ac:dyDescent="0.2">
      <c r="B160" s="47"/>
      <c r="C160" s="47"/>
      <c r="D160" s="78"/>
      <c r="E160" s="47"/>
      <c r="F160" s="47"/>
      <c r="G160" s="47"/>
      <c r="H160" s="47"/>
      <c r="I160" s="48"/>
      <c r="J160" s="47"/>
      <c r="K160" s="47"/>
      <c r="L160" s="47"/>
      <c r="M160" s="47"/>
      <c r="N160" s="48"/>
      <c r="O160" s="48"/>
    </row>
    <row r="161" spans="2:15" x14ac:dyDescent="0.2">
      <c r="B161" s="47"/>
      <c r="C161" s="47"/>
      <c r="D161" s="78"/>
      <c r="E161" s="47"/>
      <c r="F161" s="47"/>
      <c r="G161" s="47"/>
      <c r="H161" s="47"/>
      <c r="I161" s="48"/>
      <c r="J161" s="47"/>
      <c r="K161" s="47"/>
      <c r="L161" s="47"/>
      <c r="M161" s="47"/>
      <c r="N161" s="48"/>
      <c r="O161" s="48"/>
    </row>
    <row r="162" spans="2:15" x14ac:dyDescent="0.2">
      <c r="B162" s="47"/>
      <c r="C162" s="47"/>
      <c r="D162" s="78"/>
      <c r="E162" s="47"/>
      <c r="F162" s="47"/>
      <c r="G162" s="47"/>
      <c r="H162" s="47"/>
      <c r="I162" s="48"/>
      <c r="J162" s="47"/>
      <c r="K162" s="47"/>
      <c r="L162" s="47"/>
      <c r="M162" s="47"/>
      <c r="N162" s="48"/>
      <c r="O162" s="48"/>
    </row>
    <row r="163" spans="2:15" x14ac:dyDescent="0.2">
      <c r="B163" s="47"/>
      <c r="C163" s="47"/>
      <c r="D163" s="78"/>
      <c r="E163" s="47"/>
      <c r="F163" s="47"/>
      <c r="G163" s="47"/>
      <c r="H163" s="47"/>
      <c r="I163" s="48"/>
      <c r="J163" s="47"/>
      <c r="K163" s="47"/>
      <c r="L163" s="47"/>
      <c r="M163" s="47"/>
      <c r="N163" s="48"/>
      <c r="O163" s="48"/>
    </row>
    <row r="164" spans="2:15" x14ac:dyDescent="0.2">
      <c r="B164" s="47"/>
      <c r="C164" s="47"/>
      <c r="D164" s="78"/>
      <c r="E164" s="47"/>
      <c r="F164" s="47"/>
      <c r="G164" s="47"/>
      <c r="H164" s="47"/>
      <c r="I164" s="48"/>
      <c r="J164" s="47"/>
      <c r="K164" s="47"/>
      <c r="L164" s="47"/>
      <c r="M164" s="47"/>
      <c r="N164" s="48"/>
      <c r="O164" s="48"/>
    </row>
    <row r="165" spans="2:15" x14ac:dyDescent="0.2">
      <c r="B165" s="47"/>
      <c r="C165" s="47"/>
      <c r="D165" s="78"/>
      <c r="E165" s="47"/>
      <c r="F165" s="47"/>
      <c r="G165" s="47"/>
      <c r="H165" s="47"/>
      <c r="I165" s="48"/>
      <c r="J165" s="47"/>
      <c r="K165" s="47"/>
      <c r="L165" s="47"/>
      <c r="M165" s="47"/>
      <c r="N165" s="48"/>
      <c r="O165" s="48"/>
    </row>
    <row r="166" spans="2:15" x14ac:dyDescent="0.2">
      <c r="B166" s="47"/>
      <c r="C166" s="47"/>
      <c r="D166" s="78"/>
      <c r="E166" s="47"/>
      <c r="F166" s="47"/>
      <c r="G166" s="47"/>
      <c r="H166" s="47"/>
      <c r="I166" s="48"/>
      <c r="J166" s="47"/>
      <c r="K166" s="47"/>
      <c r="L166" s="47"/>
      <c r="M166" s="47"/>
      <c r="N166" s="48"/>
      <c r="O166" s="48"/>
    </row>
    <row r="167" spans="2:15" x14ac:dyDescent="0.2">
      <c r="B167" s="47"/>
      <c r="C167" s="47"/>
      <c r="D167" s="78"/>
      <c r="E167" s="47"/>
      <c r="F167" s="47"/>
      <c r="G167" s="47"/>
      <c r="H167" s="47"/>
      <c r="I167" s="48"/>
      <c r="J167" s="47"/>
      <c r="K167" s="47"/>
      <c r="L167" s="47"/>
      <c r="M167" s="47"/>
      <c r="N167" s="48"/>
      <c r="O167" s="48"/>
    </row>
    <row r="168" spans="2:15" x14ac:dyDescent="0.2">
      <c r="B168" s="47"/>
      <c r="C168" s="47"/>
      <c r="D168" s="78"/>
      <c r="E168" s="47"/>
      <c r="F168" s="47"/>
      <c r="G168" s="47"/>
      <c r="H168" s="47"/>
      <c r="I168" s="48"/>
      <c r="J168" s="47"/>
      <c r="K168" s="47"/>
      <c r="L168" s="47"/>
      <c r="M168" s="47"/>
      <c r="N168" s="48"/>
      <c r="O168" s="48"/>
    </row>
    <row r="169" spans="2:15" x14ac:dyDescent="0.2">
      <c r="B169" s="47"/>
      <c r="C169" s="47"/>
      <c r="D169" s="78"/>
      <c r="E169" s="47"/>
      <c r="F169" s="47"/>
      <c r="G169" s="47"/>
      <c r="H169" s="47"/>
      <c r="I169" s="48"/>
      <c r="J169" s="47"/>
      <c r="K169" s="47"/>
      <c r="L169" s="47"/>
      <c r="M169" s="47"/>
      <c r="N169" s="48"/>
      <c r="O169" s="48"/>
    </row>
    <row r="170" spans="2:15" x14ac:dyDescent="0.2">
      <c r="B170" s="47"/>
      <c r="C170" s="47"/>
      <c r="D170" s="78"/>
      <c r="E170" s="47"/>
      <c r="F170" s="47"/>
      <c r="G170" s="47"/>
      <c r="H170" s="47"/>
      <c r="I170" s="48"/>
      <c r="J170" s="47"/>
      <c r="K170" s="47"/>
      <c r="L170" s="47"/>
      <c r="M170" s="47"/>
      <c r="N170" s="48"/>
      <c r="O170" s="48"/>
    </row>
    <row r="171" spans="2:15" x14ac:dyDescent="0.2">
      <c r="B171" s="47"/>
      <c r="C171" s="47"/>
      <c r="D171" s="78"/>
      <c r="E171" s="47"/>
      <c r="F171" s="47"/>
      <c r="G171" s="47"/>
      <c r="H171" s="47"/>
      <c r="I171" s="48"/>
      <c r="J171" s="47"/>
      <c r="K171" s="47"/>
      <c r="L171" s="47"/>
      <c r="M171" s="47"/>
      <c r="N171" s="48"/>
      <c r="O171" s="48"/>
    </row>
    <row r="172" spans="2:15" x14ac:dyDescent="0.2">
      <c r="B172" s="47"/>
      <c r="C172" s="47"/>
      <c r="D172" s="78"/>
      <c r="E172" s="47"/>
      <c r="F172" s="47"/>
      <c r="G172" s="47"/>
      <c r="H172" s="47"/>
      <c r="I172" s="48"/>
      <c r="J172" s="47"/>
      <c r="K172" s="47"/>
      <c r="L172" s="47"/>
      <c r="M172" s="47"/>
      <c r="N172" s="48"/>
      <c r="O172" s="48"/>
    </row>
    <row r="173" spans="2:15" x14ac:dyDescent="0.2">
      <c r="B173" s="47"/>
      <c r="C173" s="47"/>
      <c r="D173" s="78"/>
      <c r="E173" s="47"/>
      <c r="F173" s="47"/>
      <c r="G173" s="47"/>
      <c r="H173" s="47"/>
      <c r="I173" s="48"/>
      <c r="J173" s="47"/>
      <c r="K173" s="47"/>
      <c r="L173" s="47"/>
      <c r="M173" s="47"/>
      <c r="N173" s="48"/>
      <c r="O173" s="48"/>
    </row>
    <row r="174" spans="2:15" x14ac:dyDescent="0.2">
      <c r="B174" s="47"/>
      <c r="C174" s="47"/>
      <c r="D174" s="78"/>
      <c r="E174" s="47"/>
      <c r="F174" s="47"/>
      <c r="G174" s="47"/>
      <c r="H174" s="47"/>
      <c r="I174" s="48"/>
      <c r="J174" s="47"/>
      <c r="K174" s="47"/>
      <c r="L174" s="47"/>
      <c r="M174" s="47"/>
      <c r="N174" s="48"/>
      <c r="O174" s="48"/>
    </row>
    <row r="175" spans="2:15" x14ac:dyDescent="0.2">
      <c r="B175" s="47"/>
      <c r="C175" s="47"/>
      <c r="D175" s="78"/>
      <c r="E175" s="47"/>
      <c r="F175" s="47"/>
      <c r="G175" s="47"/>
      <c r="H175" s="47"/>
      <c r="I175" s="48"/>
      <c r="J175" s="47"/>
      <c r="K175" s="47"/>
      <c r="L175" s="47"/>
      <c r="M175" s="47"/>
      <c r="N175" s="48"/>
      <c r="O175" s="48"/>
    </row>
    <row r="176" spans="2:15" x14ac:dyDescent="0.2">
      <c r="B176" s="47"/>
      <c r="C176" s="47"/>
      <c r="D176" s="78"/>
      <c r="E176" s="47"/>
      <c r="F176" s="47"/>
      <c r="G176" s="47"/>
      <c r="H176" s="47"/>
      <c r="I176" s="48"/>
      <c r="J176" s="47"/>
      <c r="K176" s="47"/>
      <c r="L176" s="47"/>
      <c r="M176" s="47"/>
      <c r="N176" s="48"/>
      <c r="O176" s="48"/>
    </row>
    <row r="177" spans="2:15" x14ac:dyDescent="0.2">
      <c r="B177" s="47"/>
      <c r="C177" s="47"/>
      <c r="D177" s="78"/>
      <c r="E177" s="47"/>
      <c r="F177" s="47"/>
      <c r="G177" s="47"/>
      <c r="H177" s="47"/>
      <c r="I177" s="48"/>
      <c r="J177" s="47"/>
      <c r="K177" s="47"/>
      <c r="L177" s="47"/>
      <c r="M177" s="47"/>
      <c r="N177" s="48"/>
      <c r="O177" s="48"/>
    </row>
    <row r="178" spans="2:15" x14ac:dyDescent="0.2">
      <c r="B178" s="47"/>
      <c r="C178" s="47"/>
      <c r="D178" s="78"/>
      <c r="E178" s="47"/>
      <c r="F178" s="47"/>
      <c r="G178" s="47"/>
      <c r="H178" s="47"/>
      <c r="I178" s="48"/>
      <c r="J178" s="47"/>
      <c r="K178" s="47"/>
      <c r="L178" s="47"/>
      <c r="M178" s="47"/>
      <c r="N178" s="48"/>
      <c r="O178" s="48"/>
    </row>
    <row r="179" spans="2:15" x14ac:dyDescent="0.2">
      <c r="B179" s="47"/>
      <c r="C179" s="47"/>
      <c r="D179" s="78"/>
      <c r="E179" s="47"/>
      <c r="F179" s="47"/>
      <c r="G179" s="47"/>
      <c r="H179" s="47"/>
      <c r="I179" s="48"/>
      <c r="J179" s="47"/>
      <c r="K179" s="47"/>
      <c r="L179" s="47"/>
      <c r="M179" s="47"/>
      <c r="N179" s="48"/>
      <c r="O179" s="48"/>
    </row>
    <row r="180" spans="2:15" x14ac:dyDescent="0.2">
      <c r="B180" s="47"/>
      <c r="C180" s="47"/>
      <c r="D180" s="78"/>
      <c r="E180" s="47"/>
      <c r="F180" s="47"/>
      <c r="G180" s="47"/>
      <c r="H180" s="47"/>
      <c r="I180" s="48"/>
      <c r="J180" s="47"/>
      <c r="K180" s="47"/>
      <c r="L180" s="47"/>
      <c r="M180" s="47"/>
      <c r="N180" s="48"/>
      <c r="O180" s="48"/>
    </row>
    <row r="181" spans="2:15" x14ac:dyDescent="0.2">
      <c r="B181" s="47"/>
      <c r="C181" s="47"/>
      <c r="D181" s="78"/>
      <c r="E181" s="47"/>
      <c r="F181" s="47"/>
      <c r="G181" s="47"/>
      <c r="H181" s="47"/>
      <c r="I181" s="48"/>
      <c r="J181" s="47"/>
      <c r="K181" s="47"/>
      <c r="L181" s="47"/>
      <c r="M181" s="47"/>
      <c r="N181" s="48"/>
      <c r="O181" s="48"/>
    </row>
    <row r="182" spans="2:15" x14ac:dyDescent="0.2">
      <c r="B182" s="47"/>
      <c r="C182" s="47"/>
      <c r="D182" s="78"/>
      <c r="E182" s="47"/>
      <c r="F182" s="47"/>
      <c r="G182" s="47"/>
      <c r="H182" s="47"/>
      <c r="I182" s="48"/>
      <c r="J182" s="47"/>
      <c r="K182" s="47"/>
      <c r="L182" s="47"/>
      <c r="M182" s="47"/>
      <c r="N182" s="48"/>
      <c r="O182" s="48"/>
    </row>
    <row r="183" spans="2:15" x14ac:dyDescent="0.2">
      <c r="B183" s="47"/>
      <c r="C183" s="47"/>
      <c r="D183" s="78"/>
      <c r="E183" s="47"/>
      <c r="F183" s="47"/>
      <c r="G183" s="47"/>
      <c r="H183" s="47"/>
      <c r="I183" s="48"/>
      <c r="J183" s="47"/>
      <c r="K183" s="47"/>
      <c r="L183" s="47"/>
      <c r="M183" s="47"/>
      <c r="N183" s="48"/>
      <c r="O183" s="48"/>
    </row>
    <row r="184" spans="2:15" x14ac:dyDescent="0.2">
      <c r="B184" s="47"/>
      <c r="C184" s="47"/>
      <c r="D184" s="78"/>
      <c r="E184" s="47"/>
      <c r="F184" s="47"/>
      <c r="G184" s="47"/>
      <c r="H184" s="47"/>
      <c r="I184" s="48"/>
      <c r="J184" s="47"/>
      <c r="K184" s="47"/>
      <c r="L184" s="47"/>
      <c r="M184" s="47"/>
      <c r="N184" s="48"/>
      <c r="O184" s="48"/>
    </row>
    <row r="185" spans="2:15" x14ac:dyDescent="0.2">
      <c r="B185" s="47"/>
      <c r="C185" s="47"/>
      <c r="D185" s="78"/>
      <c r="E185" s="47"/>
      <c r="F185" s="47"/>
      <c r="G185" s="47"/>
      <c r="H185" s="47"/>
      <c r="I185" s="48"/>
      <c r="J185" s="47"/>
      <c r="K185" s="47"/>
      <c r="L185" s="47"/>
      <c r="M185" s="47"/>
      <c r="N185" s="48"/>
      <c r="O185" s="48"/>
    </row>
    <row r="186" spans="2:15" x14ac:dyDescent="0.2">
      <c r="B186" s="47"/>
      <c r="C186" s="47"/>
      <c r="D186" s="78"/>
      <c r="E186" s="47"/>
      <c r="F186" s="47"/>
      <c r="G186" s="47"/>
      <c r="H186" s="47"/>
      <c r="I186" s="48"/>
      <c r="J186" s="47"/>
      <c r="K186" s="47"/>
      <c r="L186" s="47"/>
      <c r="M186" s="47"/>
      <c r="N186" s="48"/>
      <c r="O186" s="48"/>
    </row>
    <row r="187" spans="2:15" x14ac:dyDescent="0.2">
      <c r="B187" s="47"/>
      <c r="C187" s="47"/>
      <c r="D187" s="78"/>
      <c r="E187" s="47"/>
      <c r="F187" s="47"/>
      <c r="G187" s="47"/>
      <c r="H187" s="47"/>
      <c r="I187" s="48"/>
      <c r="J187" s="47"/>
      <c r="K187" s="47"/>
      <c r="L187" s="47"/>
      <c r="M187" s="47"/>
      <c r="N187" s="48"/>
      <c r="O187" s="48"/>
    </row>
    <row r="188" spans="2:15" x14ac:dyDescent="0.2">
      <c r="B188" s="47"/>
      <c r="C188" s="47"/>
      <c r="D188" s="78"/>
      <c r="E188" s="47"/>
      <c r="F188" s="47"/>
      <c r="G188" s="47"/>
      <c r="H188" s="47"/>
      <c r="I188" s="48"/>
      <c r="J188" s="47"/>
      <c r="K188" s="47"/>
      <c r="L188" s="47"/>
      <c r="M188" s="47"/>
      <c r="N188" s="48"/>
      <c r="O188" s="48"/>
    </row>
    <row r="189" spans="2:15" x14ac:dyDescent="0.2">
      <c r="B189" s="47"/>
      <c r="C189" s="47"/>
      <c r="D189" s="78"/>
      <c r="E189" s="47"/>
      <c r="F189" s="47"/>
      <c r="G189" s="47"/>
      <c r="H189" s="47"/>
      <c r="I189" s="48"/>
      <c r="J189" s="47"/>
      <c r="K189" s="47"/>
      <c r="L189" s="47"/>
      <c r="M189" s="47"/>
      <c r="N189" s="48"/>
      <c r="O189" s="48"/>
    </row>
    <row r="190" spans="2:15" x14ac:dyDescent="0.2">
      <c r="B190" s="47"/>
      <c r="C190" s="47"/>
      <c r="D190" s="78"/>
      <c r="E190" s="47"/>
      <c r="F190" s="47"/>
      <c r="G190" s="47"/>
      <c r="H190" s="47"/>
      <c r="I190" s="48"/>
      <c r="J190" s="47"/>
      <c r="K190" s="47"/>
      <c r="L190" s="47"/>
      <c r="M190" s="47"/>
      <c r="N190" s="48"/>
      <c r="O190" s="48"/>
    </row>
    <row r="191" spans="2:15" x14ac:dyDescent="0.2">
      <c r="B191" s="47"/>
      <c r="C191" s="47"/>
      <c r="D191" s="78"/>
      <c r="E191" s="47"/>
      <c r="F191" s="47"/>
      <c r="G191" s="47"/>
      <c r="H191" s="47"/>
      <c r="I191" s="48"/>
      <c r="J191" s="47"/>
      <c r="K191" s="47"/>
      <c r="L191" s="47"/>
      <c r="M191" s="47"/>
      <c r="N191" s="48"/>
      <c r="O191" s="48"/>
    </row>
    <row r="192" spans="2:15" x14ac:dyDescent="0.2">
      <c r="B192" s="47"/>
      <c r="C192" s="47"/>
      <c r="D192" s="78"/>
      <c r="E192" s="47"/>
      <c r="F192" s="47"/>
      <c r="G192" s="47"/>
      <c r="H192" s="47"/>
      <c r="I192" s="48"/>
      <c r="J192" s="47"/>
      <c r="K192" s="47"/>
      <c r="L192" s="47"/>
      <c r="M192" s="47"/>
      <c r="N192" s="48"/>
      <c r="O192" s="48"/>
    </row>
    <row r="193" spans="2:15" x14ac:dyDescent="0.2">
      <c r="B193" s="47"/>
      <c r="C193" s="47"/>
      <c r="D193" s="78"/>
      <c r="E193" s="47"/>
      <c r="F193" s="47"/>
      <c r="G193" s="47"/>
      <c r="H193" s="47"/>
      <c r="I193" s="48"/>
      <c r="J193" s="47"/>
      <c r="K193" s="47"/>
      <c r="L193" s="47"/>
      <c r="M193" s="47"/>
      <c r="N193" s="48"/>
      <c r="O193" s="48"/>
    </row>
    <row r="194" spans="2:15" x14ac:dyDescent="0.2">
      <c r="B194" s="47"/>
      <c r="C194" s="47"/>
      <c r="D194" s="78"/>
      <c r="E194" s="47"/>
      <c r="F194" s="47"/>
      <c r="G194" s="47"/>
      <c r="H194" s="47"/>
      <c r="I194" s="48"/>
      <c r="J194" s="47"/>
      <c r="K194" s="47"/>
      <c r="L194" s="47"/>
      <c r="M194" s="47"/>
      <c r="N194" s="48"/>
      <c r="O194" s="48"/>
    </row>
    <row r="195" spans="2:15" x14ac:dyDescent="0.2">
      <c r="B195" s="47"/>
      <c r="C195" s="47"/>
      <c r="D195" s="78"/>
      <c r="E195" s="47"/>
      <c r="F195" s="47"/>
      <c r="G195" s="47"/>
      <c r="H195" s="47"/>
      <c r="I195" s="48"/>
      <c r="J195" s="47"/>
      <c r="K195" s="47"/>
      <c r="L195" s="47"/>
      <c r="M195" s="47"/>
      <c r="N195" s="48"/>
      <c r="O195" s="48"/>
    </row>
    <row r="196" spans="2:15" x14ac:dyDescent="0.2">
      <c r="B196" s="47"/>
      <c r="C196" s="47"/>
      <c r="D196" s="78"/>
      <c r="E196" s="47"/>
      <c r="F196" s="47"/>
      <c r="G196" s="47"/>
      <c r="H196" s="47"/>
      <c r="I196" s="48"/>
      <c r="J196" s="47"/>
      <c r="K196" s="47"/>
      <c r="L196" s="47"/>
      <c r="M196" s="47"/>
      <c r="N196" s="48"/>
      <c r="O196" s="48"/>
    </row>
    <row r="197" spans="2:15" x14ac:dyDescent="0.2">
      <c r="B197" s="47"/>
      <c r="C197" s="47"/>
      <c r="D197" s="78"/>
      <c r="E197" s="47"/>
      <c r="F197" s="47"/>
      <c r="G197" s="47"/>
      <c r="H197" s="47"/>
      <c r="I197" s="48"/>
      <c r="J197" s="47"/>
      <c r="K197" s="47"/>
      <c r="L197" s="47"/>
      <c r="M197" s="47"/>
      <c r="N197" s="48"/>
      <c r="O197" s="48"/>
    </row>
    <row r="198" spans="2:15" x14ac:dyDescent="0.2">
      <c r="B198" s="47"/>
      <c r="C198" s="47"/>
      <c r="D198" s="78"/>
      <c r="E198" s="47"/>
      <c r="F198" s="47"/>
      <c r="G198" s="47"/>
      <c r="H198" s="47"/>
      <c r="I198" s="48"/>
      <c r="J198" s="47"/>
      <c r="K198" s="47"/>
      <c r="L198" s="47"/>
      <c r="M198" s="47"/>
      <c r="N198" s="48"/>
      <c r="O198" s="48"/>
    </row>
    <row r="199" spans="2:15" x14ac:dyDescent="0.2">
      <c r="B199" s="47"/>
      <c r="C199" s="47"/>
      <c r="D199" s="78"/>
      <c r="E199" s="47"/>
      <c r="F199" s="47"/>
      <c r="G199" s="47"/>
      <c r="H199" s="47"/>
      <c r="I199" s="48"/>
      <c r="J199" s="47"/>
      <c r="K199" s="47"/>
      <c r="L199" s="47"/>
      <c r="M199" s="47"/>
      <c r="N199" s="48"/>
      <c r="O199" s="48"/>
    </row>
    <row r="200" spans="2:15" x14ac:dyDescent="0.2">
      <c r="B200" s="47"/>
      <c r="C200" s="47"/>
      <c r="D200" s="78"/>
      <c r="E200" s="47"/>
      <c r="F200" s="47"/>
      <c r="G200" s="47"/>
      <c r="H200" s="47"/>
      <c r="I200" s="48"/>
      <c r="J200" s="47"/>
      <c r="K200" s="47"/>
      <c r="L200" s="47"/>
      <c r="M200" s="47"/>
      <c r="N200" s="48"/>
      <c r="O200" s="48"/>
    </row>
    <row r="201" spans="2:15" x14ac:dyDescent="0.2">
      <c r="B201" s="47"/>
      <c r="C201" s="47"/>
      <c r="D201" s="78"/>
      <c r="E201" s="47"/>
      <c r="F201" s="47"/>
      <c r="G201" s="47"/>
      <c r="H201" s="47"/>
      <c r="I201" s="48"/>
      <c r="J201" s="47"/>
      <c r="K201" s="47"/>
      <c r="L201" s="47"/>
      <c r="M201" s="47"/>
      <c r="N201" s="48"/>
      <c r="O201" s="48"/>
    </row>
    <row r="202" spans="2:15" x14ac:dyDescent="0.2">
      <c r="B202" s="47"/>
      <c r="C202" s="47"/>
      <c r="D202" s="78"/>
      <c r="E202" s="47"/>
      <c r="F202" s="47"/>
      <c r="G202" s="47"/>
      <c r="H202" s="47"/>
      <c r="I202" s="48"/>
      <c r="J202" s="47"/>
      <c r="K202" s="47"/>
      <c r="L202" s="47"/>
      <c r="M202" s="47"/>
      <c r="N202" s="48"/>
      <c r="O202" s="48"/>
    </row>
    <row r="203" spans="2:15" x14ac:dyDescent="0.2">
      <c r="B203" s="47"/>
      <c r="C203" s="47"/>
      <c r="D203" s="78"/>
      <c r="E203" s="47"/>
      <c r="F203" s="47"/>
      <c r="G203" s="47"/>
      <c r="H203" s="47"/>
      <c r="I203" s="48"/>
      <c r="J203" s="47"/>
      <c r="K203" s="47"/>
      <c r="L203" s="47"/>
      <c r="M203" s="47"/>
      <c r="N203" s="48"/>
      <c r="O203" s="48"/>
    </row>
    <row r="204" spans="2:15" x14ac:dyDescent="0.2">
      <c r="B204" s="47"/>
      <c r="C204" s="47"/>
      <c r="D204" s="78"/>
      <c r="E204" s="47"/>
      <c r="F204" s="47"/>
      <c r="G204" s="47"/>
      <c r="H204" s="47"/>
      <c r="I204" s="48"/>
      <c r="J204" s="47"/>
      <c r="K204" s="47"/>
      <c r="L204" s="47"/>
      <c r="M204" s="47"/>
      <c r="N204" s="48"/>
      <c r="O204" s="48"/>
    </row>
    <row r="205" spans="2:15" x14ac:dyDescent="0.2">
      <c r="B205" s="47"/>
      <c r="C205" s="47"/>
      <c r="D205" s="78"/>
      <c r="E205" s="47"/>
      <c r="F205" s="47"/>
      <c r="G205" s="47"/>
      <c r="H205" s="47"/>
      <c r="I205" s="48"/>
      <c r="J205" s="47"/>
      <c r="K205" s="47"/>
      <c r="L205" s="47"/>
      <c r="M205" s="47"/>
      <c r="N205" s="48"/>
      <c r="O205" s="48"/>
    </row>
    <row r="206" spans="2:15" x14ac:dyDescent="0.2">
      <c r="B206" s="47"/>
      <c r="C206" s="47"/>
      <c r="D206" s="78"/>
      <c r="E206" s="47"/>
      <c r="F206" s="47"/>
      <c r="G206" s="47"/>
      <c r="H206" s="47"/>
      <c r="I206" s="48"/>
      <c r="J206" s="47"/>
      <c r="K206" s="47"/>
      <c r="L206" s="47"/>
      <c r="M206" s="47"/>
      <c r="N206" s="48"/>
      <c r="O206" s="48"/>
    </row>
    <row r="207" spans="2:15" x14ac:dyDescent="0.2">
      <c r="B207" s="47"/>
      <c r="C207" s="47"/>
      <c r="D207" s="78"/>
      <c r="E207" s="47"/>
      <c r="F207" s="47"/>
      <c r="G207" s="47"/>
      <c r="H207" s="47"/>
      <c r="I207" s="48"/>
      <c r="J207" s="47"/>
      <c r="K207" s="47"/>
      <c r="L207" s="47"/>
      <c r="M207" s="47"/>
      <c r="N207" s="48"/>
      <c r="O207" s="48"/>
    </row>
    <row r="208" spans="2:15" x14ac:dyDescent="0.2">
      <c r="B208" s="47"/>
      <c r="C208" s="47"/>
      <c r="D208" s="78"/>
      <c r="E208" s="47"/>
      <c r="F208" s="47"/>
      <c r="G208" s="47"/>
      <c r="H208" s="47"/>
      <c r="I208" s="48"/>
      <c r="J208" s="47"/>
      <c r="K208" s="47"/>
      <c r="L208" s="47"/>
      <c r="M208" s="47"/>
      <c r="N208" s="48"/>
      <c r="O208" s="48"/>
    </row>
    <row r="209" spans="2:15" x14ac:dyDescent="0.2">
      <c r="B209" s="47"/>
      <c r="C209" s="47"/>
      <c r="D209" s="78"/>
      <c r="E209" s="47"/>
      <c r="F209" s="47"/>
      <c r="G209" s="47"/>
      <c r="H209" s="47"/>
      <c r="I209" s="48"/>
      <c r="J209" s="47"/>
      <c r="K209" s="47"/>
      <c r="L209" s="47"/>
      <c r="M209" s="47"/>
      <c r="N209" s="48"/>
      <c r="O209" s="48"/>
    </row>
    <row r="210" spans="2:15" x14ac:dyDescent="0.2">
      <c r="B210" s="47"/>
      <c r="C210" s="47"/>
      <c r="D210" s="78"/>
      <c r="E210" s="47"/>
      <c r="F210" s="47"/>
      <c r="G210" s="47"/>
      <c r="H210" s="47"/>
      <c r="I210" s="48"/>
      <c r="J210" s="47"/>
      <c r="K210" s="47"/>
      <c r="L210" s="47"/>
      <c r="M210" s="47"/>
      <c r="N210" s="48"/>
      <c r="O210" s="48"/>
    </row>
    <row r="211" spans="2:15" x14ac:dyDescent="0.2">
      <c r="B211" s="47"/>
      <c r="C211" s="47"/>
      <c r="D211" s="78"/>
      <c r="E211" s="47"/>
      <c r="F211" s="47"/>
      <c r="G211" s="47"/>
      <c r="H211" s="47"/>
      <c r="I211" s="48"/>
      <c r="J211" s="47"/>
      <c r="K211" s="47"/>
      <c r="L211" s="47"/>
      <c r="M211" s="47"/>
      <c r="N211" s="48"/>
      <c r="O211" s="48"/>
    </row>
    <row r="212" spans="2:15" x14ac:dyDescent="0.2">
      <c r="B212" s="47"/>
      <c r="C212" s="47"/>
      <c r="D212" s="78"/>
      <c r="E212" s="47"/>
      <c r="F212" s="47"/>
      <c r="G212" s="47"/>
      <c r="H212" s="47"/>
      <c r="I212" s="48"/>
      <c r="J212" s="47"/>
      <c r="K212" s="47"/>
      <c r="L212" s="47"/>
      <c r="M212" s="47"/>
      <c r="N212" s="48"/>
      <c r="O212" s="48"/>
    </row>
    <row r="213" spans="2:15" x14ac:dyDescent="0.2">
      <c r="B213" s="47"/>
      <c r="C213" s="47"/>
      <c r="D213" s="78"/>
      <c r="E213" s="47"/>
      <c r="F213" s="47"/>
      <c r="G213" s="47"/>
      <c r="H213" s="47"/>
      <c r="I213" s="48"/>
      <c r="J213" s="47"/>
      <c r="K213" s="47"/>
      <c r="L213" s="47"/>
      <c r="M213" s="47"/>
      <c r="N213" s="48"/>
      <c r="O213" s="48"/>
    </row>
    <row r="214" spans="2:15" x14ac:dyDescent="0.2">
      <c r="B214" s="47"/>
      <c r="C214" s="47"/>
      <c r="D214" s="78"/>
      <c r="E214" s="47"/>
      <c r="F214" s="47"/>
      <c r="G214" s="47"/>
      <c r="H214" s="47"/>
      <c r="I214" s="48"/>
      <c r="J214" s="47"/>
      <c r="K214" s="47"/>
      <c r="L214" s="47"/>
      <c r="M214" s="47"/>
      <c r="N214" s="48"/>
      <c r="O214" s="48"/>
    </row>
    <row r="215" spans="2:15" x14ac:dyDescent="0.2">
      <c r="B215" s="47"/>
      <c r="C215" s="47"/>
      <c r="D215" s="78"/>
      <c r="E215" s="47"/>
      <c r="F215" s="47"/>
      <c r="G215" s="47"/>
      <c r="H215" s="47"/>
      <c r="I215" s="48"/>
      <c r="J215" s="47"/>
      <c r="K215" s="47"/>
      <c r="L215" s="47"/>
      <c r="M215" s="47"/>
      <c r="N215" s="48"/>
      <c r="O215" s="48"/>
    </row>
    <row r="216" spans="2:15" x14ac:dyDescent="0.2">
      <c r="B216" s="47"/>
      <c r="C216" s="47"/>
      <c r="D216" s="78"/>
      <c r="E216" s="47"/>
      <c r="F216" s="47"/>
      <c r="G216" s="47"/>
      <c r="H216" s="47"/>
      <c r="I216" s="48"/>
      <c r="J216" s="47"/>
      <c r="K216" s="47"/>
      <c r="L216" s="47"/>
      <c r="M216" s="47"/>
      <c r="N216" s="48"/>
      <c r="O216" s="48"/>
    </row>
    <row r="217" spans="2:15" x14ac:dyDescent="0.2">
      <c r="B217" s="47"/>
      <c r="C217" s="47"/>
      <c r="D217" s="78"/>
      <c r="E217" s="47"/>
      <c r="F217" s="47"/>
      <c r="G217" s="47"/>
      <c r="H217" s="47"/>
      <c r="I217" s="48"/>
      <c r="J217" s="47"/>
      <c r="K217" s="47"/>
      <c r="L217" s="47"/>
      <c r="M217" s="47"/>
      <c r="N217" s="48"/>
      <c r="O217" s="48"/>
    </row>
    <row r="218" spans="2:15" x14ac:dyDescent="0.2">
      <c r="B218" s="47"/>
      <c r="C218" s="47"/>
      <c r="D218" s="78"/>
      <c r="E218" s="47"/>
      <c r="F218" s="47"/>
      <c r="G218" s="47"/>
      <c r="H218" s="47"/>
      <c r="I218" s="48"/>
      <c r="J218" s="47"/>
      <c r="K218" s="47"/>
      <c r="L218" s="47"/>
      <c r="M218" s="47"/>
      <c r="N218" s="48"/>
      <c r="O218" s="48"/>
    </row>
    <row r="219" spans="2:15" x14ac:dyDescent="0.2">
      <c r="B219" s="47"/>
      <c r="C219" s="47"/>
      <c r="D219" s="78"/>
      <c r="E219" s="47"/>
      <c r="F219" s="47"/>
      <c r="G219" s="47"/>
      <c r="H219" s="47"/>
      <c r="I219" s="48"/>
      <c r="J219" s="47"/>
      <c r="K219" s="47"/>
      <c r="L219" s="47"/>
      <c r="M219" s="47"/>
      <c r="N219" s="48"/>
      <c r="O219" s="48"/>
    </row>
    <row r="220" spans="2:15" x14ac:dyDescent="0.2">
      <c r="B220" s="47"/>
      <c r="C220" s="47"/>
      <c r="D220" s="78"/>
      <c r="E220" s="47"/>
      <c r="F220" s="47"/>
      <c r="G220" s="47"/>
      <c r="H220" s="47"/>
      <c r="I220" s="48"/>
      <c r="J220" s="47"/>
      <c r="K220" s="47"/>
      <c r="L220" s="47"/>
      <c r="M220" s="47"/>
      <c r="N220" s="48"/>
      <c r="O220" s="48"/>
    </row>
    <row r="221" spans="2:15" x14ac:dyDescent="0.2">
      <c r="B221" s="47"/>
      <c r="C221" s="47"/>
      <c r="D221" s="78"/>
      <c r="E221" s="47"/>
      <c r="F221" s="47"/>
      <c r="G221" s="47"/>
      <c r="H221" s="47"/>
      <c r="I221" s="48"/>
      <c r="J221" s="47"/>
      <c r="K221" s="47"/>
      <c r="L221" s="47"/>
      <c r="M221" s="47"/>
      <c r="N221" s="48"/>
      <c r="O221" s="48"/>
    </row>
    <row r="222" spans="2:15" x14ac:dyDescent="0.2">
      <c r="B222" s="47"/>
      <c r="C222" s="47"/>
      <c r="D222" s="78"/>
      <c r="E222" s="47"/>
      <c r="F222" s="47"/>
      <c r="G222" s="47"/>
      <c r="H222" s="47"/>
      <c r="I222" s="48"/>
      <c r="J222" s="47"/>
      <c r="K222" s="47"/>
      <c r="L222" s="47"/>
      <c r="M222" s="47"/>
      <c r="N222" s="48"/>
      <c r="O222" s="48"/>
    </row>
    <row r="223" spans="2:15" x14ac:dyDescent="0.2">
      <c r="B223" s="47"/>
      <c r="C223" s="47"/>
      <c r="D223" s="78"/>
      <c r="E223" s="47"/>
      <c r="F223" s="47"/>
      <c r="G223" s="47"/>
      <c r="H223" s="47"/>
      <c r="I223" s="48"/>
      <c r="J223" s="47"/>
      <c r="K223" s="47"/>
      <c r="L223" s="47"/>
      <c r="M223" s="47"/>
      <c r="N223" s="48"/>
      <c r="O223" s="48"/>
    </row>
    <row r="224" spans="2:15" x14ac:dyDescent="0.2">
      <c r="B224" s="47"/>
      <c r="C224" s="47"/>
      <c r="D224" s="78"/>
      <c r="E224" s="47"/>
      <c r="F224" s="47"/>
      <c r="G224" s="47"/>
      <c r="H224" s="47"/>
      <c r="I224" s="48"/>
      <c r="J224" s="47"/>
      <c r="K224" s="47"/>
      <c r="L224" s="47"/>
      <c r="M224" s="47"/>
      <c r="N224" s="48"/>
      <c r="O224" s="48"/>
    </row>
    <row r="225" spans="2:15" x14ac:dyDescent="0.2">
      <c r="B225" s="47"/>
      <c r="C225" s="47"/>
      <c r="D225" s="78"/>
      <c r="E225" s="47"/>
      <c r="F225" s="47"/>
      <c r="G225" s="47"/>
      <c r="H225" s="47"/>
      <c r="I225" s="48"/>
      <c r="J225" s="47"/>
      <c r="K225" s="47"/>
      <c r="L225" s="47"/>
      <c r="M225" s="47"/>
      <c r="N225" s="48"/>
      <c r="O225" s="48"/>
    </row>
    <row r="226" spans="2:15" x14ac:dyDescent="0.2">
      <c r="B226" s="47"/>
      <c r="C226" s="47"/>
      <c r="D226" s="78"/>
      <c r="E226" s="47"/>
      <c r="F226" s="47"/>
      <c r="G226" s="47"/>
      <c r="H226" s="47"/>
      <c r="I226" s="48"/>
      <c r="J226" s="47"/>
      <c r="K226" s="47"/>
      <c r="L226" s="47"/>
      <c r="M226" s="47"/>
      <c r="N226" s="48"/>
      <c r="O226" s="48"/>
    </row>
    <row r="227" spans="2:15" x14ac:dyDescent="0.2">
      <c r="B227" s="47"/>
      <c r="C227" s="47"/>
      <c r="D227" s="78"/>
      <c r="E227" s="47"/>
      <c r="F227" s="47"/>
      <c r="G227" s="47"/>
      <c r="H227" s="47"/>
      <c r="I227" s="48"/>
      <c r="J227" s="47"/>
      <c r="K227" s="47"/>
      <c r="L227" s="47"/>
      <c r="M227" s="47"/>
      <c r="N227" s="48"/>
      <c r="O227" s="48"/>
    </row>
    <row r="228" spans="2:15" x14ac:dyDescent="0.2">
      <c r="B228" s="47"/>
      <c r="C228" s="47"/>
      <c r="D228" s="78"/>
      <c r="E228" s="47"/>
      <c r="F228" s="47"/>
      <c r="G228" s="47"/>
      <c r="H228" s="47"/>
      <c r="I228" s="48"/>
      <c r="J228" s="47"/>
      <c r="K228" s="47"/>
      <c r="L228" s="47"/>
      <c r="M228" s="47"/>
      <c r="N228" s="48"/>
      <c r="O228" s="48"/>
    </row>
    <row r="229" spans="2:15" x14ac:dyDescent="0.2">
      <c r="B229" s="47"/>
      <c r="C229" s="47"/>
      <c r="D229" s="78"/>
      <c r="E229" s="47"/>
      <c r="F229" s="47"/>
      <c r="G229" s="47"/>
      <c r="H229" s="47"/>
      <c r="I229" s="48"/>
      <c r="J229" s="47"/>
      <c r="K229" s="47"/>
      <c r="L229" s="47"/>
      <c r="M229" s="47"/>
      <c r="N229" s="48"/>
      <c r="O229" s="48"/>
    </row>
    <row r="230" spans="2:15" x14ac:dyDescent="0.2">
      <c r="B230" s="47"/>
      <c r="C230" s="47"/>
      <c r="D230" s="78"/>
      <c r="E230" s="47"/>
      <c r="F230" s="47"/>
      <c r="G230" s="47"/>
      <c r="H230" s="47"/>
      <c r="I230" s="48"/>
      <c r="J230" s="47"/>
      <c r="K230" s="47"/>
      <c r="L230" s="47"/>
      <c r="M230" s="47"/>
      <c r="N230" s="48"/>
      <c r="O230" s="48"/>
    </row>
    <row r="231" spans="2:15" x14ac:dyDescent="0.2">
      <c r="B231" s="47"/>
      <c r="C231" s="47"/>
      <c r="D231" s="78"/>
      <c r="E231" s="47"/>
      <c r="F231" s="47"/>
      <c r="G231" s="47"/>
      <c r="H231" s="47"/>
      <c r="I231" s="48"/>
      <c r="J231" s="47"/>
      <c r="K231" s="47"/>
      <c r="L231" s="47"/>
      <c r="M231" s="47"/>
      <c r="N231" s="48"/>
      <c r="O231" s="48"/>
    </row>
    <row r="232" spans="2:15" x14ac:dyDescent="0.2">
      <c r="B232" s="47"/>
      <c r="C232" s="47"/>
      <c r="D232" s="78"/>
      <c r="E232" s="47"/>
      <c r="F232" s="47"/>
      <c r="G232" s="47"/>
      <c r="H232" s="47"/>
      <c r="I232" s="48"/>
      <c r="J232" s="47"/>
      <c r="K232" s="47"/>
      <c r="L232" s="47"/>
      <c r="M232" s="47"/>
      <c r="N232" s="48"/>
      <c r="O232" s="48"/>
    </row>
    <row r="233" spans="2:15" x14ac:dyDescent="0.2">
      <c r="B233" s="47"/>
      <c r="C233" s="47"/>
      <c r="D233" s="78"/>
      <c r="E233" s="47"/>
      <c r="F233" s="47"/>
      <c r="G233" s="47"/>
      <c r="H233" s="47"/>
      <c r="I233" s="48"/>
      <c r="J233" s="47"/>
      <c r="K233" s="47"/>
      <c r="L233" s="47"/>
      <c r="M233" s="47"/>
      <c r="N233" s="48"/>
      <c r="O233" s="48"/>
    </row>
    <row r="234" spans="2:15" x14ac:dyDescent="0.2">
      <c r="B234" s="47"/>
      <c r="C234" s="47"/>
      <c r="D234" s="78"/>
      <c r="E234" s="47"/>
      <c r="F234" s="47"/>
      <c r="G234" s="47"/>
      <c r="H234" s="47"/>
      <c r="I234" s="48"/>
      <c r="J234" s="47"/>
      <c r="K234" s="47"/>
      <c r="L234" s="47"/>
      <c r="M234" s="47"/>
      <c r="N234" s="48"/>
      <c r="O234" s="48"/>
    </row>
    <row r="235" spans="2:15" x14ac:dyDescent="0.2">
      <c r="B235" s="47"/>
      <c r="C235" s="47"/>
      <c r="D235" s="78"/>
      <c r="E235" s="47"/>
      <c r="F235" s="47"/>
      <c r="G235" s="47"/>
      <c r="H235" s="47"/>
      <c r="I235" s="48"/>
      <c r="J235" s="47"/>
      <c r="K235" s="47"/>
      <c r="L235" s="47"/>
      <c r="M235" s="47"/>
      <c r="N235" s="48"/>
      <c r="O235" s="48"/>
    </row>
    <row r="236" spans="2:15" x14ac:dyDescent="0.2">
      <c r="B236" s="47"/>
      <c r="C236" s="47"/>
      <c r="D236" s="78"/>
      <c r="E236" s="47"/>
      <c r="F236" s="47"/>
      <c r="G236" s="47"/>
      <c r="H236" s="47"/>
      <c r="I236" s="48"/>
      <c r="J236" s="47"/>
      <c r="K236" s="47"/>
      <c r="L236" s="47"/>
      <c r="M236" s="47"/>
      <c r="N236" s="48"/>
      <c r="O236" s="48"/>
    </row>
    <row r="237" spans="2:15" x14ac:dyDescent="0.2">
      <c r="B237" s="47"/>
      <c r="C237" s="47"/>
      <c r="D237" s="78"/>
      <c r="E237" s="47"/>
      <c r="F237" s="47"/>
      <c r="G237" s="47"/>
      <c r="H237" s="47"/>
      <c r="I237" s="48"/>
      <c r="J237" s="47"/>
      <c r="K237" s="47"/>
      <c r="L237" s="47"/>
      <c r="M237" s="47"/>
      <c r="N237" s="48"/>
      <c r="O237" s="48"/>
    </row>
    <row r="238" spans="2:15" x14ac:dyDescent="0.2">
      <c r="B238" s="47"/>
      <c r="C238" s="47"/>
      <c r="D238" s="78"/>
      <c r="E238" s="47"/>
      <c r="F238" s="47"/>
      <c r="G238" s="47"/>
      <c r="H238" s="47"/>
      <c r="I238" s="48"/>
      <c r="J238" s="47"/>
      <c r="K238" s="47"/>
      <c r="L238" s="47"/>
      <c r="M238" s="47"/>
      <c r="N238" s="48"/>
      <c r="O238" s="48"/>
    </row>
    <row r="239" spans="2:15" x14ac:dyDescent="0.2">
      <c r="B239" s="47"/>
      <c r="C239" s="47"/>
      <c r="D239" s="78"/>
      <c r="E239" s="47"/>
      <c r="F239" s="47"/>
      <c r="G239" s="47"/>
      <c r="H239" s="47"/>
      <c r="I239" s="48"/>
      <c r="J239" s="47"/>
      <c r="K239" s="47"/>
      <c r="L239" s="47"/>
      <c r="M239" s="47"/>
      <c r="N239" s="48"/>
      <c r="O239" s="48"/>
    </row>
    <row r="240" spans="2:15" x14ac:dyDescent="0.2">
      <c r="B240" s="47"/>
      <c r="C240" s="47"/>
      <c r="D240" s="78"/>
      <c r="E240" s="47"/>
      <c r="F240" s="47"/>
      <c r="G240" s="47"/>
      <c r="H240" s="47"/>
      <c r="I240" s="48"/>
      <c r="J240" s="47"/>
      <c r="K240" s="47"/>
      <c r="L240" s="47"/>
      <c r="M240" s="47"/>
      <c r="N240" s="48"/>
      <c r="O240" s="48"/>
    </row>
    <row r="241" spans="2:15" x14ac:dyDescent="0.2">
      <c r="B241" s="47"/>
      <c r="C241" s="47"/>
      <c r="D241" s="78"/>
      <c r="E241" s="47"/>
      <c r="F241" s="47"/>
      <c r="G241" s="47"/>
      <c r="H241" s="47"/>
      <c r="I241" s="48"/>
      <c r="J241" s="47"/>
      <c r="K241" s="47"/>
      <c r="L241" s="47"/>
      <c r="M241" s="47"/>
      <c r="N241" s="48"/>
      <c r="O241" s="48"/>
    </row>
    <row r="242" spans="2:15" x14ac:dyDescent="0.2">
      <c r="B242" s="47"/>
      <c r="C242" s="47"/>
      <c r="D242" s="78"/>
      <c r="E242" s="47"/>
      <c r="F242" s="47"/>
      <c r="G242" s="47"/>
      <c r="H242" s="47"/>
      <c r="I242" s="48"/>
      <c r="J242" s="47"/>
      <c r="K242" s="47"/>
      <c r="L242" s="47"/>
      <c r="M242" s="47"/>
      <c r="N242" s="48"/>
      <c r="O242" s="48"/>
    </row>
    <row r="243" spans="2:15" x14ac:dyDescent="0.2">
      <c r="B243" s="47"/>
      <c r="C243" s="47"/>
      <c r="D243" s="78"/>
      <c r="E243" s="47"/>
      <c r="F243" s="47"/>
      <c r="G243" s="47"/>
      <c r="H243" s="47"/>
      <c r="I243" s="48"/>
      <c r="J243" s="47"/>
      <c r="K243" s="47"/>
      <c r="L243" s="47"/>
      <c r="M243" s="47"/>
      <c r="N243" s="48"/>
      <c r="O243" s="48"/>
    </row>
    <row r="244" spans="2:15" x14ac:dyDescent="0.2">
      <c r="B244" s="47"/>
      <c r="C244" s="47"/>
      <c r="D244" s="78"/>
      <c r="E244" s="47"/>
      <c r="F244" s="47"/>
      <c r="G244" s="47"/>
      <c r="H244" s="47"/>
      <c r="I244" s="48"/>
      <c r="J244" s="47"/>
      <c r="K244" s="47"/>
      <c r="L244" s="47"/>
      <c r="M244" s="47"/>
      <c r="N244" s="48"/>
      <c r="O244" s="48"/>
    </row>
    <row r="245" spans="2:15" x14ac:dyDescent="0.2">
      <c r="B245" s="47"/>
      <c r="C245" s="47"/>
      <c r="D245" s="78"/>
      <c r="E245" s="47"/>
      <c r="F245" s="47"/>
      <c r="G245" s="47"/>
      <c r="H245" s="47"/>
      <c r="I245" s="48"/>
      <c r="J245" s="47"/>
      <c r="K245" s="47"/>
      <c r="L245" s="47"/>
      <c r="M245" s="47"/>
      <c r="N245" s="48"/>
      <c r="O245" s="48"/>
    </row>
    <row r="246" spans="2:15" x14ac:dyDescent="0.2">
      <c r="B246" s="47"/>
      <c r="C246" s="47"/>
      <c r="D246" s="78"/>
      <c r="E246" s="47"/>
      <c r="F246" s="47"/>
      <c r="G246" s="47"/>
      <c r="H246" s="47"/>
      <c r="I246" s="48"/>
      <c r="J246" s="47"/>
      <c r="K246" s="47"/>
      <c r="L246" s="47"/>
      <c r="M246" s="47"/>
      <c r="N246" s="48"/>
      <c r="O246" s="48"/>
    </row>
    <row r="247" spans="2:15" x14ac:dyDescent="0.2">
      <c r="B247" s="47"/>
      <c r="C247" s="47"/>
      <c r="D247" s="78"/>
      <c r="E247" s="47"/>
      <c r="F247" s="47"/>
      <c r="G247" s="47"/>
      <c r="H247" s="47"/>
      <c r="I247" s="48"/>
      <c r="J247" s="47"/>
      <c r="K247" s="47"/>
      <c r="L247" s="47"/>
      <c r="M247" s="47"/>
      <c r="N247" s="48"/>
      <c r="O247" s="48"/>
    </row>
    <row r="248" spans="2:15" x14ac:dyDescent="0.2">
      <c r="B248" s="47"/>
      <c r="C248" s="47"/>
      <c r="D248" s="78"/>
      <c r="E248" s="47"/>
      <c r="F248" s="47"/>
      <c r="G248" s="47"/>
      <c r="H248" s="47"/>
      <c r="I248" s="48"/>
      <c r="J248" s="47"/>
      <c r="K248" s="47"/>
      <c r="L248" s="47"/>
      <c r="M248" s="47"/>
      <c r="N248" s="48"/>
      <c r="O248" s="48"/>
    </row>
    <row r="249" spans="2:15" x14ac:dyDescent="0.2">
      <c r="B249" s="47"/>
      <c r="C249" s="47"/>
      <c r="D249" s="78"/>
      <c r="E249" s="47"/>
      <c r="F249" s="47"/>
      <c r="G249" s="47"/>
      <c r="H249" s="47"/>
      <c r="I249" s="48"/>
      <c r="J249" s="47"/>
      <c r="K249" s="47"/>
      <c r="L249" s="47"/>
      <c r="M249" s="47"/>
      <c r="N249" s="48"/>
      <c r="O249" s="48"/>
    </row>
    <row r="250" spans="2:15" x14ac:dyDescent="0.2">
      <c r="B250" s="47"/>
      <c r="C250" s="47"/>
      <c r="D250" s="78"/>
      <c r="E250" s="47"/>
      <c r="F250" s="47"/>
      <c r="G250" s="47"/>
      <c r="H250" s="47"/>
      <c r="I250" s="48"/>
      <c r="J250" s="47"/>
      <c r="K250" s="47"/>
      <c r="L250" s="47"/>
      <c r="M250" s="47"/>
      <c r="N250" s="48"/>
      <c r="O250" s="48"/>
    </row>
    <row r="251" spans="2:15" x14ac:dyDescent="0.2">
      <c r="B251" s="47"/>
      <c r="C251" s="47"/>
      <c r="D251" s="78"/>
      <c r="E251" s="47"/>
      <c r="F251" s="47"/>
      <c r="G251" s="47"/>
      <c r="H251" s="47"/>
      <c r="I251" s="48"/>
      <c r="J251" s="47"/>
      <c r="K251" s="47"/>
      <c r="L251" s="47"/>
      <c r="M251" s="47"/>
      <c r="N251" s="48"/>
      <c r="O251" s="48"/>
    </row>
    <row r="252" spans="2:15" x14ac:dyDescent="0.2">
      <c r="B252" s="47"/>
      <c r="C252" s="47"/>
      <c r="D252" s="78"/>
      <c r="E252" s="47"/>
      <c r="F252" s="47"/>
      <c r="G252" s="47"/>
      <c r="H252" s="47"/>
      <c r="I252" s="48"/>
      <c r="J252" s="47"/>
      <c r="K252" s="47"/>
      <c r="L252" s="47"/>
      <c r="M252" s="47"/>
      <c r="N252" s="48"/>
      <c r="O252" s="48"/>
    </row>
    <row r="253" spans="2:15" x14ac:dyDescent="0.2">
      <c r="B253" s="47"/>
      <c r="C253" s="47"/>
      <c r="D253" s="78"/>
      <c r="E253" s="47"/>
      <c r="F253" s="47"/>
      <c r="G253" s="47"/>
      <c r="H253" s="47"/>
      <c r="I253" s="48"/>
      <c r="J253" s="47"/>
      <c r="K253" s="47"/>
      <c r="L253" s="47"/>
      <c r="M253" s="47"/>
      <c r="N253" s="48"/>
      <c r="O253" s="48"/>
    </row>
    <row r="254" spans="2:15" x14ac:dyDescent="0.2">
      <c r="B254" s="47"/>
      <c r="C254" s="47"/>
      <c r="D254" s="78"/>
      <c r="E254" s="47"/>
      <c r="F254" s="47"/>
      <c r="G254" s="47"/>
      <c r="H254" s="47"/>
      <c r="I254" s="48"/>
      <c r="J254" s="47"/>
      <c r="K254" s="47"/>
      <c r="L254" s="47"/>
      <c r="M254" s="47"/>
      <c r="N254" s="48"/>
      <c r="O254" s="48"/>
    </row>
    <row r="255" spans="2:15" x14ac:dyDescent="0.2">
      <c r="B255" s="47"/>
      <c r="C255" s="47"/>
      <c r="D255" s="78"/>
      <c r="E255" s="47"/>
      <c r="F255" s="47"/>
      <c r="G255" s="47"/>
      <c r="H255" s="47"/>
      <c r="I255" s="48"/>
      <c r="J255" s="47"/>
      <c r="K255" s="47"/>
      <c r="L255" s="47"/>
      <c r="M255" s="47"/>
      <c r="N255" s="48"/>
      <c r="O255" s="48"/>
    </row>
    <row r="256" spans="2:15" x14ac:dyDescent="0.2">
      <c r="B256" s="47"/>
      <c r="C256" s="47"/>
      <c r="D256" s="78"/>
      <c r="E256" s="47"/>
      <c r="F256" s="47"/>
      <c r="G256" s="47"/>
      <c r="H256" s="47"/>
      <c r="I256" s="48"/>
      <c r="J256" s="47"/>
      <c r="K256" s="47"/>
      <c r="L256" s="47"/>
      <c r="M256" s="47"/>
      <c r="N256" s="48"/>
      <c r="O256" s="48"/>
    </row>
    <row r="257" spans="2:15" x14ac:dyDescent="0.2">
      <c r="B257" s="47"/>
      <c r="C257" s="47"/>
      <c r="D257" s="78"/>
      <c r="E257" s="47"/>
      <c r="F257" s="47"/>
      <c r="G257" s="47"/>
      <c r="H257" s="47"/>
      <c r="I257" s="48"/>
      <c r="J257" s="47"/>
      <c r="K257" s="47"/>
      <c r="L257" s="47"/>
      <c r="M257" s="47"/>
      <c r="N257" s="48"/>
      <c r="O257" s="48"/>
    </row>
    <row r="258" spans="2:15" x14ac:dyDescent="0.2">
      <c r="B258" s="47"/>
      <c r="C258" s="47"/>
      <c r="D258" s="78"/>
      <c r="E258" s="47"/>
      <c r="F258" s="47"/>
      <c r="G258" s="47"/>
      <c r="H258" s="47"/>
      <c r="I258" s="48"/>
      <c r="J258" s="47"/>
      <c r="K258" s="47"/>
      <c r="L258" s="47"/>
      <c r="M258" s="47"/>
      <c r="N258" s="48"/>
      <c r="O258" s="48"/>
    </row>
    <row r="259" spans="2:15" x14ac:dyDescent="0.2">
      <c r="B259" s="47"/>
      <c r="C259" s="47"/>
      <c r="D259" s="78"/>
      <c r="E259" s="47"/>
      <c r="F259" s="47"/>
      <c r="G259" s="47"/>
      <c r="H259" s="47"/>
      <c r="I259" s="48"/>
      <c r="J259" s="47"/>
      <c r="K259" s="47"/>
      <c r="L259" s="47"/>
      <c r="M259" s="47"/>
      <c r="N259" s="48"/>
      <c r="O259" s="48"/>
    </row>
    <row r="260" spans="2:15" x14ac:dyDescent="0.2">
      <c r="B260" s="47"/>
      <c r="C260" s="47"/>
      <c r="D260" s="78"/>
      <c r="E260" s="47"/>
      <c r="F260" s="47"/>
      <c r="G260" s="47"/>
      <c r="H260" s="47"/>
      <c r="I260" s="48"/>
      <c r="J260" s="47"/>
      <c r="K260" s="47"/>
      <c r="L260" s="47"/>
      <c r="M260" s="47"/>
      <c r="N260" s="48"/>
      <c r="O260" s="48"/>
    </row>
    <row r="261" spans="2:15" x14ac:dyDescent="0.2">
      <c r="B261" s="47"/>
      <c r="C261" s="47"/>
      <c r="D261" s="78"/>
      <c r="E261" s="47"/>
      <c r="F261" s="47"/>
      <c r="G261" s="47"/>
      <c r="H261" s="47"/>
      <c r="I261" s="48"/>
      <c r="J261" s="47"/>
      <c r="K261" s="47"/>
      <c r="L261" s="47"/>
      <c r="M261" s="47"/>
      <c r="N261" s="48"/>
      <c r="O261" s="48"/>
    </row>
    <row r="262" spans="2:15" x14ac:dyDescent="0.2">
      <c r="B262" s="47"/>
      <c r="C262" s="47"/>
      <c r="D262" s="78"/>
      <c r="E262" s="47"/>
      <c r="F262" s="47"/>
      <c r="G262" s="47"/>
      <c r="H262" s="47"/>
      <c r="I262" s="48"/>
      <c r="J262" s="47"/>
      <c r="K262" s="47"/>
      <c r="L262" s="47"/>
      <c r="M262" s="47"/>
      <c r="N262" s="48"/>
      <c r="O262" s="48"/>
    </row>
    <row r="263" spans="2:15" x14ac:dyDescent="0.2">
      <c r="B263" s="47"/>
      <c r="C263" s="47"/>
      <c r="D263" s="78"/>
      <c r="E263" s="47"/>
      <c r="F263" s="47"/>
      <c r="G263" s="47"/>
      <c r="H263" s="47"/>
      <c r="I263" s="48"/>
      <c r="J263" s="47"/>
      <c r="K263" s="47"/>
      <c r="L263" s="47"/>
      <c r="M263" s="47"/>
      <c r="N263" s="48"/>
      <c r="O263" s="48"/>
    </row>
    <row r="264" spans="2:15" x14ac:dyDescent="0.2">
      <c r="B264" s="47"/>
      <c r="C264" s="47"/>
      <c r="D264" s="78"/>
      <c r="E264" s="47"/>
      <c r="F264" s="47"/>
      <c r="G264" s="47"/>
      <c r="H264" s="47"/>
      <c r="I264" s="48"/>
      <c r="J264" s="47"/>
      <c r="K264" s="47"/>
      <c r="L264" s="47"/>
      <c r="M264" s="47"/>
      <c r="N264" s="48"/>
      <c r="O264" s="48"/>
    </row>
    <row r="265" spans="2:15" x14ac:dyDescent="0.2">
      <c r="B265" s="47"/>
      <c r="C265" s="47"/>
      <c r="D265" s="78"/>
      <c r="E265" s="47"/>
      <c r="F265" s="47"/>
      <c r="G265" s="47"/>
      <c r="H265" s="47"/>
      <c r="I265" s="48"/>
      <c r="J265" s="47"/>
      <c r="K265" s="47"/>
      <c r="L265" s="47"/>
      <c r="M265" s="47"/>
      <c r="N265" s="48"/>
      <c r="O265" s="48"/>
    </row>
    <row r="266" spans="2:15" x14ac:dyDescent="0.2">
      <c r="B266" s="47"/>
      <c r="C266" s="47"/>
      <c r="D266" s="78"/>
      <c r="E266" s="47"/>
      <c r="F266" s="47"/>
      <c r="G266" s="47"/>
      <c r="H266" s="47"/>
      <c r="I266" s="48"/>
      <c r="J266" s="47"/>
      <c r="K266" s="47"/>
      <c r="L266" s="47"/>
      <c r="M266" s="47"/>
      <c r="N266" s="48"/>
      <c r="O266" s="48"/>
    </row>
    <row r="267" spans="2:15" x14ac:dyDescent="0.2">
      <c r="B267" s="47"/>
      <c r="C267" s="47"/>
      <c r="D267" s="78"/>
      <c r="E267" s="47"/>
      <c r="F267" s="47"/>
      <c r="G267" s="47"/>
      <c r="H267" s="47"/>
      <c r="I267" s="48"/>
      <c r="J267" s="47"/>
      <c r="K267" s="47"/>
      <c r="L267" s="47"/>
      <c r="M267" s="47"/>
      <c r="N267" s="48"/>
      <c r="O267" s="48"/>
    </row>
    <row r="268" spans="2:15" x14ac:dyDescent="0.2">
      <c r="B268" s="47"/>
      <c r="C268" s="47"/>
      <c r="D268" s="78"/>
      <c r="E268" s="47"/>
      <c r="F268" s="47"/>
      <c r="G268" s="47"/>
      <c r="H268" s="47"/>
      <c r="I268" s="48"/>
      <c r="J268" s="47"/>
      <c r="K268" s="47"/>
      <c r="L268" s="47"/>
      <c r="M268" s="47"/>
      <c r="N268" s="48"/>
      <c r="O268" s="48"/>
    </row>
    <row r="269" spans="2:15" x14ac:dyDescent="0.2">
      <c r="B269" s="47"/>
      <c r="C269" s="47"/>
      <c r="D269" s="78"/>
      <c r="E269" s="47"/>
      <c r="F269" s="47"/>
      <c r="G269" s="47"/>
      <c r="H269" s="47"/>
      <c r="I269" s="48"/>
      <c r="J269" s="47"/>
      <c r="K269" s="47"/>
      <c r="L269" s="47"/>
      <c r="M269" s="47"/>
      <c r="N269" s="48"/>
      <c r="O269" s="48"/>
    </row>
    <row r="270" spans="2:15" x14ac:dyDescent="0.2">
      <c r="B270" s="47"/>
      <c r="C270" s="47"/>
      <c r="D270" s="78"/>
      <c r="E270" s="47"/>
      <c r="F270" s="47"/>
      <c r="G270" s="47"/>
      <c r="H270" s="47"/>
      <c r="I270" s="48"/>
      <c r="J270" s="47"/>
      <c r="K270" s="47"/>
      <c r="L270" s="47"/>
      <c r="M270" s="47"/>
      <c r="N270" s="48"/>
      <c r="O270" s="48"/>
    </row>
    <row r="271" spans="2:15" x14ac:dyDescent="0.2">
      <c r="B271" s="47"/>
      <c r="C271" s="47"/>
      <c r="D271" s="78"/>
      <c r="E271" s="47"/>
      <c r="F271" s="47"/>
      <c r="G271" s="47"/>
      <c r="H271" s="47"/>
      <c r="I271" s="48"/>
      <c r="J271" s="47"/>
      <c r="K271" s="47"/>
      <c r="L271" s="47"/>
      <c r="M271" s="47"/>
      <c r="N271" s="48"/>
      <c r="O271" s="48"/>
    </row>
    <row r="272" spans="2:15" x14ac:dyDescent="0.2">
      <c r="B272" s="47"/>
      <c r="C272" s="47"/>
      <c r="D272" s="78"/>
      <c r="E272" s="47"/>
      <c r="F272" s="47"/>
      <c r="G272" s="47"/>
      <c r="H272" s="47"/>
      <c r="I272" s="48"/>
      <c r="J272" s="47"/>
      <c r="K272" s="47"/>
      <c r="L272" s="47"/>
      <c r="M272" s="47"/>
      <c r="N272" s="48"/>
      <c r="O272" s="48"/>
    </row>
    <row r="273" spans="2:15" x14ac:dyDescent="0.2">
      <c r="B273" s="47"/>
      <c r="C273" s="47"/>
      <c r="D273" s="78"/>
      <c r="E273" s="47"/>
      <c r="F273" s="47"/>
      <c r="G273" s="47"/>
      <c r="H273" s="47"/>
      <c r="I273" s="48"/>
      <c r="J273" s="47"/>
      <c r="K273" s="47"/>
      <c r="L273" s="47"/>
      <c r="M273" s="47"/>
      <c r="N273" s="48"/>
      <c r="O273" s="48"/>
    </row>
    <row r="274" spans="2:15" x14ac:dyDescent="0.2">
      <c r="B274" s="47"/>
      <c r="C274" s="47"/>
      <c r="D274" s="78"/>
      <c r="E274" s="47"/>
      <c r="F274" s="47"/>
      <c r="G274" s="47"/>
      <c r="H274" s="47"/>
      <c r="I274" s="48"/>
      <c r="J274" s="47"/>
      <c r="K274" s="47"/>
      <c r="L274" s="47"/>
      <c r="M274" s="47"/>
      <c r="N274" s="48"/>
      <c r="O274" s="48"/>
    </row>
    <row r="275" spans="2:15" x14ac:dyDescent="0.2">
      <c r="B275" s="47"/>
      <c r="C275" s="47"/>
      <c r="D275" s="78"/>
      <c r="E275" s="47"/>
      <c r="F275" s="47"/>
      <c r="G275" s="47"/>
      <c r="H275" s="47"/>
      <c r="I275" s="48"/>
      <c r="J275" s="47"/>
      <c r="K275" s="47"/>
      <c r="L275" s="47"/>
      <c r="M275" s="47"/>
      <c r="N275" s="48"/>
      <c r="O275" s="48"/>
    </row>
    <row r="276" spans="2:15" x14ac:dyDescent="0.2">
      <c r="B276" s="47"/>
      <c r="C276" s="47"/>
      <c r="D276" s="78"/>
      <c r="E276" s="47"/>
      <c r="F276" s="47"/>
      <c r="G276" s="47"/>
      <c r="H276" s="47"/>
      <c r="I276" s="48"/>
      <c r="J276" s="47"/>
      <c r="K276" s="47"/>
      <c r="L276" s="47"/>
      <c r="M276" s="47"/>
      <c r="N276" s="48"/>
      <c r="O276" s="48"/>
    </row>
    <row r="277" spans="2:15" x14ac:dyDescent="0.2">
      <c r="B277" s="47"/>
      <c r="C277" s="47"/>
      <c r="D277" s="78"/>
      <c r="E277" s="47"/>
      <c r="F277" s="47"/>
      <c r="G277" s="47"/>
      <c r="H277" s="47"/>
      <c r="I277" s="48"/>
      <c r="J277" s="47"/>
      <c r="K277" s="47"/>
      <c r="L277" s="47"/>
      <c r="M277" s="47"/>
      <c r="N277" s="48"/>
      <c r="O277" s="48"/>
    </row>
    <row r="278" spans="2:15" x14ac:dyDescent="0.2">
      <c r="B278" s="47"/>
      <c r="C278" s="47"/>
      <c r="D278" s="78"/>
      <c r="E278" s="47"/>
      <c r="F278" s="47"/>
      <c r="G278" s="47"/>
      <c r="H278" s="47"/>
      <c r="I278" s="48"/>
      <c r="J278" s="47"/>
      <c r="K278" s="47"/>
      <c r="L278" s="47"/>
      <c r="M278" s="47"/>
      <c r="N278" s="48"/>
      <c r="O278" s="48"/>
    </row>
    <row r="279" spans="2:15" x14ac:dyDescent="0.2">
      <c r="B279" s="47"/>
      <c r="C279" s="47"/>
      <c r="D279" s="78"/>
      <c r="E279" s="47"/>
      <c r="F279" s="47"/>
      <c r="G279" s="47"/>
      <c r="H279" s="47"/>
      <c r="I279" s="48"/>
      <c r="J279" s="47"/>
      <c r="K279" s="47"/>
      <c r="L279" s="47"/>
      <c r="M279" s="47"/>
      <c r="N279" s="48"/>
      <c r="O279" s="48"/>
    </row>
    <row r="280" spans="2:15" x14ac:dyDescent="0.2">
      <c r="B280" s="47"/>
      <c r="C280" s="47"/>
      <c r="D280" s="78"/>
      <c r="E280" s="47"/>
      <c r="F280" s="47"/>
      <c r="G280" s="47"/>
      <c r="H280" s="47"/>
      <c r="I280" s="48"/>
      <c r="J280" s="47"/>
      <c r="K280" s="47"/>
      <c r="L280" s="47"/>
      <c r="M280" s="47"/>
      <c r="N280" s="48"/>
      <c r="O280" s="48"/>
    </row>
    <row r="281" spans="2:15" x14ac:dyDescent="0.2">
      <c r="B281" s="47"/>
      <c r="C281" s="47"/>
      <c r="D281" s="78"/>
      <c r="E281" s="47"/>
      <c r="F281" s="47"/>
      <c r="G281" s="47"/>
      <c r="H281" s="47"/>
      <c r="I281" s="48"/>
      <c r="J281" s="47"/>
      <c r="K281" s="47"/>
      <c r="L281" s="47"/>
      <c r="M281" s="47"/>
      <c r="N281" s="48"/>
      <c r="O281" s="48"/>
    </row>
    <row r="282" spans="2:15" x14ac:dyDescent="0.2">
      <c r="B282" s="47"/>
      <c r="C282" s="47"/>
      <c r="D282" s="78"/>
      <c r="E282" s="47"/>
      <c r="F282" s="47"/>
      <c r="G282" s="47"/>
      <c r="H282" s="47"/>
      <c r="I282" s="48"/>
      <c r="J282" s="47"/>
      <c r="K282" s="47"/>
      <c r="L282" s="47"/>
      <c r="M282" s="47"/>
      <c r="N282" s="48"/>
      <c r="O282" s="48"/>
    </row>
    <row r="283" spans="2:15" x14ac:dyDescent="0.2">
      <c r="B283" s="47"/>
      <c r="C283" s="47"/>
      <c r="D283" s="78"/>
      <c r="E283" s="47"/>
      <c r="F283" s="47"/>
      <c r="G283" s="47"/>
      <c r="H283" s="47"/>
      <c r="I283" s="48"/>
      <c r="J283" s="47"/>
      <c r="K283" s="47"/>
      <c r="L283" s="47"/>
      <c r="M283" s="47"/>
      <c r="N283" s="48"/>
      <c r="O283" s="48"/>
    </row>
    <row r="284" spans="2:15" x14ac:dyDescent="0.2">
      <c r="B284" s="47"/>
      <c r="C284" s="47"/>
      <c r="D284" s="78"/>
      <c r="E284" s="47"/>
      <c r="F284" s="47"/>
      <c r="G284" s="47"/>
      <c r="H284" s="47"/>
      <c r="I284" s="48"/>
      <c r="J284" s="47"/>
      <c r="K284" s="47"/>
      <c r="L284" s="47"/>
      <c r="M284" s="47"/>
      <c r="N284" s="48"/>
      <c r="O284" s="48"/>
    </row>
    <row r="285" spans="2:15" x14ac:dyDescent="0.2">
      <c r="B285" s="47"/>
      <c r="C285" s="47"/>
      <c r="D285" s="78"/>
      <c r="E285" s="47"/>
      <c r="F285" s="47"/>
      <c r="G285" s="47"/>
      <c r="H285" s="47"/>
      <c r="I285" s="48"/>
      <c r="J285" s="47"/>
      <c r="K285" s="47"/>
      <c r="L285" s="47"/>
      <c r="M285" s="47"/>
      <c r="N285" s="48"/>
      <c r="O285" s="48"/>
    </row>
    <row r="286" spans="2:15" x14ac:dyDescent="0.2">
      <c r="B286" s="47"/>
      <c r="C286" s="47"/>
      <c r="D286" s="78"/>
      <c r="E286" s="47"/>
      <c r="F286" s="47"/>
      <c r="G286" s="47"/>
      <c r="H286" s="47"/>
      <c r="I286" s="48"/>
      <c r="J286" s="47"/>
      <c r="K286" s="47"/>
      <c r="L286" s="47"/>
      <c r="M286" s="47"/>
      <c r="N286" s="48"/>
      <c r="O286" s="48"/>
    </row>
    <row r="287" spans="2:15" x14ac:dyDescent="0.2">
      <c r="B287" s="47"/>
      <c r="C287" s="47"/>
      <c r="D287" s="78"/>
      <c r="E287" s="47"/>
      <c r="F287" s="47"/>
      <c r="G287" s="47"/>
      <c r="H287" s="47"/>
      <c r="I287" s="48"/>
      <c r="J287" s="47"/>
      <c r="K287" s="47"/>
      <c r="L287" s="47"/>
      <c r="M287" s="47"/>
      <c r="N287" s="48"/>
      <c r="O287" s="48"/>
    </row>
    <row r="288" spans="2:15" x14ac:dyDescent="0.2">
      <c r="B288" s="47"/>
      <c r="C288" s="47"/>
      <c r="D288" s="78"/>
      <c r="E288" s="47"/>
      <c r="F288" s="47"/>
      <c r="G288" s="47"/>
      <c r="H288" s="47"/>
      <c r="I288" s="48"/>
      <c r="J288" s="47"/>
      <c r="K288" s="47"/>
      <c r="L288" s="47"/>
      <c r="M288" s="47"/>
      <c r="N288" s="48"/>
      <c r="O288" s="48"/>
    </row>
    <row r="289" spans="2:15" x14ac:dyDescent="0.2">
      <c r="B289" s="47"/>
      <c r="C289" s="47"/>
      <c r="D289" s="78"/>
      <c r="E289" s="47"/>
      <c r="F289" s="47"/>
      <c r="G289" s="47"/>
      <c r="H289" s="47"/>
      <c r="I289" s="48"/>
      <c r="J289" s="47"/>
      <c r="K289" s="47"/>
      <c r="L289" s="47"/>
      <c r="M289" s="47"/>
      <c r="N289" s="48"/>
      <c r="O289" s="48"/>
    </row>
    <row r="290" spans="2:15" x14ac:dyDescent="0.2">
      <c r="B290" s="47"/>
      <c r="C290" s="47"/>
      <c r="D290" s="78"/>
      <c r="E290" s="47"/>
      <c r="F290" s="47"/>
      <c r="G290" s="47"/>
      <c r="H290" s="47"/>
      <c r="I290" s="48"/>
      <c r="J290" s="47"/>
      <c r="K290" s="47"/>
      <c r="L290" s="47"/>
      <c r="M290" s="47"/>
      <c r="N290" s="48"/>
      <c r="O290" s="48"/>
    </row>
    <row r="291" spans="2:15" x14ac:dyDescent="0.2">
      <c r="B291" s="47"/>
      <c r="C291" s="47"/>
      <c r="D291" s="78"/>
      <c r="E291" s="47"/>
      <c r="F291" s="47"/>
      <c r="G291" s="47"/>
      <c r="H291" s="47"/>
      <c r="I291" s="48"/>
      <c r="J291" s="47"/>
      <c r="K291" s="47"/>
      <c r="L291" s="47"/>
      <c r="M291" s="47"/>
      <c r="N291" s="48"/>
      <c r="O291" s="48"/>
    </row>
    <row r="292" spans="2:15" x14ac:dyDescent="0.2">
      <c r="B292" s="47"/>
      <c r="C292" s="47"/>
      <c r="D292" s="78"/>
      <c r="E292" s="47"/>
      <c r="F292" s="47"/>
      <c r="G292" s="47"/>
      <c r="H292" s="47"/>
      <c r="I292" s="48"/>
      <c r="J292" s="47"/>
      <c r="K292" s="47"/>
      <c r="L292" s="47"/>
      <c r="M292" s="47"/>
      <c r="N292" s="48"/>
      <c r="O292" s="48"/>
    </row>
    <row r="293" spans="2:15" x14ac:dyDescent="0.2">
      <c r="B293" s="47"/>
      <c r="C293" s="47"/>
      <c r="D293" s="78"/>
      <c r="E293" s="47"/>
      <c r="F293" s="47"/>
      <c r="G293" s="47"/>
      <c r="H293" s="47"/>
      <c r="I293" s="48"/>
      <c r="J293" s="47"/>
      <c r="K293" s="47"/>
      <c r="L293" s="47"/>
      <c r="M293" s="47"/>
      <c r="N293" s="48"/>
      <c r="O293" s="48"/>
    </row>
    <row r="294" spans="2:15" x14ac:dyDescent="0.2">
      <c r="B294" s="47"/>
      <c r="C294" s="47"/>
      <c r="D294" s="78"/>
      <c r="E294" s="47"/>
      <c r="F294" s="47"/>
      <c r="G294" s="47"/>
      <c r="H294" s="47"/>
      <c r="I294" s="48"/>
      <c r="J294" s="47"/>
      <c r="K294" s="47"/>
      <c r="L294" s="47"/>
      <c r="M294" s="47"/>
      <c r="N294" s="48"/>
      <c r="O294" s="48"/>
    </row>
    <row r="295" spans="2:15" x14ac:dyDescent="0.2">
      <c r="B295" s="47"/>
      <c r="C295" s="47"/>
      <c r="D295" s="78"/>
      <c r="E295" s="47"/>
      <c r="F295" s="47"/>
      <c r="G295" s="47"/>
      <c r="H295" s="47"/>
      <c r="I295" s="48"/>
      <c r="J295" s="47"/>
      <c r="K295" s="47"/>
      <c r="L295" s="47"/>
      <c r="M295" s="47"/>
      <c r="N295" s="48"/>
      <c r="O295" s="48"/>
    </row>
    <row r="296" spans="2:15" x14ac:dyDescent="0.2">
      <c r="B296" s="47"/>
      <c r="C296" s="47"/>
      <c r="D296" s="78"/>
      <c r="E296" s="47"/>
      <c r="F296" s="47"/>
      <c r="G296" s="47"/>
      <c r="H296" s="47"/>
      <c r="I296" s="48"/>
      <c r="J296" s="47"/>
      <c r="K296" s="47"/>
      <c r="L296" s="47"/>
      <c r="M296" s="47"/>
      <c r="N296" s="48"/>
      <c r="O296" s="48"/>
    </row>
    <row r="297" spans="2:15" x14ac:dyDescent="0.2">
      <c r="B297" s="47"/>
      <c r="C297" s="47"/>
      <c r="D297" s="78"/>
      <c r="E297" s="47"/>
      <c r="F297" s="47"/>
      <c r="G297" s="47"/>
      <c r="H297" s="47"/>
      <c r="I297" s="48"/>
      <c r="J297" s="47"/>
      <c r="K297" s="47"/>
      <c r="L297" s="47"/>
      <c r="M297" s="47"/>
      <c r="N297" s="48"/>
      <c r="O297" s="48"/>
    </row>
    <row r="298" spans="2:15" x14ac:dyDescent="0.2">
      <c r="B298" s="47"/>
      <c r="C298" s="47"/>
      <c r="D298" s="78"/>
      <c r="E298" s="47"/>
      <c r="F298" s="47"/>
      <c r="G298" s="47"/>
      <c r="H298" s="47"/>
      <c r="I298" s="48"/>
      <c r="J298" s="47"/>
      <c r="K298" s="47"/>
      <c r="L298" s="47"/>
      <c r="M298" s="47"/>
      <c r="N298" s="48"/>
      <c r="O298" s="48"/>
    </row>
    <row r="299" spans="2:15" x14ac:dyDescent="0.2">
      <c r="B299" s="47"/>
      <c r="C299" s="47"/>
      <c r="D299" s="78"/>
      <c r="E299" s="47"/>
      <c r="F299" s="47"/>
      <c r="G299" s="47"/>
      <c r="H299" s="47"/>
      <c r="I299" s="48"/>
      <c r="J299" s="47"/>
      <c r="K299" s="47"/>
      <c r="L299" s="47"/>
      <c r="M299" s="47"/>
      <c r="N299" s="48"/>
      <c r="O299" s="48"/>
    </row>
    <row r="300" spans="2:15" x14ac:dyDescent="0.2">
      <c r="B300" s="47"/>
      <c r="C300" s="47"/>
      <c r="D300" s="78"/>
      <c r="E300" s="47"/>
      <c r="F300" s="47"/>
      <c r="G300" s="47"/>
      <c r="H300" s="47"/>
      <c r="I300" s="48"/>
      <c r="J300" s="47"/>
      <c r="K300" s="47"/>
      <c r="L300" s="47"/>
      <c r="M300" s="47"/>
      <c r="N300" s="48"/>
      <c r="O300" s="48"/>
    </row>
    <row r="301" spans="2:15" x14ac:dyDescent="0.2">
      <c r="B301" s="47"/>
      <c r="C301" s="47"/>
      <c r="D301" s="78"/>
      <c r="E301" s="47"/>
      <c r="F301" s="47"/>
      <c r="G301" s="47"/>
      <c r="H301" s="47"/>
      <c r="I301" s="48"/>
      <c r="J301" s="47"/>
      <c r="K301" s="47"/>
      <c r="L301" s="47"/>
      <c r="M301" s="47"/>
      <c r="N301" s="48"/>
      <c r="O301" s="48"/>
    </row>
    <row r="302" spans="2:15" x14ac:dyDescent="0.2">
      <c r="B302" s="47"/>
      <c r="C302" s="47"/>
      <c r="D302" s="78"/>
      <c r="E302" s="47"/>
      <c r="F302" s="47"/>
      <c r="G302" s="47"/>
      <c r="H302" s="47"/>
      <c r="I302" s="48"/>
      <c r="J302" s="47"/>
      <c r="K302" s="47"/>
      <c r="L302" s="47"/>
      <c r="M302" s="47"/>
      <c r="N302" s="48"/>
      <c r="O302" s="48"/>
    </row>
    <row r="303" spans="2:15" x14ac:dyDescent="0.2">
      <c r="B303" s="47"/>
      <c r="C303" s="47"/>
      <c r="D303" s="78"/>
      <c r="E303" s="47"/>
      <c r="F303" s="47"/>
      <c r="G303" s="47"/>
      <c r="H303" s="47"/>
      <c r="I303" s="48"/>
      <c r="J303" s="47"/>
      <c r="K303" s="47"/>
      <c r="L303" s="47"/>
      <c r="M303" s="47"/>
      <c r="N303" s="48"/>
      <c r="O303" s="48"/>
    </row>
    <row r="304" spans="2:15" x14ac:dyDescent="0.2">
      <c r="B304" s="47"/>
      <c r="C304" s="47"/>
      <c r="D304" s="78"/>
      <c r="E304" s="47"/>
      <c r="F304" s="47"/>
      <c r="G304" s="47"/>
      <c r="H304" s="47"/>
      <c r="I304" s="48"/>
      <c r="J304" s="47"/>
      <c r="K304" s="47"/>
      <c r="L304" s="47"/>
      <c r="M304" s="47"/>
      <c r="N304" s="48"/>
      <c r="O304" s="48"/>
    </row>
    <row r="305" spans="2:15" x14ac:dyDescent="0.2">
      <c r="B305" s="47"/>
      <c r="C305" s="47"/>
      <c r="D305" s="78"/>
      <c r="E305" s="47"/>
      <c r="F305" s="47"/>
      <c r="G305" s="47"/>
      <c r="H305" s="47"/>
      <c r="I305" s="48"/>
      <c r="J305" s="47"/>
      <c r="K305" s="47"/>
      <c r="L305" s="47"/>
      <c r="M305" s="47"/>
      <c r="N305" s="48"/>
      <c r="O305" s="48"/>
    </row>
    <row r="306" spans="2:15" x14ac:dyDescent="0.2">
      <c r="B306" s="47"/>
      <c r="C306" s="47"/>
      <c r="D306" s="78"/>
      <c r="E306" s="47"/>
      <c r="F306" s="47"/>
      <c r="G306" s="47"/>
      <c r="H306" s="47"/>
      <c r="I306" s="48"/>
      <c r="J306" s="47"/>
      <c r="K306" s="47"/>
      <c r="L306" s="47"/>
      <c r="M306" s="47"/>
      <c r="N306" s="48"/>
      <c r="O306" s="48"/>
    </row>
    <row r="307" spans="2:15" x14ac:dyDescent="0.2">
      <c r="B307" s="47"/>
      <c r="C307" s="47"/>
      <c r="D307" s="78"/>
      <c r="E307" s="47"/>
      <c r="F307" s="47"/>
      <c r="G307" s="47"/>
      <c r="H307" s="47"/>
      <c r="I307" s="48"/>
      <c r="J307" s="47"/>
      <c r="K307" s="47"/>
      <c r="L307" s="47"/>
      <c r="M307" s="47"/>
      <c r="N307" s="48"/>
      <c r="O307" s="48"/>
    </row>
    <row r="308" spans="2:15" x14ac:dyDescent="0.2">
      <c r="B308" s="47"/>
      <c r="C308" s="47"/>
      <c r="D308" s="78"/>
      <c r="E308" s="47"/>
      <c r="F308" s="47"/>
      <c r="G308" s="47"/>
      <c r="H308" s="47"/>
      <c r="I308" s="48"/>
      <c r="J308" s="47"/>
      <c r="K308" s="47"/>
      <c r="L308" s="47"/>
      <c r="M308" s="47"/>
      <c r="N308" s="48"/>
      <c r="O308" s="48"/>
    </row>
    <row r="309" spans="2:15" x14ac:dyDescent="0.2">
      <c r="B309" s="47"/>
      <c r="C309" s="47"/>
      <c r="D309" s="78"/>
      <c r="E309" s="47"/>
      <c r="F309" s="47"/>
      <c r="G309" s="47"/>
      <c r="H309" s="47"/>
      <c r="I309" s="48"/>
      <c r="J309" s="47"/>
      <c r="K309" s="47"/>
      <c r="L309" s="47"/>
      <c r="M309" s="47"/>
      <c r="N309" s="48"/>
      <c r="O309" s="48"/>
    </row>
    <row r="310" spans="2:15" x14ac:dyDescent="0.2">
      <c r="B310" s="47"/>
      <c r="C310" s="47"/>
      <c r="D310" s="78"/>
      <c r="E310" s="47"/>
      <c r="F310" s="47"/>
      <c r="G310" s="47"/>
      <c r="H310" s="47"/>
      <c r="I310" s="48"/>
      <c r="J310" s="47"/>
      <c r="K310" s="47"/>
      <c r="L310" s="47"/>
      <c r="M310" s="47"/>
      <c r="N310" s="48"/>
      <c r="O310" s="48"/>
    </row>
    <row r="311" spans="2:15" x14ac:dyDescent="0.2">
      <c r="B311" s="47"/>
      <c r="C311" s="47"/>
      <c r="D311" s="78"/>
      <c r="E311" s="47"/>
      <c r="F311" s="47"/>
      <c r="G311" s="47"/>
      <c r="H311" s="47"/>
      <c r="I311" s="48"/>
      <c r="J311" s="47"/>
      <c r="K311" s="47"/>
      <c r="L311" s="47"/>
      <c r="M311" s="47"/>
      <c r="N311" s="48"/>
      <c r="O311" s="48"/>
    </row>
    <row r="312" spans="2:15" x14ac:dyDescent="0.2">
      <c r="B312" s="47"/>
      <c r="C312" s="47"/>
      <c r="D312" s="78"/>
      <c r="E312" s="47"/>
      <c r="F312" s="47"/>
      <c r="G312" s="47"/>
      <c r="H312" s="47"/>
      <c r="I312" s="48"/>
      <c r="J312" s="47"/>
      <c r="K312" s="47"/>
      <c r="L312" s="47"/>
      <c r="M312" s="47"/>
      <c r="N312" s="48"/>
      <c r="O312" s="48"/>
    </row>
    <row r="313" spans="2:15" x14ac:dyDescent="0.2">
      <c r="B313" s="47"/>
      <c r="C313" s="47"/>
      <c r="D313" s="78"/>
      <c r="E313" s="47"/>
      <c r="F313" s="47"/>
      <c r="G313" s="47"/>
      <c r="H313" s="47"/>
      <c r="I313" s="48"/>
      <c r="J313" s="47"/>
      <c r="K313" s="47"/>
      <c r="L313" s="47"/>
      <c r="M313" s="47"/>
      <c r="N313" s="48"/>
      <c r="O313" s="48"/>
    </row>
    <row r="314" spans="2:15" x14ac:dyDescent="0.2">
      <c r="B314" s="47"/>
      <c r="C314" s="47"/>
      <c r="D314" s="78"/>
      <c r="E314" s="47"/>
      <c r="F314" s="47"/>
      <c r="G314" s="47"/>
      <c r="H314" s="47"/>
      <c r="I314" s="48"/>
      <c r="J314" s="47"/>
      <c r="K314" s="47"/>
      <c r="L314" s="47"/>
      <c r="M314" s="47"/>
      <c r="N314" s="48"/>
      <c r="O314" s="48"/>
    </row>
    <row r="315" spans="2:15" x14ac:dyDescent="0.2">
      <c r="B315" s="47"/>
      <c r="C315" s="47"/>
      <c r="D315" s="78"/>
      <c r="E315" s="47"/>
      <c r="F315" s="47"/>
      <c r="G315" s="47"/>
      <c r="H315" s="47"/>
      <c r="I315" s="48"/>
      <c r="J315" s="47"/>
      <c r="K315" s="47"/>
      <c r="L315" s="47"/>
      <c r="M315" s="47"/>
      <c r="N315" s="48"/>
      <c r="O315" s="48"/>
    </row>
    <row r="316" spans="2:15" x14ac:dyDescent="0.2">
      <c r="B316" s="47"/>
      <c r="C316" s="47"/>
      <c r="D316" s="78"/>
      <c r="E316" s="47"/>
      <c r="F316" s="47"/>
      <c r="G316" s="47"/>
      <c r="H316" s="47"/>
      <c r="I316" s="48"/>
      <c r="J316" s="47"/>
      <c r="K316" s="47"/>
      <c r="L316" s="47"/>
      <c r="M316" s="47"/>
      <c r="N316" s="48"/>
      <c r="O316" s="48"/>
    </row>
    <row r="317" spans="2:15" x14ac:dyDescent="0.2">
      <c r="B317" s="47"/>
      <c r="C317" s="47"/>
      <c r="D317" s="78"/>
      <c r="E317" s="47"/>
      <c r="F317" s="47"/>
      <c r="G317" s="47"/>
      <c r="H317" s="47"/>
      <c r="I317" s="48"/>
      <c r="J317" s="47"/>
      <c r="K317" s="47"/>
      <c r="L317" s="47"/>
      <c r="M317" s="47"/>
      <c r="N317" s="48"/>
      <c r="O317" s="48"/>
    </row>
    <row r="318" spans="2:15" x14ac:dyDescent="0.2">
      <c r="B318" s="47"/>
      <c r="C318" s="47"/>
      <c r="D318" s="78"/>
      <c r="E318" s="47"/>
      <c r="F318" s="47"/>
      <c r="G318" s="47"/>
      <c r="H318" s="47"/>
      <c r="I318" s="48"/>
      <c r="J318" s="47"/>
      <c r="K318" s="47"/>
      <c r="L318" s="47"/>
      <c r="M318" s="47"/>
      <c r="N318" s="48"/>
      <c r="O318" s="48"/>
    </row>
    <row r="319" spans="2:15" x14ac:dyDescent="0.2">
      <c r="B319" s="47"/>
      <c r="C319" s="47"/>
      <c r="D319" s="78"/>
      <c r="E319" s="47"/>
      <c r="F319" s="47"/>
      <c r="G319" s="47"/>
      <c r="H319" s="47"/>
      <c r="I319" s="48"/>
      <c r="J319" s="47"/>
      <c r="K319" s="47"/>
      <c r="L319" s="47"/>
      <c r="M319" s="47"/>
      <c r="N319" s="48"/>
      <c r="O319" s="48"/>
    </row>
    <row r="320" spans="2:15" x14ac:dyDescent="0.2">
      <c r="B320" s="47"/>
      <c r="C320" s="47"/>
      <c r="D320" s="78"/>
      <c r="E320" s="47"/>
      <c r="F320" s="47"/>
      <c r="G320" s="47"/>
      <c r="H320" s="47"/>
      <c r="I320" s="48"/>
      <c r="J320" s="47"/>
      <c r="K320" s="47"/>
      <c r="L320" s="47"/>
      <c r="M320" s="47"/>
      <c r="N320" s="48"/>
      <c r="O320" s="48"/>
    </row>
    <row r="321" spans="2:15" x14ac:dyDescent="0.2">
      <c r="B321" s="47"/>
      <c r="C321" s="47"/>
      <c r="D321" s="78"/>
      <c r="E321" s="47"/>
      <c r="F321" s="47"/>
      <c r="G321" s="47"/>
      <c r="H321" s="47"/>
      <c r="I321" s="48"/>
      <c r="J321" s="47"/>
      <c r="K321" s="47"/>
      <c r="L321" s="47"/>
      <c r="M321" s="47"/>
      <c r="N321" s="48"/>
      <c r="O321" s="48"/>
    </row>
    <row r="322" spans="2:15" x14ac:dyDescent="0.2">
      <c r="B322" s="47"/>
      <c r="C322" s="47"/>
      <c r="D322" s="78"/>
      <c r="E322" s="47"/>
      <c r="F322" s="47"/>
      <c r="G322" s="47"/>
      <c r="H322" s="47"/>
      <c r="I322" s="48"/>
      <c r="J322" s="47"/>
      <c r="K322" s="47"/>
      <c r="L322" s="47"/>
      <c r="M322" s="47"/>
      <c r="N322" s="48"/>
      <c r="O322" s="48"/>
    </row>
    <row r="323" spans="2:15" x14ac:dyDescent="0.2">
      <c r="B323" s="47"/>
      <c r="C323" s="47"/>
      <c r="D323" s="78"/>
      <c r="E323" s="47"/>
      <c r="F323" s="47"/>
      <c r="G323" s="47"/>
      <c r="H323" s="47"/>
      <c r="I323" s="48"/>
      <c r="J323" s="47"/>
      <c r="K323" s="47"/>
      <c r="L323" s="47"/>
      <c r="M323" s="47"/>
      <c r="N323" s="48"/>
      <c r="O323" s="48"/>
    </row>
    <row r="324" spans="2:15" x14ac:dyDescent="0.2">
      <c r="B324" s="47"/>
      <c r="C324" s="47"/>
      <c r="D324" s="78"/>
      <c r="E324" s="47"/>
      <c r="F324" s="47"/>
      <c r="G324" s="47"/>
      <c r="H324" s="47"/>
      <c r="I324" s="48"/>
      <c r="J324" s="47"/>
      <c r="K324" s="47"/>
      <c r="L324" s="47"/>
      <c r="M324" s="47"/>
      <c r="N324" s="48"/>
      <c r="O324" s="48"/>
    </row>
    <row r="325" spans="2:15" x14ac:dyDescent="0.2">
      <c r="B325" s="47"/>
      <c r="C325" s="47"/>
      <c r="D325" s="78"/>
      <c r="E325" s="47"/>
      <c r="F325" s="47"/>
      <c r="G325" s="47"/>
      <c r="H325" s="47"/>
      <c r="I325" s="48"/>
      <c r="J325" s="47"/>
      <c r="K325" s="47"/>
      <c r="L325" s="47"/>
      <c r="M325" s="47"/>
      <c r="N325" s="48"/>
      <c r="O325" s="48"/>
    </row>
    <row r="326" spans="2:15" x14ac:dyDescent="0.2">
      <c r="B326" s="47"/>
      <c r="C326" s="47"/>
      <c r="D326" s="78"/>
      <c r="E326" s="47"/>
      <c r="F326" s="47"/>
      <c r="G326" s="47"/>
      <c r="H326" s="47"/>
      <c r="I326" s="48"/>
      <c r="J326" s="47"/>
      <c r="K326" s="47"/>
      <c r="L326" s="47"/>
      <c r="M326" s="47"/>
      <c r="N326" s="48"/>
      <c r="O326" s="48"/>
    </row>
    <row r="327" spans="2:15" x14ac:dyDescent="0.2">
      <c r="B327" s="47"/>
      <c r="C327" s="47"/>
      <c r="D327" s="78"/>
      <c r="E327" s="47"/>
      <c r="F327" s="47"/>
      <c r="G327" s="47"/>
      <c r="H327" s="47"/>
      <c r="I327" s="48"/>
      <c r="J327" s="47"/>
      <c r="K327" s="47"/>
      <c r="L327" s="47"/>
      <c r="M327" s="47"/>
      <c r="N327" s="48"/>
      <c r="O327" s="48"/>
    </row>
    <row r="328" spans="2:15" x14ac:dyDescent="0.2">
      <c r="B328" s="47"/>
      <c r="C328" s="47"/>
      <c r="D328" s="78"/>
      <c r="E328" s="47"/>
      <c r="F328" s="47"/>
      <c r="G328" s="47"/>
      <c r="H328" s="47"/>
      <c r="I328" s="48"/>
      <c r="J328" s="47"/>
      <c r="K328" s="47"/>
      <c r="L328" s="47"/>
      <c r="M328" s="47"/>
      <c r="N328" s="48"/>
      <c r="O328" s="48"/>
    </row>
    <row r="329" spans="2:15" x14ac:dyDescent="0.2">
      <c r="B329" s="47"/>
      <c r="C329" s="47"/>
      <c r="D329" s="78"/>
      <c r="E329" s="47"/>
      <c r="F329" s="47"/>
      <c r="G329" s="47"/>
      <c r="H329" s="47"/>
      <c r="I329" s="48"/>
      <c r="J329" s="47"/>
      <c r="K329" s="47"/>
      <c r="L329" s="47"/>
      <c r="M329" s="47"/>
      <c r="N329" s="48"/>
      <c r="O329" s="48"/>
    </row>
    <row r="330" spans="2:15" x14ac:dyDescent="0.2">
      <c r="B330" s="47"/>
      <c r="C330" s="47"/>
      <c r="D330" s="78"/>
      <c r="E330" s="47"/>
      <c r="F330" s="47"/>
      <c r="G330" s="47"/>
      <c r="H330" s="47"/>
      <c r="I330" s="48"/>
      <c r="J330" s="47"/>
      <c r="K330" s="47"/>
      <c r="L330" s="47"/>
      <c r="M330" s="47"/>
      <c r="N330" s="48"/>
      <c r="O330" s="48"/>
    </row>
    <row r="331" spans="2:15" x14ac:dyDescent="0.2">
      <c r="B331" s="47"/>
      <c r="C331" s="47"/>
      <c r="D331" s="78"/>
      <c r="E331" s="47"/>
      <c r="F331" s="47"/>
      <c r="G331" s="47"/>
      <c r="H331" s="47"/>
      <c r="I331" s="48"/>
      <c r="J331" s="47"/>
      <c r="K331" s="47"/>
      <c r="L331" s="47"/>
      <c r="M331" s="47"/>
      <c r="N331" s="48"/>
      <c r="O331" s="48"/>
    </row>
    <row r="332" spans="2:15" x14ac:dyDescent="0.2">
      <c r="B332" s="47"/>
      <c r="C332" s="47"/>
      <c r="D332" s="78"/>
      <c r="E332" s="47"/>
      <c r="F332" s="47"/>
      <c r="G332" s="47"/>
      <c r="H332" s="47"/>
      <c r="I332" s="48"/>
      <c r="J332" s="47"/>
      <c r="K332" s="47"/>
      <c r="L332" s="47"/>
      <c r="M332" s="47"/>
      <c r="N332" s="48"/>
      <c r="O332" s="48"/>
    </row>
    <row r="333" spans="2:15" x14ac:dyDescent="0.2">
      <c r="B333" s="47"/>
      <c r="C333" s="47"/>
      <c r="D333" s="78"/>
      <c r="E333" s="47"/>
      <c r="F333" s="47"/>
      <c r="G333" s="47"/>
      <c r="H333" s="47"/>
      <c r="I333" s="48"/>
      <c r="J333" s="47"/>
      <c r="K333" s="47"/>
      <c r="L333" s="47"/>
      <c r="M333" s="47"/>
      <c r="N333" s="48"/>
      <c r="O333" s="48"/>
    </row>
    <row r="334" spans="2:15" x14ac:dyDescent="0.2">
      <c r="B334" s="47"/>
      <c r="C334" s="47"/>
      <c r="D334" s="78"/>
      <c r="E334" s="47"/>
      <c r="F334" s="47"/>
      <c r="G334" s="47"/>
      <c r="H334" s="47"/>
      <c r="I334" s="48"/>
      <c r="J334" s="47"/>
      <c r="K334" s="47"/>
      <c r="L334" s="47"/>
      <c r="M334" s="47"/>
      <c r="N334" s="48"/>
      <c r="O334" s="48"/>
    </row>
    <row r="335" spans="2:15" x14ac:dyDescent="0.2">
      <c r="B335" s="47"/>
      <c r="C335" s="47"/>
      <c r="D335" s="78"/>
      <c r="E335" s="47"/>
      <c r="F335" s="47"/>
      <c r="G335" s="47"/>
      <c r="H335" s="47"/>
      <c r="I335" s="48"/>
      <c r="J335" s="47"/>
      <c r="K335" s="47"/>
      <c r="L335" s="47"/>
      <c r="M335" s="47"/>
      <c r="N335" s="48"/>
      <c r="O335" s="48"/>
    </row>
    <row r="336" spans="2:15" x14ac:dyDescent="0.2">
      <c r="B336" s="47"/>
      <c r="C336" s="47"/>
      <c r="D336" s="78"/>
      <c r="E336" s="47"/>
      <c r="F336" s="47"/>
      <c r="G336" s="47"/>
      <c r="H336" s="47"/>
      <c r="I336" s="48"/>
      <c r="J336" s="47"/>
      <c r="K336" s="47"/>
      <c r="L336" s="47"/>
      <c r="M336" s="47"/>
      <c r="N336" s="48"/>
      <c r="O336" s="48"/>
    </row>
    <row r="337" spans="2:15" x14ac:dyDescent="0.2">
      <c r="B337" s="47"/>
      <c r="C337" s="47"/>
      <c r="D337" s="78"/>
      <c r="E337" s="47"/>
      <c r="F337" s="47"/>
      <c r="G337" s="47"/>
      <c r="H337" s="47"/>
      <c r="I337" s="48"/>
      <c r="J337" s="47"/>
      <c r="K337" s="47"/>
      <c r="L337" s="47"/>
      <c r="M337" s="47"/>
      <c r="N337" s="48"/>
      <c r="O337" s="48"/>
    </row>
    <row r="338" spans="2:15" x14ac:dyDescent="0.2">
      <c r="B338" s="47"/>
      <c r="C338" s="47"/>
      <c r="D338" s="78"/>
      <c r="E338" s="47"/>
      <c r="F338" s="47"/>
      <c r="G338" s="47"/>
      <c r="H338" s="47"/>
      <c r="I338" s="48"/>
      <c r="J338" s="47"/>
      <c r="K338" s="47"/>
      <c r="L338" s="47"/>
      <c r="M338" s="47"/>
      <c r="N338" s="48"/>
      <c r="O338" s="48"/>
    </row>
    <row r="339" spans="2:15" x14ac:dyDescent="0.2">
      <c r="B339" s="47"/>
      <c r="C339" s="47"/>
      <c r="D339" s="78"/>
      <c r="E339" s="47"/>
      <c r="F339" s="47"/>
      <c r="G339" s="47"/>
      <c r="H339" s="47"/>
      <c r="I339" s="48"/>
      <c r="J339" s="47"/>
      <c r="K339" s="47"/>
      <c r="L339" s="47"/>
      <c r="M339" s="47"/>
      <c r="N339" s="48"/>
      <c r="O339" s="48"/>
    </row>
    <row r="340" spans="2:15" x14ac:dyDescent="0.2">
      <c r="B340" s="47"/>
      <c r="C340" s="47"/>
      <c r="D340" s="78"/>
      <c r="E340" s="47"/>
      <c r="F340" s="47"/>
      <c r="G340" s="47"/>
      <c r="H340" s="47"/>
      <c r="I340" s="48"/>
      <c r="J340" s="47"/>
      <c r="K340" s="47"/>
      <c r="L340" s="47"/>
      <c r="M340" s="47"/>
      <c r="N340" s="48"/>
      <c r="O340" s="48"/>
    </row>
    <row r="341" spans="2:15" x14ac:dyDescent="0.2">
      <c r="B341" s="47"/>
      <c r="C341" s="47"/>
      <c r="D341" s="78"/>
      <c r="E341" s="47"/>
      <c r="F341" s="47"/>
      <c r="G341" s="47"/>
      <c r="H341" s="47"/>
      <c r="I341" s="48"/>
      <c r="J341" s="47"/>
      <c r="K341" s="47"/>
      <c r="L341" s="47"/>
      <c r="M341" s="47"/>
      <c r="N341" s="48"/>
      <c r="O341" s="48"/>
    </row>
    <row r="342" spans="2:15" x14ac:dyDescent="0.2">
      <c r="B342" s="47"/>
      <c r="C342" s="47"/>
      <c r="D342" s="78"/>
      <c r="E342" s="47"/>
      <c r="F342" s="47"/>
      <c r="G342" s="47"/>
      <c r="H342" s="47"/>
      <c r="I342" s="48"/>
      <c r="J342" s="47"/>
      <c r="K342" s="47"/>
      <c r="L342" s="47"/>
      <c r="M342" s="47"/>
      <c r="N342" s="48"/>
      <c r="O342" s="48"/>
    </row>
    <row r="343" spans="2:15" x14ac:dyDescent="0.2">
      <c r="B343" s="47"/>
      <c r="C343" s="47"/>
      <c r="D343" s="78"/>
      <c r="E343" s="47"/>
      <c r="F343" s="47"/>
      <c r="G343" s="47"/>
      <c r="H343" s="47"/>
      <c r="I343" s="48"/>
      <c r="J343" s="47"/>
      <c r="K343" s="47"/>
      <c r="L343" s="47"/>
      <c r="M343" s="47"/>
      <c r="N343" s="48"/>
      <c r="O343" s="48"/>
    </row>
    <row r="344" spans="2:15" x14ac:dyDescent="0.2">
      <c r="B344" s="47"/>
      <c r="C344" s="47"/>
      <c r="D344" s="78"/>
      <c r="E344" s="47"/>
      <c r="F344" s="47"/>
      <c r="G344" s="47"/>
      <c r="H344" s="47"/>
      <c r="I344" s="48"/>
      <c r="J344" s="47"/>
      <c r="K344" s="47"/>
      <c r="L344" s="47"/>
      <c r="M344" s="47"/>
      <c r="N344" s="48"/>
      <c r="O344" s="48"/>
    </row>
    <row r="345" spans="2:15" x14ac:dyDescent="0.2">
      <c r="B345" s="47"/>
      <c r="C345" s="47"/>
      <c r="D345" s="78"/>
      <c r="E345" s="47"/>
      <c r="F345" s="47"/>
      <c r="G345" s="47"/>
      <c r="H345" s="47"/>
      <c r="I345" s="48"/>
      <c r="J345" s="47"/>
      <c r="K345" s="47"/>
      <c r="L345" s="47"/>
      <c r="M345" s="47"/>
      <c r="N345" s="48"/>
      <c r="O345" s="48"/>
    </row>
    <row r="346" spans="2:15" x14ac:dyDescent="0.2">
      <c r="B346" s="47"/>
      <c r="C346" s="47"/>
      <c r="D346" s="78"/>
      <c r="E346" s="47"/>
      <c r="F346" s="47"/>
      <c r="G346" s="47"/>
      <c r="H346" s="47"/>
      <c r="I346" s="48"/>
      <c r="J346" s="47"/>
      <c r="K346" s="47"/>
      <c r="L346" s="47"/>
      <c r="M346" s="47"/>
      <c r="N346" s="48"/>
      <c r="O346" s="48"/>
    </row>
    <row r="347" spans="2:15" x14ac:dyDescent="0.2">
      <c r="B347" s="47"/>
      <c r="C347" s="47"/>
      <c r="D347" s="78"/>
      <c r="E347" s="47"/>
      <c r="F347" s="47"/>
      <c r="G347" s="47"/>
      <c r="H347" s="47"/>
      <c r="I347" s="48"/>
      <c r="J347" s="47"/>
      <c r="K347" s="47"/>
      <c r="L347" s="47"/>
      <c r="M347" s="47"/>
      <c r="N347" s="48"/>
      <c r="O347" s="48"/>
    </row>
    <row r="348" spans="2:15" x14ac:dyDescent="0.2">
      <c r="B348" s="47"/>
      <c r="C348" s="47"/>
      <c r="D348" s="78"/>
      <c r="E348" s="47"/>
      <c r="F348" s="47"/>
      <c r="G348" s="47"/>
      <c r="H348" s="47"/>
      <c r="I348" s="48"/>
      <c r="J348" s="47"/>
      <c r="K348" s="47"/>
      <c r="L348" s="47"/>
      <c r="M348" s="47"/>
      <c r="N348" s="48"/>
      <c r="O348" s="48"/>
    </row>
    <row r="349" spans="2:15" x14ac:dyDescent="0.2">
      <c r="B349" s="47"/>
      <c r="C349" s="47"/>
      <c r="D349" s="78"/>
      <c r="E349" s="47"/>
      <c r="F349" s="47"/>
      <c r="G349" s="47"/>
      <c r="H349" s="47"/>
      <c r="I349" s="48"/>
      <c r="J349" s="47"/>
      <c r="K349" s="47"/>
      <c r="L349" s="47"/>
      <c r="M349" s="47"/>
      <c r="N349" s="48"/>
      <c r="O349" s="48"/>
    </row>
    <row r="350" spans="2:15" x14ac:dyDescent="0.2">
      <c r="B350" s="47"/>
      <c r="C350" s="47"/>
      <c r="D350" s="78"/>
      <c r="E350" s="47"/>
      <c r="F350" s="47"/>
      <c r="G350" s="47"/>
      <c r="H350" s="47"/>
      <c r="I350" s="48"/>
      <c r="J350" s="47"/>
      <c r="K350" s="47"/>
      <c r="L350" s="47"/>
      <c r="M350" s="47"/>
      <c r="N350" s="48"/>
      <c r="O350" s="48"/>
    </row>
    <row r="351" spans="2:15" x14ac:dyDescent="0.2">
      <c r="B351" s="47"/>
      <c r="C351" s="47"/>
      <c r="D351" s="78"/>
      <c r="E351" s="47"/>
      <c r="F351" s="47"/>
      <c r="G351" s="47"/>
      <c r="H351" s="47"/>
      <c r="I351" s="48"/>
      <c r="J351" s="47"/>
      <c r="K351" s="47"/>
      <c r="L351" s="47"/>
      <c r="M351" s="47"/>
      <c r="N351" s="48"/>
      <c r="O351" s="48"/>
    </row>
    <row r="352" spans="2:15" x14ac:dyDescent="0.2">
      <c r="B352" s="47"/>
      <c r="C352" s="47"/>
      <c r="D352" s="78"/>
      <c r="E352" s="47"/>
      <c r="F352" s="47"/>
      <c r="G352" s="47"/>
      <c r="H352" s="47"/>
      <c r="I352" s="48"/>
      <c r="J352" s="47"/>
      <c r="K352" s="47"/>
      <c r="L352" s="47"/>
      <c r="M352" s="47"/>
      <c r="N352" s="48"/>
      <c r="O352" s="48"/>
    </row>
    <row r="353" spans="2:15" x14ac:dyDescent="0.2">
      <c r="B353" s="47"/>
      <c r="C353" s="47"/>
      <c r="D353" s="78"/>
      <c r="E353" s="47"/>
      <c r="F353" s="47"/>
      <c r="G353" s="47"/>
      <c r="H353" s="47"/>
      <c r="I353" s="48"/>
      <c r="J353" s="47"/>
      <c r="K353" s="47"/>
      <c r="L353" s="47"/>
      <c r="M353" s="47"/>
      <c r="N353" s="48"/>
      <c r="O353" s="48"/>
    </row>
    <row r="354" spans="2:15" x14ac:dyDescent="0.2">
      <c r="B354" s="47"/>
      <c r="C354" s="47"/>
      <c r="D354" s="78"/>
      <c r="E354" s="47"/>
      <c r="F354" s="47"/>
      <c r="G354" s="47"/>
      <c r="H354" s="47"/>
      <c r="I354" s="48"/>
      <c r="J354" s="47"/>
      <c r="K354" s="47"/>
      <c r="L354" s="47"/>
      <c r="M354" s="47"/>
      <c r="N354" s="48"/>
      <c r="O354" s="48"/>
    </row>
    <row r="355" spans="2:15" x14ac:dyDescent="0.2">
      <c r="B355" s="47"/>
      <c r="C355" s="47"/>
      <c r="D355" s="78"/>
      <c r="E355" s="47"/>
      <c r="F355" s="47"/>
      <c r="G355" s="47"/>
      <c r="H355" s="47"/>
      <c r="I355" s="48"/>
      <c r="J355" s="47"/>
      <c r="K355" s="47"/>
      <c r="L355" s="47"/>
      <c r="M355" s="47"/>
      <c r="N355" s="48"/>
      <c r="O355" s="48"/>
    </row>
    <row r="356" spans="2:15" x14ac:dyDescent="0.2">
      <c r="B356" s="47"/>
      <c r="C356" s="47"/>
      <c r="D356" s="78"/>
      <c r="E356" s="47"/>
      <c r="F356" s="47"/>
      <c r="G356" s="47"/>
      <c r="H356" s="47"/>
      <c r="I356" s="48"/>
      <c r="J356" s="47"/>
      <c r="K356" s="47"/>
      <c r="L356" s="47"/>
      <c r="M356" s="47"/>
      <c r="N356" s="48"/>
      <c r="O356" s="48"/>
    </row>
    <row r="357" spans="2:15" x14ac:dyDescent="0.2">
      <c r="B357" s="47"/>
      <c r="C357" s="47"/>
      <c r="D357" s="78"/>
      <c r="E357" s="47"/>
      <c r="F357" s="47"/>
      <c r="G357" s="47"/>
      <c r="H357" s="47"/>
      <c r="I357" s="48"/>
      <c r="J357" s="47"/>
      <c r="K357" s="47"/>
      <c r="L357" s="47"/>
      <c r="M357" s="47"/>
      <c r="N357" s="48"/>
      <c r="O357" s="48"/>
    </row>
    <row r="358" spans="2:15" x14ac:dyDescent="0.2">
      <c r="B358" s="47"/>
      <c r="C358" s="47"/>
      <c r="D358" s="78"/>
      <c r="E358" s="47"/>
      <c r="F358" s="47"/>
      <c r="G358" s="47"/>
      <c r="H358" s="47"/>
      <c r="I358" s="48"/>
      <c r="J358" s="47"/>
      <c r="K358" s="47"/>
      <c r="L358" s="47"/>
      <c r="M358" s="47"/>
      <c r="N358" s="48"/>
      <c r="O358" s="48"/>
    </row>
    <row r="359" spans="2:15" x14ac:dyDescent="0.2">
      <c r="B359" s="47"/>
      <c r="C359" s="47"/>
      <c r="D359" s="78"/>
      <c r="E359" s="47"/>
      <c r="F359" s="47"/>
      <c r="G359" s="47"/>
      <c r="H359" s="47"/>
      <c r="I359" s="48"/>
      <c r="J359" s="47"/>
      <c r="K359" s="47"/>
      <c r="L359" s="47"/>
      <c r="M359" s="47"/>
      <c r="N359" s="48"/>
      <c r="O359" s="48"/>
    </row>
    <row r="360" spans="2:15" x14ac:dyDescent="0.2">
      <c r="B360" s="47"/>
      <c r="C360" s="47"/>
      <c r="D360" s="78"/>
      <c r="E360" s="47"/>
      <c r="F360" s="47"/>
      <c r="G360" s="47"/>
      <c r="H360" s="47"/>
      <c r="I360" s="48"/>
      <c r="J360" s="47"/>
      <c r="K360" s="47"/>
      <c r="L360" s="47"/>
      <c r="M360" s="47"/>
      <c r="N360" s="48"/>
      <c r="O360" s="48"/>
    </row>
    <row r="361" spans="2:15" x14ac:dyDescent="0.2">
      <c r="B361" s="47"/>
      <c r="C361" s="47"/>
      <c r="D361" s="78"/>
      <c r="E361" s="47"/>
      <c r="F361" s="47"/>
      <c r="G361" s="47"/>
      <c r="H361" s="47"/>
      <c r="I361" s="48"/>
      <c r="J361" s="47"/>
      <c r="K361" s="47"/>
      <c r="L361" s="47"/>
      <c r="M361" s="47"/>
      <c r="N361" s="48"/>
      <c r="O361" s="48"/>
    </row>
    <row r="362" spans="2:15" x14ac:dyDescent="0.2">
      <c r="B362" s="47"/>
      <c r="C362" s="47"/>
      <c r="D362" s="78"/>
      <c r="E362" s="47"/>
      <c r="F362" s="47"/>
      <c r="G362" s="47"/>
      <c r="H362" s="47"/>
      <c r="I362" s="48"/>
      <c r="J362" s="47"/>
      <c r="K362" s="47"/>
      <c r="L362" s="47"/>
      <c r="M362" s="47"/>
      <c r="N362" s="48"/>
      <c r="O362" s="48"/>
    </row>
    <row r="363" spans="2:15" x14ac:dyDescent="0.2">
      <c r="B363" s="47"/>
      <c r="C363" s="47"/>
      <c r="D363" s="78"/>
      <c r="E363" s="47"/>
      <c r="F363" s="47"/>
      <c r="G363" s="47"/>
      <c r="H363" s="47"/>
      <c r="I363" s="48"/>
      <c r="J363" s="47"/>
      <c r="K363" s="47"/>
      <c r="L363" s="47"/>
      <c r="M363" s="47"/>
      <c r="N363" s="48"/>
      <c r="O363" s="48"/>
    </row>
    <row r="364" spans="2:15" x14ac:dyDescent="0.2">
      <c r="B364" s="47"/>
      <c r="C364" s="47"/>
      <c r="D364" s="78"/>
      <c r="E364" s="47"/>
      <c r="F364" s="47"/>
      <c r="G364" s="47"/>
      <c r="H364" s="47"/>
      <c r="I364" s="48"/>
      <c r="J364" s="47"/>
      <c r="K364" s="47"/>
      <c r="L364" s="47"/>
      <c r="M364" s="47"/>
      <c r="N364" s="48"/>
      <c r="O364" s="48"/>
    </row>
    <row r="365" spans="2:15" x14ac:dyDescent="0.2">
      <c r="B365" s="47"/>
      <c r="C365" s="47"/>
      <c r="D365" s="78"/>
      <c r="E365" s="47"/>
      <c r="F365" s="47"/>
      <c r="G365" s="47"/>
      <c r="H365" s="47"/>
      <c r="I365" s="48"/>
      <c r="J365" s="47"/>
      <c r="K365" s="47"/>
      <c r="L365" s="47"/>
      <c r="M365" s="47"/>
      <c r="N365" s="48"/>
      <c r="O365" s="48"/>
    </row>
    <row r="366" spans="2:15" x14ac:dyDescent="0.2">
      <c r="B366" s="47"/>
      <c r="C366" s="47"/>
      <c r="D366" s="78"/>
      <c r="E366" s="47"/>
      <c r="F366" s="47"/>
      <c r="G366" s="47"/>
      <c r="H366" s="47"/>
      <c r="I366" s="48"/>
      <c r="J366" s="47"/>
      <c r="K366" s="47"/>
      <c r="L366" s="47"/>
      <c r="M366" s="47"/>
      <c r="N366" s="48"/>
      <c r="O366" s="48"/>
    </row>
    <row r="367" spans="2:15" x14ac:dyDescent="0.2">
      <c r="B367" s="47"/>
      <c r="C367" s="47"/>
      <c r="D367" s="78"/>
      <c r="E367" s="47"/>
      <c r="F367" s="47"/>
      <c r="G367" s="47"/>
      <c r="H367" s="47"/>
      <c r="I367" s="48"/>
      <c r="J367" s="47"/>
      <c r="K367" s="47"/>
      <c r="L367" s="47"/>
      <c r="M367" s="47"/>
      <c r="N367" s="48"/>
      <c r="O367" s="48"/>
    </row>
    <row r="368" spans="2:15" x14ac:dyDescent="0.2">
      <c r="B368" s="47"/>
      <c r="C368" s="47"/>
      <c r="D368" s="78"/>
      <c r="E368" s="47"/>
      <c r="F368" s="47"/>
      <c r="G368" s="47"/>
      <c r="H368" s="47"/>
      <c r="I368" s="48"/>
      <c r="J368" s="47"/>
      <c r="K368" s="47"/>
      <c r="L368" s="47"/>
      <c r="M368" s="47"/>
      <c r="N368" s="48"/>
      <c r="O368" s="48"/>
    </row>
    <row r="369" spans="2:15" x14ac:dyDescent="0.2">
      <c r="B369" s="47"/>
      <c r="C369" s="47"/>
      <c r="D369" s="78"/>
      <c r="E369" s="47"/>
      <c r="F369" s="47"/>
      <c r="G369" s="47"/>
      <c r="H369" s="47"/>
      <c r="I369" s="48"/>
      <c r="J369" s="47"/>
      <c r="K369" s="47"/>
      <c r="L369" s="47"/>
      <c r="M369" s="47"/>
      <c r="N369" s="48"/>
      <c r="O369" s="48"/>
    </row>
    <row r="370" spans="2:15" x14ac:dyDescent="0.2">
      <c r="B370" s="47"/>
      <c r="C370" s="47"/>
      <c r="D370" s="78"/>
      <c r="E370" s="47"/>
      <c r="F370" s="47"/>
      <c r="G370" s="47"/>
      <c r="H370" s="47"/>
      <c r="I370" s="48"/>
      <c r="J370" s="47"/>
      <c r="K370" s="47"/>
      <c r="L370" s="47"/>
      <c r="M370" s="47"/>
      <c r="N370" s="48"/>
      <c r="O370" s="48"/>
    </row>
    <row r="371" spans="2:15" x14ac:dyDescent="0.2">
      <c r="B371" s="47"/>
      <c r="C371" s="47"/>
      <c r="D371" s="78"/>
      <c r="E371" s="47"/>
      <c r="F371" s="47"/>
      <c r="G371" s="47"/>
      <c r="H371" s="47"/>
      <c r="I371" s="48"/>
      <c r="J371" s="47"/>
      <c r="K371" s="47"/>
      <c r="L371" s="47"/>
      <c r="M371" s="47"/>
      <c r="N371" s="48"/>
      <c r="O371" s="48"/>
    </row>
    <row r="372" spans="2:15" x14ac:dyDescent="0.2">
      <c r="B372" s="47"/>
      <c r="C372" s="47"/>
      <c r="D372" s="78"/>
      <c r="E372" s="47"/>
      <c r="F372" s="47"/>
      <c r="G372" s="47"/>
      <c r="H372" s="47"/>
      <c r="I372" s="48"/>
      <c r="J372" s="47"/>
      <c r="K372" s="47"/>
      <c r="L372" s="47"/>
      <c r="M372" s="47"/>
      <c r="N372" s="48"/>
      <c r="O372" s="48"/>
    </row>
    <row r="373" spans="2:15" x14ac:dyDescent="0.2">
      <c r="B373" s="47"/>
      <c r="C373" s="47"/>
      <c r="D373" s="78"/>
      <c r="E373" s="47"/>
      <c r="F373" s="47"/>
      <c r="G373" s="47"/>
      <c r="H373" s="47"/>
      <c r="I373" s="48"/>
      <c r="J373" s="47"/>
      <c r="K373" s="47"/>
      <c r="L373" s="47"/>
      <c r="M373" s="47"/>
      <c r="N373" s="48"/>
      <c r="O373" s="48"/>
    </row>
    <row r="374" spans="2:15" x14ac:dyDescent="0.2">
      <c r="B374" s="47"/>
      <c r="C374" s="47"/>
      <c r="D374" s="78"/>
      <c r="E374" s="47"/>
      <c r="F374" s="47"/>
      <c r="G374" s="47"/>
      <c r="H374" s="47"/>
      <c r="I374" s="48"/>
      <c r="J374" s="47"/>
      <c r="K374" s="47"/>
      <c r="L374" s="47"/>
      <c r="M374" s="47"/>
      <c r="N374" s="48"/>
      <c r="O374" s="48"/>
    </row>
    <row r="375" spans="2:15" x14ac:dyDescent="0.2">
      <c r="B375" s="47"/>
      <c r="C375" s="47"/>
      <c r="D375" s="78"/>
      <c r="E375" s="47"/>
      <c r="F375" s="47"/>
      <c r="G375" s="47"/>
      <c r="H375" s="47"/>
      <c r="I375" s="48"/>
      <c r="J375" s="47"/>
      <c r="K375" s="47"/>
      <c r="L375" s="47"/>
      <c r="M375" s="47"/>
      <c r="N375" s="48"/>
      <c r="O375" s="48"/>
    </row>
    <row r="376" spans="2:15" x14ac:dyDescent="0.2">
      <c r="B376" s="47"/>
      <c r="C376" s="47"/>
      <c r="D376" s="78"/>
      <c r="E376" s="47"/>
      <c r="F376" s="47"/>
      <c r="G376" s="47"/>
      <c r="H376" s="47"/>
      <c r="I376" s="48"/>
      <c r="J376" s="47"/>
      <c r="K376" s="47"/>
      <c r="L376" s="47"/>
      <c r="M376" s="47"/>
      <c r="N376" s="48"/>
      <c r="O376" s="48"/>
    </row>
    <row r="377" spans="2:15" x14ac:dyDescent="0.2">
      <c r="B377" s="47"/>
      <c r="C377" s="47"/>
      <c r="D377" s="78"/>
      <c r="E377" s="47"/>
      <c r="F377" s="47"/>
      <c r="G377" s="47"/>
      <c r="H377" s="47"/>
      <c r="I377" s="48"/>
      <c r="J377" s="47"/>
      <c r="K377" s="47"/>
      <c r="L377" s="47"/>
      <c r="M377" s="47"/>
      <c r="N377" s="48"/>
      <c r="O377" s="48"/>
    </row>
    <row r="378" spans="2:15" x14ac:dyDescent="0.2">
      <c r="B378" s="47"/>
      <c r="C378" s="47"/>
      <c r="D378" s="78"/>
      <c r="E378" s="47"/>
      <c r="F378" s="47"/>
      <c r="G378" s="47"/>
      <c r="H378" s="47"/>
      <c r="I378" s="48"/>
      <c r="J378" s="47"/>
      <c r="K378" s="47"/>
      <c r="L378" s="47"/>
      <c r="M378" s="47"/>
      <c r="N378" s="48"/>
      <c r="O378" s="48"/>
    </row>
    <row r="379" spans="2:15" x14ac:dyDescent="0.2">
      <c r="B379" s="47"/>
      <c r="C379" s="47"/>
      <c r="D379" s="78"/>
      <c r="E379" s="47"/>
      <c r="F379" s="47"/>
      <c r="G379" s="47"/>
      <c r="H379" s="47"/>
      <c r="I379" s="48"/>
      <c r="J379" s="47"/>
      <c r="K379" s="47"/>
      <c r="L379" s="47"/>
      <c r="M379" s="47"/>
      <c r="N379" s="48"/>
      <c r="O379" s="48"/>
    </row>
    <row r="380" spans="2:15" x14ac:dyDescent="0.2">
      <c r="B380" s="47"/>
      <c r="C380" s="47"/>
      <c r="D380" s="78"/>
      <c r="E380" s="47"/>
      <c r="F380" s="47"/>
      <c r="G380" s="47"/>
      <c r="H380" s="47"/>
      <c r="I380" s="48"/>
      <c r="J380" s="47"/>
      <c r="K380" s="47"/>
      <c r="L380" s="47"/>
      <c r="M380" s="47"/>
      <c r="N380" s="48"/>
      <c r="O380" s="48"/>
    </row>
    <row r="381" spans="2:15" x14ac:dyDescent="0.2">
      <c r="B381" s="47"/>
      <c r="C381" s="47"/>
      <c r="D381" s="78"/>
      <c r="E381" s="47"/>
      <c r="F381" s="47"/>
      <c r="G381" s="47"/>
      <c r="H381" s="47"/>
      <c r="I381" s="48"/>
      <c r="J381" s="47"/>
      <c r="K381" s="47"/>
      <c r="L381" s="47"/>
      <c r="M381" s="47"/>
      <c r="N381" s="48"/>
      <c r="O381" s="48"/>
    </row>
    <row r="382" spans="2:15" x14ac:dyDescent="0.2">
      <c r="B382" s="47"/>
      <c r="C382" s="47"/>
      <c r="D382" s="78"/>
      <c r="E382" s="47"/>
      <c r="F382" s="47"/>
      <c r="G382" s="47"/>
      <c r="H382" s="47"/>
      <c r="I382" s="48"/>
      <c r="J382" s="47"/>
      <c r="K382" s="47"/>
      <c r="L382" s="47"/>
      <c r="M382" s="47"/>
      <c r="N382" s="48"/>
      <c r="O382" s="48"/>
    </row>
    <row r="383" spans="2:15" x14ac:dyDescent="0.2">
      <c r="B383" s="47"/>
      <c r="C383" s="47"/>
      <c r="D383" s="78"/>
      <c r="E383" s="47"/>
      <c r="F383" s="47"/>
      <c r="G383" s="47"/>
      <c r="H383" s="47"/>
      <c r="I383" s="48"/>
      <c r="J383" s="47"/>
      <c r="K383" s="47"/>
      <c r="L383" s="47"/>
      <c r="M383" s="47"/>
      <c r="N383" s="48"/>
      <c r="O383" s="48"/>
    </row>
    <row r="384" spans="2:15" x14ac:dyDescent="0.2">
      <c r="B384" s="47"/>
      <c r="C384" s="47"/>
      <c r="D384" s="78"/>
      <c r="E384" s="47"/>
      <c r="F384" s="47"/>
      <c r="G384" s="47"/>
      <c r="H384" s="47"/>
      <c r="I384" s="48"/>
      <c r="J384" s="47"/>
      <c r="K384" s="47"/>
      <c r="L384" s="47"/>
      <c r="M384" s="47"/>
      <c r="N384" s="48"/>
      <c r="O384" s="48"/>
    </row>
    <row r="385" spans="2:15" x14ac:dyDescent="0.2">
      <c r="B385" s="47"/>
      <c r="C385" s="47"/>
      <c r="D385" s="78"/>
      <c r="E385" s="47"/>
      <c r="F385" s="47"/>
      <c r="G385" s="47"/>
      <c r="H385" s="47"/>
      <c r="I385" s="48"/>
      <c r="J385" s="47"/>
      <c r="K385" s="47"/>
      <c r="L385" s="47"/>
      <c r="M385" s="47"/>
      <c r="N385" s="48"/>
      <c r="O385" s="48"/>
    </row>
    <row r="386" spans="2:15" x14ac:dyDescent="0.2">
      <c r="B386" s="47"/>
      <c r="C386" s="47"/>
      <c r="D386" s="78"/>
      <c r="E386" s="47"/>
      <c r="F386" s="47"/>
      <c r="G386" s="47"/>
      <c r="H386" s="47"/>
      <c r="I386" s="48"/>
      <c r="J386" s="47"/>
      <c r="K386" s="47"/>
      <c r="L386" s="47"/>
      <c r="M386" s="47"/>
      <c r="N386" s="48"/>
      <c r="O386" s="48"/>
    </row>
    <row r="387" spans="2:15" x14ac:dyDescent="0.2">
      <c r="B387" s="47"/>
      <c r="C387" s="47"/>
      <c r="D387" s="78"/>
      <c r="E387" s="47"/>
      <c r="F387" s="47"/>
      <c r="G387" s="47"/>
      <c r="H387" s="47"/>
      <c r="I387" s="48"/>
      <c r="J387" s="47"/>
      <c r="K387" s="47"/>
      <c r="L387" s="47"/>
      <c r="M387" s="47"/>
      <c r="N387" s="48"/>
      <c r="O387" s="48"/>
    </row>
    <row r="388" spans="2:15" x14ac:dyDescent="0.2">
      <c r="B388" s="47"/>
      <c r="C388" s="47"/>
      <c r="D388" s="78"/>
      <c r="E388" s="47"/>
      <c r="F388" s="47"/>
      <c r="G388" s="47"/>
      <c r="H388" s="47"/>
      <c r="I388" s="48"/>
      <c r="J388" s="47"/>
      <c r="K388" s="47"/>
      <c r="L388" s="47"/>
      <c r="M388" s="47"/>
      <c r="N388" s="48"/>
      <c r="O388" s="48"/>
    </row>
    <row r="389" spans="2:15" x14ac:dyDescent="0.2">
      <c r="B389" s="47"/>
      <c r="C389" s="47"/>
      <c r="D389" s="78"/>
      <c r="E389" s="47"/>
      <c r="F389" s="47"/>
      <c r="G389" s="47"/>
      <c r="H389" s="47"/>
      <c r="I389" s="48"/>
      <c r="J389" s="47"/>
      <c r="K389" s="47"/>
      <c r="L389" s="47"/>
      <c r="M389" s="47"/>
      <c r="N389" s="48"/>
      <c r="O389" s="48"/>
    </row>
    <row r="390" spans="2:15" x14ac:dyDescent="0.2">
      <c r="B390" s="47"/>
      <c r="C390" s="47"/>
      <c r="D390" s="78"/>
      <c r="E390" s="47"/>
      <c r="F390" s="47"/>
      <c r="G390" s="47"/>
      <c r="H390" s="47"/>
      <c r="I390" s="48"/>
      <c r="J390" s="47"/>
      <c r="K390" s="47"/>
      <c r="L390" s="47"/>
      <c r="M390" s="47"/>
      <c r="N390" s="48"/>
      <c r="O390" s="48"/>
    </row>
    <row r="391" spans="2:15" x14ac:dyDescent="0.2">
      <c r="B391" s="47"/>
      <c r="C391" s="47"/>
      <c r="D391" s="78"/>
      <c r="E391" s="47"/>
      <c r="F391" s="47"/>
      <c r="G391" s="47"/>
      <c r="H391" s="47"/>
      <c r="I391" s="48"/>
      <c r="J391" s="47"/>
      <c r="K391" s="47"/>
      <c r="L391" s="47"/>
      <c r="M391" s="47"/>
      <c r="N391" s="48"/>
      <c r="O391" s="48"/>
    </row>
    <row r="392" spans="2:15" x14ac:dyDescent="0.2">
      <c r="B392" s="47"/>
      <c r="C392" s="47"/>
      <c r="D392" s="78"/>
      <c r="E392" s="47"/>
      <c r="F392" s="47"/>
      <c r="G392" s="47"/>
      <c r="H392" s="47"/>
      <c r="I392" s="48"/>
      <c r="J392" s="47"/>
      <c r="K392" s="47"/>
      <c r="L392" s="47"/>
      <c r="M392" s="47"/>
      <c r="N392" s="48"/>
      <c r="O392" s="48"/>
    </row>
    <row r="393" spans="2:15" x14ac:dyDescent="0.2">
      <c r="B393" s="47"/>
      <c r="C393" s="47"/>
      <c r="D393" s="78"/>
      <c r="E393" s="47"/>
      <c r="F393" s="47"/>
      <c r="G393" s="47"/>
      <c r="H393" s="47"/>
      <c r="I393" s="48"/>
      <c r="J393" s="47"/>
      <c r="K393" s="47"/>
      <c r="L393" s="47"/>
      <c r="M393" s="47"/>
      <c r="N393" s="48"/>
      <c r="O393" s="48"/>
    </row>
    <row r="394" spans="2:15" x14ac:dyDescent="0.2">
      <c r="B394" s="47"/>
      <c r="C394" s="47"/>
      <c r="D394" s="78"/>
      <c r="E394" s="47"/>
      <c r="F394" s="47"/>
      <c r="G394" s="47"/>
      <c r="H394" s="47"/>
      <c r="I394" s="48"/>
      <c r="J394" s="47"/>
      <c r="K394" s="47"/>
      <c r="L394" s="47"/>
      <c r="M394" s="47"/>
      <c r="N394" s="48"/>
      <c r="O394" s="48"/>
    </row>
    <row r="395" spans="2:15" x14ac:dyDescent="0.2">
      <c r="B395" s="47"/>
      <c r="C395" s="47"/>
      <c r="D395" s="78"/>
      <c r="E395" s="47"/>
      <c r="F395" s="47"/>
      <c r="G395" s="47"/>
      <c r="H395" s="47"/>
      <c r="I395" s="48"/>
      <c r="J395" s="47"/>
      <c r="K395" s="47"/>
      <c r="L395" s="47"/>
      <c r="M395" s="47"/>
      <c r="N395" s="48"/>
      <c r="O395" s="48"/>
    </row>
    <row r="396" spans="2:15" x14ac:dyDescent="0.2">
      <c r="B396" s="47"/>
      <c r="C396" s="47"/>
      <c r="D396" s="78"/>
      <c r="E396" s="47"/>
      <c r="F396" s="47"/>
      <c r="G396" s="47"/>
      <c r="H396" s="47"/>
      <c r="I396" s="48"/>
      <c r="J396" s="47"/>
      <c r="K396" s="47"/>
      <c r="L396" s="47"/>
      <c r="M396" s="47"/>
      <c r="N396" s="48"/>
      <c r="O396" s="48"/>
    </row>
    <row r="397" spans="2:15" x14ac:dyDescent="0.2">
      <c r="B397" s="47"/>
      <c r="C397" s="47"/>
      <c r="D397" s="78"/>
      <c r="E397" s="47"/>
      <c r="F397" s="47"/>
      <c r="G397" s="47"/>
      <c r="H397" s="47"/>
      <c r="I397" s="48"/>
      <c r="J397" s="47"/>
      <c r="K397" s="47"/>
      <c r="L397" s="47"/>
      <c r="M397" s="47"/>
      <c r="N397" s="48"/>
      <c r="O397" s="48"/>
    </row>
    <row r="398" spans="2:15" x14ac:dyDescent="0.2">
      <c r="B398" s="47"/>
      <c r="C398" s="47"/>
      <c r="D398" s="78"/>
      <c r="E398" s="47"/>
      <c r="F398" s="47"/>
      <c r="G398" s="47"/>
      <c r="H398" s="47"/>
      <c r="I398" s="48"/>
      <c r="J398" s="47"/>
      <c r="K398" s="47"/>
      <c r="L398" s="47"/>
      <c r="M398" s="47"/>
      <c r="N398" s="48"/>
      <c r="O398" s="48"/>
    </row>
    <row r="399" spans="2:15" x14ac:dyDescent="0.2">
      <c r="B399" s="47"/>
      <c r="C399" s="47"/>
      <c r="D399" s="78"/>
      <c r="E399" s="47"/>
      <c r="F399" s="47"/>
      <c r="G399" s="47"/>
      <c r="H399" s="47"/>
      <c r="I399" s="48"/>
      <c r="J399" s="47"/>
      <c r="K399" s="47"/>
      <c r="L399" s="47"/>
      <c r="M399" s="47"/>
      <c r="N399" s="48"/>
      <c r="O399" s="48"/>
    </row>
    <row r="400" spans="2:15" x14ac:dyDescent="0.2">
      <c r="B400" s="47"/>
      <c r="C400" s="47"/>
      <c r="D400" s="78"/>
      <c r="E400" s="47"/>
      <c r="F400" s="47"/>
      <c r="G400" s="47"/>
      <c r="H400" s="47"/>
      <c r="I400" s="48"/>
      <c r="J400" s="47"/>
      <c r="K400" s="47"/>
      <c r="L400" s="47"/>
      <c r="M400" s="47"/>
      <c r="N400" s="48"/>
      <c r="O400" s="48"/>
    </row>
    <row r="401" spans="2:15" x14ac:dyDescent="0.2">
      <c r="B401" s="47"/>
      <c r="C401" s="47"/>
      <c r="D401" s="78"/>
      <c r="E401" s="47"/>
      <c r="F401" s="47"/>
      <c r="G401" s="47"/>
      <c r="H401" s="47"/>
      <c r="I401" s="48"/>
      <c r="J401" s="47"/>
      <c r="K401" s="47"/>
      <c r="L401" s="47"/>
      <c r="M401" s="47"/>
      <c r="N401" s="48"/>
      <c r="O401" s="48"/>
    </row>
    <row r="402" spans="2:15" x14ac:dyDescent="0.2">
      <c r="B402" s="47"/>
      <c r="C402" s="47"/>
      <c r="D402" s="78"/>
      <c r="E402" s="47"/>
      <c r="F402" s="47"/>
      <c r="G402" s="47"/>
      <c r="H402" s="47"/>
      <c r="I402" s="48"/>
      <c r="J402" s="47"/>
      <c r="K402" s="47"/>
      <c r="L402" s="47"/>
      <c r="M402" s="47"/>
      <c r="N402" s="48"/>
      <c r="O402" s="48"/>
    </row>
    <row r="403" spans="2:15" x14ac:dyDescent="0.2">
      <c r="B403" s="47"/>
      <c r="C403" s="47"/>
      <c r="D403" s="78"/>
      <c r="E403" s="47"/>
      <c r="F403" s="47"/>
      <c r="G403" s="47"/>
      <c r="H403" s="47"/>
      <c r="I403" s="48"/>
      <c r="J403" s="47"/>
      <c r="K403" s="47"/>
      <c r="L403" s="47"/>
      <c r="M403" s="47"/>
      <c r="N403" s="48"/>
      <c r="O403" s="48"/>
    </row>
    <row r="404" spans="2:15" x14ac:dyDescent="0.2">
      <c r="B404" s="47"/>
      <c r="C404" s="47"/>
      <c r="D404" s="78"/>
      <c r="E404" s="47"/>
      <c r="F404" s="47"/>
      <c r="G404" s="47"/>
      <c r="H404" s="47"/>
      <c r="I404" s="48"/>
      <c r="J404" s="47"/>
      <c r="K404" s="47"/>
      <c r="L404" s="47"/>
      <c r="M404" s="47"/>
      <c r="N404" s="48"/>
      <c r="O404" s="48"/>
    </row>
    <row r="405" spans="2:15" x14ac:dyDescent="0.2">
      <c r="B405" s="47"/>
      <c r="C405" s="47"/>
      <c r="D405" s="78"/>
      <c r="E405" s="47"/>
      <c r="F405" s="47"/>
      <c r="G405" s="47"/>
      <c r="H405" s="47"/>
      <c r="I405" s="48"/>
      <c r="J405" s="47"/>
      <c r="K405" s="47"/>
      <c r="L405" s="47"/>
      <c r="M405" s="47"/>
      <c r="N405" s="48"/>
      <c r="O405" s="48"/>
    </row>
    <row r="406" spans="2:15" x14ac:dyDescent="0.2">
      <c r="B406" s="47"/>
      <c r="C406" s="47"/>
      <c r="D406" s="78"/>
      <c r="E406" s="47"/>
      <c r="F406" s="47"/>
      <c r="G406" s="47"/>
      <c r="H406" s="47"/>
      <c r="I406" s="48"/>
      <c r="J406" s="47"/>
      <c r="K406" s="47"/>
      <c r="L406" s="47"/>
      <c r="M406" s="47"/>
      <c r="N406" s="48"/>
      <c r="O406" s="48"/>
    </row>
    <row r="407" spans="2:15" x14ac:dyDescent="0.2">
      <c r="B407" s="47"/>
      <c r="C407" s="47"/>
      <c r="D407" s="78"/>
      <c r="E407" s="47"/>
      <c r="F407" s="47"/>
      <c r="G407" s="47"/>
      <c r="H407" s="47"/>
      <c r="I407" s="48"/>
      <c r="J407" s="47"/>
      <c r="K407" s="47"/>
      <c r="L407" s="47"/>
      <c r="M407" s="47"/>
      <c r="N407" s="48"/>
      <c r="O407" s="48"/>
    </row>
    <row r="408" spans="2:15" x14ac:dyDescent="0.2">
      <c r="B408" s="47"/>
      <c r="C408" s="47"/>
      <c r="D408" s="78"/>
      <c r="E408" s="47"/>
      <c r="F408" s="47"/>
      <c r="G408" s="47"/>
      <c r="H408" s="47"/>
      <c r="I408" s="48"/>
      <c r="J408" s="47"/>
      <c r="K408" s="47"/>
      <c r="L408" s="47"/>
      <c r="M408" s="47"/>
      <c r="N408" s="48"/>
      <c r="O408" s="48"/>
    </row>
    <row r="409" spans="2:15" x14ac:dyDescent="0.2">
      <c r="B409" s="47"/>
      <c r="C409" s="47"/>
      <c r="D409" s="78"/>
      <c r="E409" s="47"/>
      <c r="F409" s="47"/>
      <c r="G409" s="47"/>
      <c r="H409" s="47"/>
      <c r="I409" s="48"/>
      <c r="J409" s="47"/>
      <c r="K409" s="47"/>
      <c r="L409" s="47"/>
      <c r="M409" s="47"/>
      <c r="N409" s="48"/>
      <c r="O409" s="48"/>
    </row>
    <row r="410" spans="2:15" x14ac:dyDescent="0.2">
      <c r="B410" s="47"/>
      <c r="C410" s="47"/>
      <c r="D410" s="78"/>
      <c r="E410" s="47"/>
      <c r="F410" s="47"/>
      <c r="G410" s="47"/>
      <c r="H410" s="47"/>
      <c r="I410" s="48"/>
      <c r="J410" s="47"/>
      <c r="K410" s="47"/>
      <c r="L410" s="47"/>
      <c r="M410" s="47"/>
      <c r="N410" s="48"/>
      <c r="O410" s="48"/>
    </row>
    <row r="411" spans="2:15" x14ac:dyDescent="0.2">
      <c r="B411" s="47"/>
      <c r="C411" s="47"/>
      <c r="D411" s="78"/>
      <c r="E411" s="47"/>
      <c r="F411" s="47"/>
      <c r="G411" s="47"/>
      <c r="H411" s="47"/>
      <c r="I411" s="48"/>
      <c r="J411" s="47"/>
      <c r="K411" s="47"/>
      <c r="L411" s="47"/>
      <c r="M411" s="47"/>
      <c r="N411" s="48"/>
      <c r="O411" s="48"/>
    </row>
    <row r="412" spans="2:15" x14ac:dyDescent="0.2">
      <c r="B412" s="47"/>
      <c r="C412" s="47"/>
      <c r="D412" s="78"/>
      <c r="E412" s="47"/>
      <c r="F412" s="47"/>
      <c r="G412" s="47"/>
      <c r="H412" s="47"/>
      <c r="I412" s="48"/>
      <c r="J412" s="47"/>
      <c r="K412" s="47"/>
      <c r="L412" s="47"/>
      <c r="M412" s="47"/>
      <c r="N412" s="48"/>
      <c r="O412" s="48"/>
    </row>
    <row r="413" spans="2:15" x14ac:dyDescent="0.2">
      <c r="B413" s="47"/>
      <c r="C413" s="47"/>
      <c r="D413" s="78"/>
      <c r="E413" s="47"/>
      <c r="F413" s="47"/>
      <c r="G413" s="47"/>
      <c r="H413" s="47"/>
      <c r="I413" s="48"/>
      <c r="J413" s="47"/>
      <c r="K413" s="47"/>
      <c r="L413" s="47"/>
      <c r="M413" s="47"/>
      <c r="N413" s="48"/>
      <c r="O413" s="48"/>
    </row>
    <row r="414" spans="2:15" x14ac:dyDescent="0.2">
      <c r="B414" s="47"/>
      <c r="C414" s="47"/>
      <c r="D414" s="78"/>
      <c r="E414" s="47"/>
      <c r="F414" s="47"/>
      <c r="G414" s="47"/>
      <c r="H414" s="47"/>
      <c r="I414" s="48"/>
      <c r="J414" s="47"/>
      <c r="K414" s="47"/>
      <c r="L414" s="47"/>
      <c r="M414" s="47"/>
      <c r="N414" s="48"/>
      <c r="O414" s="48"/>
    </row>
    <row r="415" spans="2:15" x14ac:dyDescent="0.2">
      <c r="B415" s="47"/>
      <c r="C415" s="47"/>
      <c r="D415" s="78"/>
      <c r="E415" s="47"/>
      <c r="F415" s="47"/>
      <c r="G415" s="47"/>
      <c r="H415" s="47"/>
      <c r="I415" s="48"/>
      <c r="J415" s="47"/>
      <c r="K415" s="47"/>
      <c r="L415" s="47"/>
      <c r="M415" s="47"/>
      <c r="N415" s="48"/>
      <c r="O415" s="48"/>
    </row>
    <row r="416" spans="2:15" x14ac:dyDescent="0.2">
      <c r="B416" s="47"/>
      <c r="C416" s="47"/>
      <c r="D416" s="78"/>
      <c r="E416" s="47"/>
      <c r="F416" s="47"/>
      <c r="G416" s="47"/>
      <c r="H416" s="47"/>
      <c r="I416" s="48"/>
      <c r="J416" s="47"/>
      <c r="K416" s="47"/>
      <c r="L416" s="47"/>
      <c r="M416" s="47"/>
      <c r="N416" s="48"/>
      <c r="O416" s="48"/>
    </row>
    <row r="417" spans="2:15" x14ac:dyDescent="0.2">
      <c r="B417" s="47"/>
      <c r="C417" s="47"/>
      <c r="D417" s="78"/>
      <c r="E417" s="47"/>
      <c r="F417" s="47"/>
      <c r="G417" s="47"/>
      <c r="H417" s="47"/>
      <c r="I417" s="48"/>
      <c r="J417" s="47"/>
      <c r="K417" s="47"/>
      <c r="L417" s="47"/>
      <c r="M417" s="47"/>
      <c r="N417" s="48"/>
      <c r="O417" s="48"/>
    </row>
    <row r="418" spans="2:15" x14ac:dyDescent="0.2">
      <c r="B418" s="47"/>
      <c r="C418" s="47"/>
      <c r="D418" s="78"/>
      <c r="E418" s="47"/>
      <c r="F418" s="47"/>
      <c r="G418" s="47"/>
      <c r="H418" s="47"/>
      <c r="I418" s="48"/>
      <c r="J418" s="47"/>
      <c r="K418" s="47"/>
      <c r="L418" s="47"/>
      <c r="M418" s="47"/>
      <c r="N418" s="48"/>
      <c r="O418" s="48"/>
    </row>
    <row r="419" spans="2:15" x14ac:dyDescent="0.2">
      <c r="B419" s="47"/>
      <c r="C419" s="47"/>
      <c r="D419" s="78"/>
      <c r="E419" s="47"/>
      <c r="F419" s="47"/>
      <c r="G419" s="47"/>
      <c r="H419" s="47"/>
      <c r="I419" s="48"/>
      <c r="J419" s="47"/>
      <c r="K419" s="47"/>
      <c r="L419" s="47"/>
      <c r="M419" s="47"/>
      <c r="N419" s="48"/>
      <c r="O419" s="48"/>
    </row>
    <row r="420" spans="2:15" x14ac:dyDescent="0.2">
      <c r="B420" s="47"/>
      <c r="C420" s="47"/>
      <c r="D420" s="78"/>
      <c r="E420" s="47"/>
      <c r="F420" s="47"/>
      <c r="G420" s="47"/>
      <c r="H420" s="47"/>
      <c r="I420" s="48"/>
      <c r="J420" s="47"/>
      <c r="K420" s="47"/>
      <c r="L420" s="47"/>
      <c r="M420" s="47"/>
      <c r="N420" s="48"/>
      <c r="O420" s="48"/>
    </row>
    <row r="421" spans="2:15" x14ac:dyDescent="0.2">
      <c r="B421" s="47"/>
      <c r="C421" s="47"/>
      <c r="D421" s="78"/>
      <c r="E421" s="47"/>
      <c r="F421" s="47"/>
      <c r="G421" s="47"/>
      <c r="H421" s="47"/>
      <c r="I421" s="48"/>
      <c r="J421" s="47"/>
      <c r="K421" s="47"/>
      <c r="L421" s="47"/>
      <c r="M421" s="47"/>
      <c r="N421" s="48"/>
      <c r="O421" s="48"/>
    </row>
    <row r="422" spans="2:15" x14ac:dyDescent="0.2">
      <c r="B422" s="47"/>
      <c r="C422" s="47"/>
      <c r="D422" s="78"/>
      <c r="E422" s="47"/>
      <c r="F422" s="47"/>
      <c r="G422" s="47"/>
      <c r="H422" s="47"/>
      <c r="I422" s="48"/>
      <c r="J422" s="47"/>
      <c r="K422" s="47"/>
      <c r="L422" s="47"/>
      <c r="M422" s="47"/>
      <c r="N422" s="48"/>
      <c r="O422" s="48"/>
    </row>
    <row r="423" spans="2:15" x14ac:dyDescent="0.2">
      <c r="B423" s="47"/>
      <c r="C423" s="47"/>
      <c r="D423" s="78"/>
      <c r="E423" s="47"/>
      <c r="F423" s="47"/>
      <c r="G423" s="47"/>
      <c r="H423" s="47"/>
      <c r="I423" s="48"/>
      <c r="J423" s="47"/>
      <c r="K423" s="47"/>
      <c r="L423" s="47"/>
      <c r="M423" s="47"/>
      <c r="N423" s="48"/>
      <c r="O423" s="48"/>
    </row>
    <row r="424" spans="2:15" x14ac:dyDescent="0.2">
      <c r="B424" s="47"/>
      <c r="C424" s="47"/>
      <c r="D424" s="78"/>
      <c r="E424" s="47"/>
      <c r="F424" s="47"/>
      <c r="G424" s="47"/>
      <c r="H424" s="47"/>
      <c r="I424" s="48"/>
      <c r="J424" s="47"/>
      <c r="K424" s="47"/>
      <c r="L424" s="47"/>
      <c r="M424" s="47"/>
      <c r="N424" s="48"/>
      <c r="O424" s="48"/>
    </row>
    <row r="425" spans="2:15" x14ac:dyDescent="0.2">
      <c r="B425" s="47"/>
      <c r="C425" s="47"/>
      <c r="D425" s="78"/>
      <c r="E425" s="47"/>
      <c r="F425" s="47"/>
      <c r="G425" s="47"/>
      <c r="H425" s="47"/>
      <c r="I425" s="48"/>
      <c r="J425" s="47"/>
      <c r="K425" s="47"/>
      <c r="L425" s="47"/>
      <c r="M425" s="47"/>
      <c r="N425" s="48"/>
      <c r="O425" s="48"/>
    </row>
    <row r="426" spans="2:15" x14ac:dyDescent="0.2">
      <c r="B426" s="47"/>
      <c r="C426" s="47"/>
      <c r="D426" s="78"/>
      <c r="E426" s="47"/>
      <c r="F426" s="47"/>
      <c r="G426" s="47"/>
      <c r="H426" s="47"/>
      <c r="I426" s="48"/>
      <c r="J426" s="47"/>
      <c r="K426" s="47"/>
      <c r="L426" s="47"/>
      <c r="M426" s="47"/>
      <c r="N426" s="48"/>
      <c r="O426" s="48"/>
    </row>
    <row r="427" spans="2:15" x14ac:dyDescent="0.2">
      <c r="B427" s="47"/>
      <c r="C427" s="47"/>
      <c r="D427" s="78"/>
      <c r="E427" s="47"/>
      <c r="F427" s="47"/>
      <c r="G427" s="47"/>
      <c r="H427" s="47"/>
      <c r="I427" s="48"/>
      <c r="J427" s="47"/>
      <c r="K427" s="47"/>
      <c r="L427" s="47"/>
      <c r="M427" s="47"/>
      <c r="N427" s="48"/>
      <c r="O427" s="48"/>
    </row>
    <row r="428" spans="2:15" x14ac:dyDescent="0.2">
      <c r="B428" s="47"/>
      <c r="C428" s="47"/>
      <c r="D428" s="78"/>
      <c r="E428" s="47"/>
      <c r="F428" s="47"/>
      <c r="G428" s="47"/>
      <c r="H428" s="47"/>
      <c r="I428" s="48"/>
      <c r="J428" s="47"/>
      <c r="K428" s="47"/>
      <c r="L428" s="47"/>
      <c r="M428" s="47"/>
      <c r="N428" s="48"/>
      <c r="O428" s="48"/>
    </row>
    <row r="429" spans="2:15" x14ac:dyDescent="0.2">
      <c r="B429" s="47"/>
      <c r="C429" s="47"/>
      <c r="D429" s="78"/>
      <c r="E429" s="47"/>
      <c r="F429" s="47"/>
      <c r="G429" s="47"/>
      <c r="H429" s="47"/>
      <c r="I429" s="48"/>
      <c r="J429" s="47"/>
      <c r="K429" s="47"/>
      <c r="L429" s="47"/>
      <c r="M429" s="47"/>
      <c r="N429" s="48"/>
      <c r="O429" s="48"/>
    </row>
    <row r="430" spans="2:15" x14ac:dyDescent="0.2">
      <c r="B430" s="47"/>
      <c r="C430" s="47"/>
      <c r="D430" s="78"/>
      <c r="E430" s="47"/>
      <c r="F430" s="47"/>
      <c r="G430" s="47"/>
      <c r="H430" s="47"/>
      <c r="I430" s="48"/>
      <c r="J430" s="47"/>
      <c r="K430" s="47"/>
      <c r="L430" s="47"/>
      <c r="M430" s="47"/>
      <c r="N430" s="48"/>
      <c r="O430" s="48"/>
    </row>
    <row r="431" spans="2:15" x14ac:dyDescent="0.2">
      <c r="B431" s="47"/>
      <c r="C431" s="47"/>
      <c r="D431" s="78"/>
      <c r="E431" s="47"/>
      <c r="F431" s="47"/>
      <c r="G431" s="47"/>
      <c r="H431" s="47"/>
      <c r="I431" s="48"/>
      <c r="J431" s="47"/>
      <c r="K431" s="47"/>
      <c r="L431" s="47"/>
      <c r="M431" s="47"/>
      <c r="N431" s="48"/>
      <c r="O431" s="48"/>
    </row>
    <row r="432" spans="2:15" x14ac:dyDescent="0.2">
      <c r="B432" s="47"/>
      <c r="C432" s="47"/>
      <c r="D432" s="78"/>
      <c r="E432" s="47"/>
      <c r="F432" s="47"/>
      <c r="G432" s="47"/>
      <c r="H432" s="47"/>
      <c r="I432" s="48"/>
      <c r="J432" s="47"/>
      <c r="K432" s="47"/>
      <c r="L432" s="47"/>
      <c r="M432" s="47"/>
      <c r="N432" s="48"/>
      <c r="O432" s="48"/>
    </row>
    <row r="433" spans="2:15" x14ac:dyDescent="0.2">
      <c r="B433" s="47"/>
      <c r="C433" s="47"/>
      <c r="D433" s="78"/>
      <c r="E433" s="47"/>
      <c r="F433" s="47"/>
      <c r="G433" s="47"/>
      <c r="H433" s="47"/>
      <c r="I433" s="48"/>
      <c r="J433" s="47"/>
      <c r="K433" s="47"/>
      <c r="L433" s="47"/>
      <c r="M433" s="47"/>
      <c r="N433" s="48"/>
      <c r="O433" s="48"/>
    </row>
    <row r="434" spans="2:15" x14ac:dyDescent="0.2">
      <c r="B434" s="47"/>
      <c r="C434" s="47"/>
      <c r="D434" s="78"/>
      <c r="E434" s="47"/>
      <c r="F434" s="47"/>
      <c r="G434" s="47"/>
      <c r="H434" s="47"/>
      <c r="I434" s="48"/>
      <c r="J434" s="47"/>
      <c r="K434" s="47"/>
      <c r="L434" s="47"/>
      <c r="M434" s="47"/>
      <c r="N434" s="48"/>
      <c r="O434" s="48"/>
    </row>
    <row r="435" spans="2:15" x14ac:dyDescent="0.2">
      <c r="B435" s="47"/>
      <c r="C435" s="47"/>
      <c r="D435" s="78"/>
      <c r="E435" s="47"/>
      <c r="F435" s="47"/>
      <c r="G435" s="47"/>
      <c r="H435" s="47"/>
      <c r="I435" s="48"/>
      <c r="J435" s="47"/>
      <c r="K435" s="47"/>
      <c r="L435" s="47"/>
      <c r="M435" s="47"/>
      <c r="N435" s="48"/>
      <c r="O435" s="48"/>
    </row>
    <row r="436" spans="2:15" x14ac:dyDescent="0.2">
      <c r="B436" s="47"/>
      <c r="C436" s="47"/>
      <c r="D436" s="78"/>
      <c r="E436" s="47"/>
      <c r="F436" s="47"/>
      <c r="G436" s="47"/>
      <c r="H436" s="47"/>
      <c r="I436" s="48"/>
      <c r="J436" s="47"/>
      <c r="K436" s="47"/>
      <c r="L436" s="47"/>
      <c r="M436" s="47"/>
      <c r="N436" s="48"/>
      <c r="O436" s="48"/>
    </row>
    <row r="437" spans="2:15" x14ac:dyDescent="0.2">
      <c r="B437" s="47"/>
      <c r="C437" s="47"/>
      <c r="D437" s="78"/>
      <c r="E437" s="47"/>
      <c r="F437" s="47"/>
      <c r="G437" s="47"/>
      <c r="H437" s="47"/>
      <c r="I437" s="48"/>
      <c r="J437" s="47"/>
      <c r="K437" s="47"/>
      <c r="L437" s="47"/>
      <c r="M437" s="47"/>
      <c r="N437" s="48"/>
      <c r="O437" s="48"/>
    </row>
    <row r="438" spans="2:15" x14ac:dyDescent="0.2">
      <c r="B438" s="47"/>
      <c r="C438" s="47"/>
      <c r="D438" s="78"/>
      <c r="E438" s="47"/>
      <c r="F438" s="47"/>
      <c r="G438" s="47"/>
      <c r="H438" s="47"/>
      <c r="I438" s="48"/>
      <c r="J438" s="47"/>
      <c r="K438" s="47"/>
      <c r="L438" s="47"/>
      <c r="M438" s="47"/>
      <c r="N438" s="48"/>
      <c r="O438" s="48"/>
    </row>
    <row r="439" spans="2:15" x14ac:dyDescent="0.2">
      <c r="B439" s="47"/>
      <c r="C439" s="47"/>
      <c r="D439" s="78"/>
      <c r="E439" s="47"/>
      <c r="F439" s="47"/>
      <c r="G439" s="47"/>
      <c r="H439" s="47"/>
      <c r="I439" s="48"/>
      <c r="J439" s="47"/>
      <c r="K439" s="47"/>
      <c r="L439" s="47"/>
      <c r="M439" s="47"/>
      <c r="N439" s="48"/>
      <c r="O439" s="48"/>
    </row>
    <row r="440" spans="2:15" x14ac:dyDescent="0.2">
      <c r="B440" s="47"/>
      <c r="C440" s="47"/>
      <c r="D440" s="78"/>
      <c r="E440" s="47"/>
      <c r="F440" s="47"/>
      <c r="G440" s="47"/>
      <c r="H440" s="47"/>
      <c r="I440" s="48"/>
      <c r="J440" s="47"/>
      <c r="K440" s="47"/>
      <c r="L440" s="47"/>
      <c r="M440" s="47"/>
      <c r="N440" s="48"/>
      <c r="O440" s="48"/>
    </row>
    <row r="441" spans="2:15" x14ac:dyDescent="0.2">
      <c r="B441" s="47"/>
      <c r="C441" s="47"/>
      <c r="D441" s="78"/>
      <c r="E441" s="47"/>
      <c r="F441" s="47"/>
      <c r="G441" s="47"/>
      <c r="H441" s="47"/>
      <c r="I441" s="48"/>
      <c r="J441" s="47"/>
      <c r="K441" s="47"/>
      <c r="L441" s="47"/>
      <c r="M441" s="47"/>
      <c r="N441" s="48"/>
      <c r="O441" s="48"/>
    </row>
    <row r="442" spans="2:15" x14ac:dyDescent="0.2">
      <c r="B442" s="47"/>
      <c r="C442" s="47"/>
      <c r="D442" s="78"/>
      <c r="E442" s="47"/>
      <c r="F442" s="47"/>
      <c r="G442" s="47"/>
      <c r="H442" s="47"/>
      <c r="I442" s="48"/>
      <c r="J442" s="47"/>
      <c r="K442" s="47"/>
      <c r="L442" s="47"/>
      <c r="M442" s="47"/>
      <c r="N442" s="48"/>
      <c r="O442" s="48"/>
    </row>
    <row r="443" spans="2:15" x14ac:dyDescent="0.2">
      <c r="B443" s="47"/>
      <c r="C443" s="47"/>
      <c r="D443" s="78"/>
      <c r="E443" s="47"/>
      <c r="F443" s="47"/>
      <c r="G443" s="47"/>
      <c r="H443" s="47"/>
      <c r="I443" s="48"/>
      <c r="J443" s="47"/>
      <c r="K443" s="47"/>
      <c r="L443" s="47"/>
      <c r="M443" s="47"/>
      <c r="N443" s="48"/>
      <c r="O443" s="48"/>
    </row>
    <row r="444" spans="2:15" x14ac:dyDescent="0.2">
      <c r="B444" s="47"/>
      <c r="C444" s="47"/>
      <c r="D444" s="78"/>
      <c r="E444" s="47"/>
      <c r="F444" s="47"/>
      <c r="G444" s="47"/>
      <c r="H444" s="47"/>
      <c r="I444" s="48"/>
      <c r="J444" s="47"/>
      <c r="K444" s="47"/>
      <c r="L444" s="47"/>
      <c r="M444" s="47"/>
      <c r="N444" s="48"/>
      <c r="O444" s="48"/>
    </row>
    <row r="445" spans="2:15" x14ac:dyDescent="0.2">
      <c r="B445" s="47"/>
      <c r="C445" s="47"/>
      <c r="D445" s="78"/>
      <c r="E445" s="47"/>
      <c r="F445" s="47"/>
      <c r="G445" s="47"/>
      <c r="H445" s="47"/>
      <c r="I445" s="48"/>
      <c r="J445" s="47"/>
      <c r="K445" s="47"/>
      <c r="L445" s="47"/>
      <c r="M445" s="47"/>
      <c r="N445" s="48"/>
      <c r="O445" s="48"/>
    </row>
    <row r="446" spans="2:15" x14ac:dyDescent="0.2">
      <c r="B446" s="47"/>
      <c r="C446" s="47"/>
      <c r="D446" s="78"/>
      <c r="E446" s="47"/>
      <c r="F446" s="47"/>
      <c r="G446" s="47"/>
      <c r="H446" s="47"/>
      <c r="I446" s="48"/>
      <c r="J446" s="47"/>
      <c r="K446" s="47"/>
      <c r="L446" s="47"/>
      <c r="M446" s="47"/>
      <c r="N446" s="48"/>
      <c r="O446" s="48"/>
    </row>
    <row r="447" spans="2:15" x14ac:dyDescent="0.2">
      <c r="B447" s="47"/>
      <c r="C447" s="47"/>
      <c r="D447" s="78"/>
      <c r="E447" s="47"/>
      <c r="F447" s="47"/>
      <c r="G447" s="47"/>
      <c r="H447" s="47"/>
      <c r="I447" s="48"/>
      <c r="J447" s="47"/>
      <c r="K447" s="47"/>
      <c r="L447" s="47"/>
      <c r="M447" s="47"/>
      <c r="N447" s="48"/>
      <c r="O447" s="48"/>
    </row>
    <row r="448" spans="2:15" x14ac:dyDescent="0.2">
      <c r="B448" s="47"/>
      <c r="C448" s="47"/>
      <c r="D448" s="78"/>
      <c r="E448" s="47"/>
      <c r="F448" s="47"/>
      <c r="G448" s="47"/>
      <c r="H448" s="47"/>
      <c r="I448" s="48"/>
      <c r="J448" s="47"/>
      <c r="K448" s="47"/>
      <c r="L448" s="47"/>
      <c r="M448" s="47"/>
      <c r="N448" s="48"/>
      <c r="O448" s="48"/>
    </row>
    <row r="449" spans="2:15" x14ac:dyDescent="0.2">
      <c r="B449" s="47"/>
      <c r="C449" s="47"/>
      <c r="D449" s="78"/>
      <c r="E449" s="47"/>
      <c r="F449" s="47"/>
      <c r="G449" s="47"/>
      <c r="H449" s="47"/>
      <c r="I449" s="48"/>
      <c r="J449" s="47"/>
      <c r="K449" s="47"/>
      <c r="L449" s="47"/>
      <c r="M449" s="47"/>
      <c r="N449" s="48"/>
      <c r="O449" s="48"/>
    </row>
    <row r="450" spans="2:15" x14ac:dyDescent="0.2">
      <c r="B450" s="47"/>
      <c r="C450" s="47"/>
      <c r="D450" s="78"/>
      <c r="E450" s="47"/>
      <c r="F450" s="47"/>
      <c r="G450" s="47"/>
      <c r="H450" s="47"/>
      <c r="I450" s="48"/>
      <c r="J450" s="47"/>
      <c r="K450" s="47"/>
      <c r="L450" s="47"/>
      <c r="M450" s="47"/>
      <c r="N450" s="48"/>
      <c r="O450" s="48"/>
    </row>
    <row r="451" spans="2:15" x14ac:dyDescent="0.2">
      <c r="B451" s="47"/>
      <c r="C451" s="47"/>
      <c r="D451" s="78"/>
      <c r="E451" s="47"/>
      <c r="F451" s="47"/>
      <c r="G451" s="47"/>
      <c r="H451" s="47"/>
      <c r="I451" s="48"/>
      <c r="J451" s="47"/>
      <c r="K451" s="47"/>
      <c r="L451" s="47"/>
      <c r="M451" s="47"/>
      <c r="N451" s="48"/>
      <c r="O451" s="48"/>
    </row>
    <row r="452" spans="2:15" x14ac:dyDescent="0.2">
      <c r="B452" s="47"/>
      <c r="C452" s="47"/>
      <c r="D452" s="78"/>
      <c r="E452" s="47"/>
      <c r="F452" s="47"/>
      <c r="G452" s="47"/>
      <c r="H452" s="47"/>
      <c r="I452" s="48"/>
      <c r="J452" s="47"/>
      <c r="K452" s="47"/>
      <c r="L452" s="47"/>
      <c r="M452" s="47"/>
      <c r="N452" s="48"/>
      <c r="O452" s="48"/>
    </row>
    <row r="453" spans="2:15" x14ac:dyDescent="0.2">
      <c r="B453" s="47"/>
      <c r="C453" s="47"/>
      <c r="D453" s="78"/>
      <c r="E453" s="47"/>
      <c r="F453" s="47"/>
      <c r="G453" s="47"/>
      <c r="H453" s="47"/>
      <c r="I453" s="48"/>
      <c r="J453" s="47"/>
      <c r="K453" s="47"/>
      <c r="L453" s="47"/>
      <c r="M453" s="47"/>
      <c r="N453" s="48"/>
      <c r="O453" s="48"/>
    </row>
    <row r="454" spans="2:15" x14ac:dyDescent="0.2">
      <c r="B454" s="47"/>
      <c r="C454" s="47"/>
      <c r="D454" s="78"/>
      <c r="E454" s="47"/>
      <c r="F454" s="47"/>
      <c r="G454" s="47"/>
      <c r="H454" s="47"/>
      <c r="I454" s="48"/>
      <c r="J454" s="47"/>
      <c r="K454" s="47"/>
      <c r="L454" s="47"/>
      <c r="M454" s="47"/>
      <c r="N454" s="48"/>
      <c r="O454" s="48"/>
    </row>
    <row r="455" spans="2:15" x14ac:dyDescent="0.2">
      <c r="B455" s="47"/>
      <c r="C455" s="47"/>
      <c r="D455" s="78"/>
      <c r="E455" s="47"/>
      <c r="F455" s="47"/>
      <c r="G455" s="47"/>
      <c r="H455" s="47"/>
      <c r="I455" s="48"/>
      <c r="J455" s="47"/>
      <c r="K455" s="47"/>
      <c r="L455" s="47"/>
      <c r="M455" s="47"/>
      <c r="N455" s="48"/>
      <c r="O455" s="48"/>
    </row>
    <row r="456" spans="2:15" x14ac:dyDescent="0.2">
      <c r="B456" s="47"/>
      <c r="C456" s="47"/>
      <c r="D456" s="78"/>
      <c r="E456" s="47"/>
      <c r="F456" s="47"/>
      <c r="G456" s="47"/>
      <c r="H456" s="47"/>
      <c r="I456" s="48"/>
      <c r="J456" s="47"/>
      <c r="K456" s="47"/>
      <c r="L456" s="47"/>
      <c r="M456" s="47"/>
      <c r="N456" s="48"/>
      <c r="O456" s="48"/>
    </row>
    <row r="457" spans="2:15" x14ac:dyDescent="0.2">
      <c r="B457" s="47"/>
      <c r="C457" s="47"/>
      <c r="D457" s="78"/>
      <c r="E457" s="47"/>
      <c r="F457" s="47"/>
      <c r="G457" s="47"/>
      <c r="H457" s="47"/>
      <c r="I457" s="48"/>
      <c r="J457" s="47"/>
      <c r="K457" s="47"/>
      <c r="L457" s="47"/>
      <c r="M457" s="47"/>
      <c r="N457" s="48"/>
      <c r="O457" s="48"/>
    </row>
    <row r="458" spans="2:15" x14ac:dyDescent="0.2">
      <c r="B458" s="47"/>
      <c r="C458" s="47"/>
      <c r="D458" s="78"/>
      <c r="E458" s="47"/>
      <c r="F458" s="47"/>
      <c r="G458" s="47"/>
      <c r="H458" s="47"/>
      <c r="I458" s="48"/>
      <c r="J458" s="47"/>
      <c r="K458" s="47"/>
      <c r="L458" s="47"/>
      <c r="M458" s="47"/>
      <c r="N458" s="48"/>
      <c r="O458" s="48"/>
    </row>
    <row r="459" spans="2:15" x14ac:dyDescent="0.2">
      <c r="B459" s="47"/>
      <c r="C459" s="47"/>
      <c r="D459" s="78"/>
      <c r="E459" s="47"/>
      <c r="F459" s="47"/>
      <c r="G459" s="47"/>
      <c r="H459" s="47"/>
      <c r="I459" s="48"/>
      <c r="J459" s="47"/>
      <c r="K459" s="47"/>
      <c r="L459" s="47"/>
      <c r="M459" s="47"/>
      <c r="N459" s="48"/>
      <c r="O459" s="48"/>
    </row>
    <row r="460" spans="2:15" x14ac:dyDescent="0.2">
      <c r="B460" s="47"/>
      <c r="C460" s="47"/>
      <c r="D460" s="78"/>
      <c r="E460" s="47"/>
      <c r="F460" s="47"/>
      <c r="G460" s="47"/>
      <c r="H460" s="47"/>
      <c r="I460" s="48"/>
      <c r="J460" s="47"/>
      <c r="K460" s="47"/>
      <c r="L460" s="47"/>
      <c r="M460" s="47"/>
      <c r="N460" s="48"/>
      <c r="O460" s="48"/>
    </row>
    <row r="461" spans="2:15" x14ac:dyDescent="0.2">
      <c r="B461" s="47"/>
      <c r="C461" s="47"/>
      <c r="D461" s="78"/>
      <c r="E461" s="47"/>
      <c r="F461" s="47"/>
      <c r="G461" s="47"/>
      <c r="H461" s="47"/>
      <c r="I461" s="48"/>
      <c r="J461" s="47"/>
      <c r="K461" s="47"/>
      <c r="L461" s="47"/>
      <c r="M461" s="47"/>
      <c r="N461" s="48"/>
      <c r="O461" s="48"/>
    </row>
    <row r="462" spans="2:15" x14ac:dyDescent="0.2">
      <c r="B462" s="47"/>
      <c r="C462" s="47"/>
      <c r="D462" s="78"/>
      <c r="E462" s="47"/>
      <c r="F462" s="47"/>
      <c r="G462" s="47"/>
      <c r="H462" s="47"/>
      <c r="I462" s="48"/>
      <c r="J462" s="47"/>
      <c r="K462" s="47"/>
      <c r="L462" s="47"/>
      <c r="M462" s="47"/>
      <c r="N462" s="48"/>
      <c r="O462" s="48"/>
    </row>
    <row r="463" spans="2:15" x14ac:dyDescent="0.2">
      <c r="B463" s="47"/>
      <c r="C463" s="47"/>
      <c r="D463" s="78"/>
      <c r="E463" s="47"/>
      <c r="F463" s="47"/>
      <c r="G463" s="47"/>
      <c r="H463" s="47"/>
      <c r="I463" s="48"/>
      <c r="J463" s="47"/>
      <c r="K463" s="47"/>
      <c r="L463" s="47"/>
      <c r="M463" s="47"/>
      <c r="N463" s="48"/>
      <c r="O463" s="48"/>
    </row>
    <row r="464" spans="2:15" x14ac:dyDescent="0.2">
      <c r="B464" s="47"/>
      <c r="C464" s="47"/>
      <c r="D464" s="78"/>
      <c r="E464" s="47"/>
      <c r="F464" s="47"/>
      <c r="G464" s="47"/>
      <c r="H464" s="47"/>
      <c r="I464" s="48"/>
      <c r="J464" s="47"/>
      <c r="K464" s="47"/>
      <c r="L464" s="47"/>
      <c r="M464" s="47"/>
      <c r="N464" s="48"/>
      <c r="O464" s="48"/>
    </row>
    <row r="465" spans="2:15" x14ac:dyDescent="0.2">
      <c r="B465" s="47"/>
      <c r="C465" s="47"/>
      <c r="D465" s="78"/>
      <c r="E465" s="47"/>
      <c r="F465" s="47"/>
      <c r="G465" s="47"/>
      <c r="H465" s="47"/>
      <c r="I465" s="48"/>
      <c r="J465" s="47"/>
      <c r="K465" s="47"/>
      <c r="L465" s="47"/>
      <c r="M465" s="47"/>
      <c r="N465" s="48"/>
      <c r="O465" s="48"/>
    </row>
    <row r="466" spans="2:15" x14ac:dyDescent="0.2">
      <c r="B466" s="47"/>
      <c r="C466" s="47"/>
      <c r="D466" s="78"/>
      <c r="E466" s="47"/>
      <c r="F466" s="47"/>
      <c r="G466" s="47"/>
      <c r="H466" s="47"/>
      <c r="I466" s="48"/>
      <c r="J466" s="47"/>
      <c r="K466" s="47"/>
      <c r="L466" s="47"/>
      <c r="M466" s="47"/>
      <c r="N466" s="48"/>
      <c r="O466" s="48"/>
    </row>
    <row r="467" spans="2:15" x14ac:dyDescent="0.2">
      <c r="B467" s="47"/>
      <c r="C467" s="47"/>
      <c r="D467" s="78"/>
      <c r="E467" s="47"/>
      <c r="F467" s="47"/>
      <c r="G467" s="47"/>
      <c r="H467" s="47"/>
      <c r="I467" s="48"/>
      <c r="J467" s="47"/>
      <c r="K467" s="47"/>
      <c r="L467" s="47"/>
      <c r="M467" s="47"/>
      <c r="N467" s="48"/>
      <c r="O467" s="48"/>
    </row>
    <row r="468" spans="2:15" x14ac:dyDescent="0.2">
      <c r="B468" s="47"/>
      <c r="C468" s="47"/>
      <c r="D468" s="78"/>
      <c r="E468" s="47"/>
      <c r="F468" s="47"/>
      <c r="G468" s="47"/>
      <c r="H468" s="47"/>
      <c r="I468" s="48"/>
      <c r="J468" s="47"/>
      <c r="K468" s="47"/>
      <c r="L468" s="47"/>
      <c r="M468" s="47"/>
      <c r="N468" s="48"/>
      <c r="O468" s="48"/>
    </row>
    <row r="469" spans="2:15" x14ac:dyDescent="0.2">
      <c r="B469" s="47"/>
      <c r="C469" s="47"/>
      <c r="D469" s="78"/>
      <c r="E469" s="47"/>
      <c r="F469" s="47"/>
      <c r="G469" s="47"/>
      <c r="H469" s="47"/>
      <c r="I469" s="48"/>
      <c r="J469" s="47"/>
      <c r="K469" s="47"/>
      <c r="L469" s="47"/>
      <c r="M469" s="47"/>
      <c r="N469" s="48"/>
      <c r="O469" s="48"/>
    </row>
    <row r="470" spans="2:15" x14ac:dyDescent="0.2">
      <c r="B470" s="47"/>
      <c r="C470" s="47"/>
      <c r="D470" s="78"/>
      <c r="E470" s="47"/>
      <c r="F470" s="47"/>
      <c r="G470" s="47"/>
      <c r="H470" s="47"/>
      <c r="I470" s="48"/>
      <c r="J470" s="47"/>
      <c r="K470" s="47"/>
      <c r="L470" s="47"/>
      <c r="M470" s="47"/>
      <c r="N470" s="48"/>
      <c r="O470" s="48"/>
    </row>
    <row r="471" spans="2:15" x14ac:dyDescent="0.2">
      <c r="B471" s="47"/>
      <c r="C471" s="47"/>
      <c r="D471" s="78"/>
      <c r="E471" s="47"/>
      <c r="F471" s="47"/>
      <c r="G471" s="47"/>
      <c r="H471" s="47"/>
      <c r="I471" s="48"/>
      <c r="J471" s="47"/>
      <c r="K471" s="47"/>
      <c r="L471" s="47"/>
      <c r="M471" s="47"/>
      <c r="N471" s="48"/>
      <c r="O471" s="48"/>
    </row>
    <row r="472" spans="2:15" x14ac:dyDescent="0.2">
      <c r="B472" s="47"/>
      <c r="C472" s="47"/>
      <c r="D472" s="78"/>
      <c r="E472" s="47"/>
      <c r="F472" s="47"/>
      <c r="G472" s="47"/>
      <c r="H472" s="47"/>
      <c r="I472" s="48"/>
      <c r="J472" s="47"/>
      <c r="K472" s="47"/>
      <c r="L472" s="47"/>
      <c r="M472" s="47"/>
      <c r="N472" s="48"/>
      <c r="O472" s="48"/>
    </row>
    <row r="473" spans="2:15" x14ac:dyDescent="0.2">
      <c r="B473" s="47"/>
      <c r="C473" s="47"/>
      <c r="D473" s="78"/>
      <c r="E473" s="47"/>
      <c r="F473" s="47"/>
      <c r="G473" s="47"/>
      <c r="H473" s="47"/>
      <c r="I473" s="48"/>
      <c r="J473" s="47"/>
      <c r="K473" s="47"/>
      <c r="L473" s="47"/>
      <c r="M473" s="47"/>
      <c r="N473" s="48"/>
      <c r="O473" s="48"/>
    </row>
    <row r="474" spans="2:15" x14ac:dyDescent="0.2">
      <c r="B474" s="47"/>
      <c r="C474" s="47"/>
      <c r="D474" s="78"/>
      <c r="E474" s="47"/>
      <c r="F474" s="47"/>
      <c r="G474" s="47"/>
      <c r="H474" s="47"/>
      <c r="I474" s="48"/>
      <c r="J474" s="47"/>
      <c r="K474" s="47"/>
      <c r="L474" s="47"/>
      <c r="M474" s="47"/>
      <c r="N474" s="48"/>
      <c r="O474" s="48"/>
    </row>
    <row r="475" spans="2:15" x14ac:dyDescent="0.2">
      <c r="B475" s="47"/>
      <c r="C475" s="47"/>
      <c r="D475" s="78"/>
      <c r="E475" s="47"/>
      <c r="F475" s="47"/>
      <c r="G475" s="47"/>
      <c r="H475" s="47"/>
      <c r="I475" s="48"/>
      <c r="J475" s="47"/>
      <c r="K475" s="47"/>
      <c r="L475" s="47"/>
      <c r="M475" s="47"/>
      <c r="N475" s="48"/>
      <c r="O475" s="48"/>
    </row>
    <row r="476" spans="2:15" x14ac:dyDescent="0.2">
      <c r="B476" s="47"/>
      <c r="C476" s="47"/>
      <c r="D476" s="78"/>
      <c r="E476" s="47"/>
      <c r="F476" s="47"/>
      <c r="G476" s="47"/>
      <c r="H476" s="47"/>
      <c r="I476" s="48"/>
      <c r="J476" s="47"/>
      <c r="K476" s="47"/>
      <c r="L476" s="47"/>
      <c r="M476" s="47"/>
      <c r="N476" s="48"/>
      <c r="O476" s="48"/>
    </row>
    <row r="477" spans="2:15" x14ac:dyDescent="0.2">
      <c r="B477" s="47"/>
      <c r="C477" s="47"/>
      <c r="D477" s="78"/>
      <c r="E477" s="47"/>
      <c r="F477" s="47"/>
      <c r="G477" s="47"/>
      <c r="H477" s="47"/>
      <c r="I477" s="48"/>
      <c r="J477" s="47"/>
      <c r="K477" s="47"/>
      <c r="L477" s="47"/>
      <c r="M477" s="47"/>
      <c r="N477" s="48"/>
      <c r="O477" s="48"/>
    </row>
    <row r="478" spans="2:15" x14ac:dyDescent="0.2">
      <c r="B478" s="47"/>
      <c r="C478" s="47"/>
      <c r="D478" s="78"/>
      <c r="E478" s="47"/>
      <c r="F478" s="47"/>
      <c r="G478" s="47"/>
      <c r="H478" s="47"/>
      <c r="I478" s="48"/>
      <c r="J478" s="47"/>
      <c r="K478" s="47"/>
      <c r="L478" s="47"/>
      <c r="M478" s="47"/>
      <c r="N478" s="48"/>
      <c r="O478" s="48"/>
    </row>
    <row r="479" spans="2:15" x14ac:dyDescent="0.2">
      <c r="B479" s="47"/>
      <c r="C479" s="47"/>
      <c r="D479" s="78"/>
      <c r="E479" s="47"/>
      <c r="F479" s="47"/>
      <c r="G479" s="47"/>
      <c r="H479" s="47"/>
      <c r="I479" s="48"/>
      <c r="J479" s="47"/>
      <c r="K479" s="47"/>
      <c r="L479" s="47"/>
      <c r="M479" s="47"/>
      <c r="N479" s="48"/>
      <c r="O479" s="48"/>
    </row>
    <row r="480" spans="2:15" x14ac:dyDescent="0.2">
      <c r="B480" s="47"/>
      <c r="C480" s="47"/>
      <c r="D480" s="78"/>
      <c r="E480" s="47"/>
      <c r="F480" s="47"/>
      <c r="G480" s="47"/>
      <c r="H480" s="47"/>
      <c r="I480" s="48"/>
      <c r="J480" s="47"/>
      <c r="K480" s="47"/>
      <c r="L480" s="47"/>
      <c r="M480" s="47"/>
      <c r="N480" s="48"/>
      <c r="O480" s="48"/>
    </row>
    <row r="481" spans="2:15" x14ac:dyDescent="0.2">
      <c r="B481" s="47"/>
      <c r="C481" s="47"/>
      <c r="D481" s="78"/>
      <c r="E481" s="47"/>
      <c r="F481" s="47"/>
      <c r="G481" s="47"/>
      <c r="H481" s="47"/>
      <c r="I481" s="48"/>
      <c r="J481" s="47"/>
      <c r="K481" s="47"/>
      <c r="L481" s="47"/>
      <c r="M481" s="47"/>
      <c r="N481" s="48"/>
      <c r="O481" s="48"/>
    </row>
    <row r="482" spans="2:15" x14ac:dyDescent="0.2">
      <c r="B482" s="47"/>
      <c r="C482" s="47"/>
      <c r="D482" s="78"/>
      <c r="E482" s="47"/>
      <c r="F482" s="47"/>
      <c r="G482" s="47"/>
      <c r="H482" s="47"/>
      <c r="I482" s="48"/>
      <c r="J482" s="47"/>
      <c r="K482" s="47"/>
      <c r="L482" s="47"/>
      <c r="M482" s="47"/>
      <c r="N482" s="48"/>
      <c r="O482" s="48"/>
    </row>
    <row r="483" spans="2:15" x14ac:dyDescent="0.2">
      <c r="B483" s="47"/>
      <c r="C483" s="47"/>
      <c r="D483" s="78"/>
      <c r="E483" s="47"/>
      <c r="F483" s="47"/>
      <c r="G483" s="47"/>
      <c r="H483" s="47"/>
      <c r="I483" s="48"/>
      <c r="J483" s="47"/>
      <c r="K483" s="47"/>
      <c r="L483" s="47"/>
      <c r="M483" s="47"/>
      <c r="N483" s="48"/>
      <c r="O483" s="48"/>
    </row>
    <row r="484" spans="2:15" x14ac:dyDescent="0.2">
      <c r="B484" s="47"/>
      <c r="C484" s="47"/>
      <c r="D484" s="78"/>
      <c r="E484" s="47"/>
      <c r="F484" s="47"/>
      <c r="G484" s="47"/>
      <c r="H484" s="47"/>
      <c r="I484" s="48"/>
      <c r="J484" s="47"/>
      <c r="K484" s="47"/>
      <c r="L484" s="47"/>
      <c r="M484" s="47"/>
      <c r="N484" s="48"/>
      <c r="O484" s="48"/>
    </row>
    <row r="485" spans="2:15" x14ac:dyDescent="0.2">
      <c r="B485" s="47"/>
      <c r="C485" s="47"/>
      <c r="D485" s="78"/>
      <c r="E485" s="47"/>
      <c r="F485" s="47"/>
      <c r="G485" s="47"/>
      <c r="H485" s="47"/>
      <c r="I485" s="48"/>
      <c r="J485" s="47"/>
      <c r="K485" s="47"/>
      <c r="L485" s="47"/>
      <c r="M485" s="47"/>
      <c r="N485" s="48"/>
      <c r="O485" s="48"/>
    </row>
    <row r="486" spans="2:15" x14ac:dyDescent="0.2">
      <c r="B486" s="47"/>
      <c r="C486" s="47"/>
      <c r="D486" s="78"/>
      <c r="E486" s="47"/>
      <c r="F486" s="47"/>
      <c r="G486" s="47"/>
      <c r="H486" s="47"/>
      <c r="I486" s="48"/>
      <c r="J486" s="47"/>
      <c r="K486" s="47"/>
      <c r="L486" s="47"/>
      <c r="M486" s="47"/>
      <c r="N486" s="48"/>
      <c r="O486" s="48"/>
    </row>
    <row r="487" spans="2:15" x14ac:dyDescent="0.2">
      <c r="B487" s="47"/>
      <c r="C487" s="47"/>
      <c r="D487" s="78"/>
      <c r="E487" s="47"/>
      <c r="F487" s="47"/>
      <c r="G487" s="47"/>
      <c r="H487" s="47"/>
      <c r="I487" s="48"/>
      <c r="J487" s="47"/>
      <c r="K487" s="47"/>
      <c r="L487" s="47"/>
      <c r="M487" s="47"/>
      <c r="N487" s="48"/>
      <c r="O487" s="48"/>
    </row>
    <row r="488" spans="2:15" x14ac:dyDescent="0.2">
      <c r="B488" s="47"/>
      <c r="C488" s="47"/>
      <c r="D488" s="78"/>
      <c r="E488" s="47"/>
      <c r="F488" s="47"/>
      <c r="G488" s="47"/>
      <c r="H488" s="47"/>
      <c r="I488" s="48"/>
      <c r="J488" s="47"/>
      <c r="K488" s="47"/>
      <c r="L488" s="47"/>
      <c r="M488" s="47"/>
      <c r="N488" s="48"/>
      <c r="O488" s="48"/>
    </row>
    <row r="489" spans="2:15" x14ac:dyDescent="0.2">
      <c r="B489" s="47"/>
      <c r="C489" s="47"/>
      <c r="D489" s="78"/>
      <c r="E489" s="47"/>
      <c r="F489" s="47"/>
      <c r="G489" s="47"/>
      <c r="H489" s="47"/>
      <c r="I489" s="48"/>
      <c r="J489" s="47"/>
      <c r="K489" s="47"/>
      <c r="L489" s="47"/>
      <c r="M489" s="47"/>
      <c r="N489" s="48"/>
      <c r="O489" s="48"/>
    </row>
    <row r="490" spans="2:15" x14ac:dyDescent="0.2">
      <c r="B490" s="47"/>
      <c r="C490" s="47"/>
      <c r="D490" s="78"/>
      <c r="E490" s="47"/>
      <c r="F490" s="47"/>
      <c r="G490" s="47"/>
      <c r="H490" s="47"/>
      <c r="I490" s="48"/>
      <c r="J490" s="47"/>
      <c r="K490" s="47"/>
      <c r="L490" s="47"/>
      <c r="M490" s="47"/>
      <c r="N490" s="48"/>
      <c r="O490" s="48"/>
    </row>
    <row r="491" spans="2:15" x14ac:dyDescent="0.2">
      <c r="B491" s="47"/>
      <c r="C491" s="47"/>
      <c r="D491" s="78"/>
      <c r="E491" s="47"/>
      <c r="F491" s="47"/>
      <c r="G491" s="47"/>
      <c r="H491" s="47"/>
      <c r="I491" s="48"/>
      <c r="J491" s="47"/>
      <c r="K491" s="47"/>
      <c r="L491" s="47"/>
      <c r="M491" s="47"/>
      <c r="N491" s="48"/>
      <c r="O491" s="48"/>
    </row>
    <row r="492" spans="2:15" x14ac:dyDescent="0.2">
      <c r="B492" s="47"/>
      <c r="C492" s="47"/>
      <c r="D492" s="78"/>
      <c r="E492" s="47"/>
      <c r="F492" s="47"/>
      <c r="G492" s="47"/>
      <c r="H492" s="47"/>
      <c r="I492" s="48"/>
      <c r="J492" s="47"/>
      <c r="K492" s="47"/>
      <c r="L492" s="47"/>
      <c r="M492" s="47"/>
      <c r="N492" s="48"/>
      <c r="O492" s="48"/>
    </row>
    <row r="493" spans="2:15" x14ac:dyDescent="0.2">
      <c r="B493" s="47"/>
      <c r="C493" s="47"/>
      <c r="D493" s="78"/>
      <c r="E493" s="47"/>
      <c r="F493" s="47"/>
      <c r="G493" s="47"/>
      <c r="H493" s="47"/>
      <c r="I493" s="48"/>
      <c r="J493" s="47"/>
      <c r="K493" s="47"/>
      <c r="L493" s="47"/>
      <c r="M493" s="47"/>
      <c r="N493" s="48"/>
      <c r="O493" s="48"/>
    </row>
    <row r="494" spans="2:15" x14ac:dyDescent="0.2">
      <c r="B494" s="47"/>
      <c r="C494" s="47"/>
      <c r="D494" s="78"/>
      <c r="E494" s="47"/>
      <c r="F494" s="47"/>
      <c r="G494" s="47"/>
      <c r="H494" s="47"/>
      <c r="I494" s="48"/>
      <c r="J494" s="47"/>
      <c r="K494" s="47"/>
      <c r="L494" s="47"/>
      <c r="M494" s="47"/>
      <c r="N494" s="48"/>
      <c r="O494" s="48"/>
    </row>
    <row r="495" spans="2:15" x14ac:dyDescent="0.2">
      <c r="B495" s="47"/>
      <c r="C495" s="47"/>
      <c r="D495" s="78"/>
      <c r="E495" s="47"/>
      <c r="F495" s="47"/>
      <c r="G495" s="47"/>
      <c r="H495" s="47"/>
      <c r="I495" s="48"/>
      <c r="J495" s="47"/>
      <c r="K495" s="47"/>
      <c r="L495" s="47"/>
      <c r="M495" s="47"/>
      <c r="N495" s="48"/>
      <c r="O495" s="48"/>
    </row>
    <row r="496" spans="2:15" x14ac:dyDescent="0.2">
      <c r="B496" s="47"/>
      <c r="C496" s="47"/>
      <c r="D496" s="78"/>
      <c r="E496" s="47"/>
      <c r="F496" s="47"/>
      <c r="G496" s="47"/>
      <c r="H496" s="47"/>
      <c r="I496" s="48"/>
      <c r="J496" s="47"/>
      <c r="K496" s="47"/>
      <c r="L496" s="47"/>
      <c r="M496" s="47"/>
      <c r="N496" s="48"/>
      <c r="O496" s="48"/>
    </row>
    <row r="497" spans="2:15" x14ac:dyDescent="0.2">
      <c r="B497" s="47"/>
      <c r="C497" s="47"/>
      <c r="D497" s="78"/>
      <c r="E497" s="47"/>
      <c r="F497" s="47"/>
      <c r="G497" s="47"/>
      <c r="H497" s="47"/>
      <c r="I497" s="48"/>
      <c r="J497" s="47"/>
      <c r="K497" s="47"/>
      <c r="L497" s="47"/>
      <c r="M497" s="47"/>
      <c r="N497" s="48"/>
      <c r="O497" s="48"/>
    </row>
    <row r="498" spans="2:15" x14ac:dyDescent="0.2">
      <c r="B498" s="47"/>
      <c r="C498" s="47"/>
      <c r="D498" s="78"/>
      <c r="E498" s="47"/>
      <c r="F498" s="47"/>
      <c r="G498" s="47"/>
      <c r="H498" s="47"/>
      <c r="I498" s="48"/>
      <c r="J498" s="47"/>
      <c r="K498" s="47"/>
      <c r="L498" s="47"/>
      <c r="M498" s="47"/>
      <c r="N498" s="48"/>
      <c r="O498" s="48"/>
    </row>
    <row r="499" spans="2:15" x14ac:dyDescent="0.2">
      <c r="B499" s="47"/>
      <c r="C499" s="47"/>
      <c r="D499" s="78"/>
      <c r="E499" s="47"/>
      <c r="F499" s="47"/>
      <c r="G499" s="47"/>
      <c r="H499" s="47"/>
      <c r="I499" s="48"/>
      <c r="J499" s="47"/>
      <c r="K499" s="47"/>
      <c r="L499" s="47"/>
      <c r="M499" s="47"/>
      <c r="N499" s="48"/>
      <c r="O499" s="48"/>
    </row>
    <row r="500" spans="2:15" x14ac:dyDescent="0.2">
      <c r="B500" s="47"/>
      <c r="C500" s="47"/>
      <c r="D500" s="78"/>
      <c r="E500" s="47"/>
      <c r="F500" s="47"/>
      <c r="G500" s="47"/>
      <c r="H500" s="47"/>
      <c r="I500" s="48"/>
      <c r="J500" s="47"/>
      <c r="K500" s="47"/>
      <c r="L500" s="47"/>
      <c r="M500" s="47"/>
      <c r="N500" s="48"/>
      <c r="O500" s="48"/>
    </row>
    <row r="501" spans="2:15" x14ac:dyDescent="0.2">
      <c r="B501" s="47"/>
      <c r="C501" s="47"/>
      <c r="D501" s="78"/>
      <c r="E501" s="47"/>
      <c r="F501" s="47"/>
      <c r="G501" s="47"/>
      <c r="H501" s="47"/>
      <c r="I501" s="48"/>
      <c r="J501" s="47"/>
      <c r="K501" s="47"/>
      <c r="L501" s="47"/>
      <c r="M501" s="47"/>
      <c r="N501" s="48"/>
      <c r="O501" s="48"/>
    </row>
    <row r="502" spans="2:15" x14ac:dyDescent="0.2">
      <c r="B502" s="47"/>
      <c r="C502" s="47"/>
      <c r="D502" s="78"/>
      <c r="E502" s="47"/>
      <c r="F502" s="47"/>
      <c r="G502" s="47"/>
      <c r="H502" s="47"/>
      <c r="I502" s="48"/>
      <c r="J502" s="47"/>
      <c r="K502" s="47"/>
      <c r="L502" s="47"/>
      <c r="M502" s="47"/>
      <c r="N502" s="48"/>
      <c r="O502" s="48"/>
    </row>
    <row r="503" spans="2:15" x14ac:dyDescent="0.2">
      <c r="B503" s="47"/>
      <c r="C503" s="47"/>
      <c r="D503" s="78"/>
      <c r="E503" s="47"/>
      <c r="F503" s="47"/>
      <c r="G503" s="47"/>
      <c r="H503" s="47"/>
      <c r="I503" s="48"/>
      <c r="J503" s="47"/>
      <c r="K503" s="47"/>
      <c r="L503" s="47"/>
      <c r="M503" s="47"/>
      <c r="N503" s="48"/>
      <c r="O503" s="48"/>
    </row>
    <row r="504" spans="2:15" x14ac:dyDescent="0.2">
      <c r="B504" s="47"/>
      <c r="C504" s="47"/>
      <c r="D504" s="78"/>
      <c r="E504" s="47"/>
      <c r="F504" s="47"/>
      <c r="G504" s="47"/>
      <c r="H504" s="47"/>
      <c r="I504" s="48"/>
      <c r="J504" s="47"/>
      <c r="K504" s="47"/>
      <c r="L504" s="47"/>
      <c r="M504" s="47"/>
      <c r="N504" s="48"/>
      <c r="O504" s="48"/>
    </row>
    <row r="505" spans="2:15" x14ac:dyDescent="0.2">
      <c r="B505" s="47"/>
      <c r="C505" s="47"/>
      <c r="D505" s="78"/>
      <c r="E505" s="47"/>
      <c r="F505" s="47"/>
      <c r="G505" s="47"/>
      <c r="H505" s="47"/>
      <c r="I505" s="48"/>
      <c r="J505" s="47"/>
      <c r="K505" s="47"/>
      <c r="L505" s="47"/>
      <c r="M505" s="47"/>
      <c r="N505" s="48"/>
      <c r="O505" s="48"/>
    </row>
    <row r="506" spans="2:15" x14ac:dyDescent="0.2">
      <c r="B506" s="47"/>
      <c r="C506" s="47"/>
      <c r="D506" s="78"/>
      <c r="E506" s="47"/>
      <c r="F506" s="47"/>
      <c r="G506" s="47"/>
      <c r="H506" s="47"/>
      <c r="I506" s="48"/>
      <c r="J506" s="47"/>
      <c r="K506" s="47"/>
      <c r="L506" s="47"/>
      <c r="M506" s="47"/>
      <c r="N506" s="48"/>
      <c r="O506" s="48"/>
    </row>
    <row r="507" spans="2:15" x14ac:dyDescent="0.2">
      <c r="B507" s="47"/>
      <c r="C507" s="47"/>
      <c r="D507" s="78"/>
      <c r="E507" s="47"/>
      <c r="F507" s="47"/>
      <c r="G507" s="47"/>
      <c r="H507" s="47"/>
      <c r="I507" s="48"/>
      <c r="J507" s="47"/>
      <c r="K507" s="47"/>
      <c r="L507" s="47"/>
      <c r="M507" s="47"/>
      <c r="N507" s="48"/>
      <c r="O507" s="48"/>
    </row>
    <row r="508" spans="2:15" x14ac:dyDescent="0.2">
      <c r="B508" s="47"/>
      <c r="C508" s="47"/>
      <c r="D508" s="78"/>
      <c r="E508" s="47"/>
      <c r="F508" s="47"/>
      <c r="G508" s="47"/>
      <c r="H508" s="47"/>
      <c r="I508" s="48"/>
      <c r="J508" s="47"/>
      <c r="K508" s="47"/>
      <c r="L508" s="47"/>
      <c r="M508" s="47"/>
      <c r="N508" s="48"/>
      <c r="O508" s="48"/>
    </row>
    <row r="509" spans="2:15" x14ac:dyDescent="0.2">
      <c r="B509" s="47"/>
      <c r="C509" s="47"/>
      <c r="D509" s="78"/>
      <c r="E509" s="47"/>
      <c r="F509" s="47"/>
      <c r="G509" s="47"/>
      <c r="H509" s="47"/>
      <c r="I509" s="48"/>
      <c r="J509" s="47"/>
      <c r="K509" s="47"/>
      <c r="L509" s="47"/>
      <c r="M509" s="47"/>
      <c r="N509" s="48"/>
      <c r="O509" s="48"/>
    </row>
    <row r="510" spans="2:15" x14ac:dyDescent="0.2">
      <c r="B510" s="47"/>
      <c r="C510" s="47"/>
      <c r="D510" s="78"/>
      <c r="E510" s="47"/>
      <c r="F510" s="47"/>
      <c r="G510" s="47"/>
      <c r="H510" s="47"/>
      <c r="I510" s="48"/>
      <c r="J510" s="47"/>
      <c r="K510" s="47"/>
      <c r="L510" s="47"/>
      <c r="M510" s="47"/>
      <c r="N510" s="48"/>
      <c r="O510" s="48"/>
    </row>
    <row r="511" spans="2:15" x14ac:dyDescent="0.2">
      <c r="B511" s="47"/>
      <c r="C511" s="47"/>
      <c r="D511" s="78"/>
      <c r="E511" s="47"/>
      <c r="F511" s="47"/>
      <c r="G511" s="47"/>
      <c r="H511" s="47"/>
      <c r="I511" s="48"/>
      <c r="J511" s="47"/>
      <c r="K511" s="47"/>
      <c r="L511" s="47"/>
      <c r="M511" s="47"/>
      <c r="N511" s="48"/>
      <c r="O511" s="48"/>
    </row>
    <row r="512" spans="2:15" x14ac:dyDescent="0.2">
      <c r="B512" s="47"/>
      <c r="C512" s="47"/>
      <c r="D512" s="78"/>
      <c r="E512" s="47"/>
      <c r="F512" s="47"/>
      <c r="G512" s="47"/>
      <c r="H512" s="47"/>
      <c r="I512" s="48"/>
      <c r="J512" s="47"/>
      <c r="K512" s="47"/>
      <c r="L512" s="47"/>
      <c r="M512" s="47"/>
      <c r="N512" s="48"/>
      <c r="O512" s="48"/>
    </row>
    <row r="513" spans="2:15" x14ac:dyDescent="0.2">
      <c r="B513" s="47"/>
      <c r="C513" s="47"/>
      <c r="D513" s="78"/>
      <c r="E513" s="47"/>
      <c r="F513" s="47"/>
      <c r="G513" s="47"/>
      <c r="H513" s="47"/>
      <c r="I513" s="48"/>
      <c r="J513" s="47"/>
      <c r="K513" s="47"/>
      <c r="L513" s="47"/>
      <c r="M513" s="47"/>
      <c r="N513" s="48"/>
      <c r="O513" s="48"/>
    </row>
    <row r="514" spans="2:15" x14ac:dyDescent="0.2">
      <c r="B514" s="47"/>
      <c r="C514" s="47"/>
      <c r="D514" s="78"/>
      <c r="E514" s="47"/>
      <c r="F514" s="47"/>
      <c r="G514" s="47"/>
      <c r="H514" s="47"/>
      <c r="I514" s="48"/>
      <c r="J514" s="47"/>
      <c r="K514" s="47"/>
      <c r="L514" s="47"/>
      <c r="M514" s="47"/>
      <c r="N514" s="48"/>
      <c r="O514" s="48"/>
    </row>
    <row r="515" spans="2:15" x14ac:dyDescent="0.2">
      <c r="B515" s="47"/>
      <c r="C515" s="47"/>
      <c r="D515" s="78"/>
      <c r="E515" s="47"/>
      <c r="F515" s="47"/>
      <c r="G515" s="47"/>
      <c r="H515" s="47"/>
      <c r="I515" s="48"/>
      <c r="J515" s="47"/>
      <c r="K515" s="47"/>
      <c r="L515" s="47"/>
      <c r="M515" s="47"/>
      <c r="N515" s="48"/>
      <c r="O515" s="48"/>
    </row>
    <row r="516" spans="2:15" x14ac:dyDescent="0.2">
      <c r="B516" s="47"/>
      <c r="C516" s="47"/>
      <c r="D516" s="78"/>
      <c r="E516" s="47"/>
      <c r="F516" s="47"/>
      <c r="G516" s="47"/>
      <c r="H516" s="47"/>
      <c r="I516" s="48"/>
      <c r="J516" s="47"/>
      <c r="K516" s="47"/>
      <c r="L516" s="47"/>
      <c r="M516" s="47"/>
      <c r="N516" s="48"/>
      <c r="O516" s="48"/>
    </row>
    <row r="517" spans="2:15" x14ac:dyDescent="0.2">
      <c r="B517" s="47"/>
      <c r="C517" s="47"/>
      <c r="D517" s="78"/>
      <c r="E517" s="47"/>
      <c r="F517" s="47"/>
      <c r="G517" s="47"/>
      <c r="H517" s="47"/>
      <c r="I517" s="48"/>
      <c r="J517" s="47"/>
      <c r="K517" s="47"/>
      <c r="L517" s="47"/>
      <c r="M517" s="47"/>
      <c r="N517" s="48"/>
      <c r="O517" s="48"/>
    </row>
    <row r="518" spans="2:15" x14ac:dyDescent="0.2">
      <c r="B518" s="47"/>
      <c r="C518" s="47"/>
      <c r="D518" s="78"/>
      <c r="E518" s="47"/>
      <c r="F518" s="47"/>
      <c r="G518" s="47"/>
      <c r="H518" s="47"/>
      <c r="I518" s="48"/>
      <c r="J518" s="47"/>
      <c r="K518" s="47"/>
      <c r="L518" s="47"/>
      <c r="M518" s="47"/>
      <c r="N518" s="48"/>
      <c r="O518" s="48"/>
    </row>
    <row r="519" spans="2:15" x14ac:dyDescent="0.2">
      <c r="B519" s="47"/>
      <c r="C519" s="47"/>
      <c r="D519" s="78"/>
      <c r="E519" s="47"/>
      <c r="F519" s="47"/>
      <c r="G519" s="47"/>
      <c r="H519" s="47"/>
      <c r="I519" s="48"/>
      <c r="J519" s="47"/>
      <c r="K519" s="47"/>
      <c r="L519" s="47"/>
      <c r="M519" s="47"/>
      <c r="N519" s="48"/>
      <c r="O519" s="48"/>
    </row>
    <row r="520" spans="2:15" x14ac:dyDescent="0.2">
      <c r="B520" s="47"/>
      <c r="C520" s="47"/>
      <c r="D520" s="78"/>
      <c r="E520" s="47"/>
      <c r="F520" s="47"/>
      <c r="G520" s="47"/>
      <c r="H520" s="47"/>
      <c r="I520" s="48"/>
      <c r="J520" s="47"/>
      <c r="K520" s="47"/>
      <c r="L520" s="47"/>
      <c r="M520" s="47"/>
      <c r="N520" s="48"/>
      <c r="O520" s="48"/>
    </row>
    <row r="521" spans="2:15" x14ac:dyDescent="0.2">
      <c r="B521" s="47"/>
      <c r="C521" s="47"/>
      <c r="D521" s="78"/>
      <c r="E521" s="47"/>
      <c r="F521" s="47"/>
      <c r="G521" s="47"/>
      <c r="H521" s="47"/>
      <c r="I521" s="48"/>
      <c r="J521" s="47"/>
      <c r="K521" s="47"/>
      <c r="L521" s="47"/>
      <c r="M521" s="47"/>
      <c r="N521" s="48"/>
      <c r="O521" s="48"/>
    </row>
    <row r="522" spans="2:15" x14ac:dyDescent="0.2">
      <c r="B522" s="47"/>
      <c r="C522" s="47"/>
      <c r="D522" s="78"/>
      <c r="E522" s="47"/>
      <c r="F522" s="47"/>
      <c r="G522" s="47"/>
      <c r="H522" s="47"/>
      <c r="I522" s="48"/>
      <c r="J522" s="47"/>
      <c r="K522" s="47"/>
      <c r="L522" s="47"/>
      <c r="M522" s="47"/>
      <c r="N522" s="48"/>
      <c r="O522" s="48"/>
    </row>
    <row r="523" spans="2:15" x14ac:dyDescent="0.2">
      <c r="B523" s="47"/>
      <c r="C523" s="47"/>
      <c r="D523" s="78"/>
      <c r="E523" s="47"/>
      <c r="F523" s="47"/>
      <c r="G523" s="47"/>
      <c r="H523" s="47"/>
      <c r="I523" s="48"/>
      <c r="J523" s="47"/>
      <c r="K523" s="47"/>
      <c r="L523" s="47"/>
      <c r="M523" s="47"/>
      <c r="N523" s="48"/>
      <c r="O523" s="48"/>
    </row>
    <row r="524" spans="2:15" x14ac:dyDescent="0.2">
      <c r="B524" s="47"/>
      <c r="C524" s="47"/>
      <c r="D524" s="78"/>
      <c r="E524" s="47"/>
      <c r="F524" s="47"/>
      <c r="G524" s="47"/>
      <c r="H524" s="47"/>
      <c r="I524" s="48"/>
      <c r="J524" s="47"/>
      <c r="K524" s="47"/>
      <c r="L524" s="47"/>
      <c r="M524" s="47"/>
      <c r="N524" s="48"/>
      <c r="O524" s="48"/>
    </row>
    <row r="525" spans="2:15" x14ac:dyDescent="0.2">
      <c r="B525" s="47"/>
      <c r="C525" s="47"/>
      <c r="D525" s="78"/>
      <c r="E525" s="47"/>
      <c r="F525" s="47"/>
      <c r="G525" s="47"/>
      <c r="H525" s="47"/>
      <c r="I525" s="48"/>
      <c r="J525" s="47"/>
      <c r="K525" s="47"/>
      <c r="L525" s="47"/>
      <c r="M525" s="47"/>
      <c r="N525" s="48"/>
      <c r="O525" s="48"/>
    </row>
    <row r="526" spans="2:15" x14ac:dyDescent="0.2">
      <c r="B526" s="47"/>
      <c r="C526" s="47"/>
      <c r="D526" s="78"/>
      <c r="E526" s="47"/>
      <c r="F526" s="47"/>
      <c r="G526" s="47"/>
      <c r="H526" s="47"/>
      <c r="I526" s="48"/>
      <c r="J526" s="47"/>
      <c r="K526" s="47"/>
      <c r="L526" s="47"/>
      <c r="M526" s="47"/>
      <c r="N526" s="48"/>
      <c r="O526" s="48"/>
    </row>
    <row r="527" spans="2:15" x14ac:dyDescent="0.2">
      <c r="B527" s="47"/>
      <c r="C527" s="47"/>
      <c r="D527" s="78"/>
      <c r="E527" s="47"/>
      <c r="F527" s="47"/>
      <c r="G527" s="47"/>
      <c r="H527" s="47"/>
      <c r="I527" s="48"/>
      <c r="J527" s="47"/>
      <c r="K527" s="47"/>
      <c r="L527" s="47"/>
      <c r="M527" s="47"/>
      <c r="N527" s="48"/>
      <c r="O527" s="48"/>
    </row>
    <row r="528" spans="2:15" x14ac:dyDescent="0.2">
      <c r="B528" s="47"/>
      <c r="C528" s="47"/>
      <c r="D528" s="78"/>
      <c r="E528" s="47"/>
      <c r="F528" s="47"/>
      <c r="G528" s="47"/>
      <c r="H528" s="47"/>
      <c r="I528" s="48"/>
      <c r="J528" s="47"/>
      <c r="K528" s="47"/>
      <c r="L528" s="47"/>
      <c r="M528" s="47"/>
      <c r="N528" s="48"/>
      <c r="O528" s="48"/>
    </row>
    <row r="529" spans="2:15" x14ac:dyDescent="0.2">
      <c r="B529" s="47"/>
      <c r="C529" s="47"/>
      <c r="D529" s="78"/>
      <c r="E529" s="47"/>
      <c r="F529" s="47"/>
      <c r="G529" s="47"/>
      <c r="H529" s="47"/>
      <c r="I529" s="48"/>
      <c r="J529" s="47"/>
      <c r="K529" s="47"/>
      <c r="L529" s="47"/>
      <c r="M529" s="47"/>
      <c r="N529" s="48"/>
      <c r="O529" s="48"/>
    </row>
    <row r="530" spans="2:15" x14ac:dyDescent="0.2">
      <c r="B530" s="47"/>
      <c r="C530" s="47"/>
      <c r="D530" s="78"/>
      <c r="E530" s="47"/>
      <c r="F530" s="47"/>
      <c r="G530" s="47"/>
      <c r="H530" s="47"/>
      <c r="I530" s="48"/>
      <c r="J530" s="47"/>
      <c r="K530" s="47"/>
      <c r="L530" s="47"/>
      <c r="M530" s="47"/>
      <c r="N530" s="48"/>
      <c r="O530" s="48"/>
    </row>
    <row r="531" spans="2:15" x14ac:dyDescent="0.2">
      <c r="B531" s="47"/>
      <c r="C531" s="47"/>
      <c r="D531" s="78"/>
      <c r="E531" s="47"/>
      <c r="F531" s="47"/>
      <c r="G531" s="47"/>
      <c r="H531" s="47"/>
      <c r="I531" s="48"/>
      <c r="J531" s="47"/>
      <c r="K531" s="47"/>
      <c r="L531" s="47"/>
      <c r="M531" s="47"/>
      <c r="N531" s="48"/>
      <c r="O531" s="48"/>
    </row>
    <row r="532" spans="2:15" x14ac:dyDescent="0.2">
      <c r="B532" s="47"/>
      <c r="C532" s="47"/>
      <c r="D532" s="78"/>
      <c r="E532" s="47"/>
      <c r="F532" s="47"/>
      <c r="G532" s="47"/>
      <c r="H532" s="47"/>
      <c r="I532" s="48"/>
      <c r="J532" s="47"/>
      <c r="K532" s="47"/>
      <c r="L532" s="47"/>
      <c r="M532" s="47"/>
      <c r="N532" s="48"/>
      <c r="O532" s="48"/>
    </row>
    <row r="533" spans="2:15" x14ac:dyDescent="0.2">
      <c r="B533" s="47"/>
      <c r="C533" s="47"/>
      <c r="D533" s="78"/>
      <c r="E533" s="47"/>
      <c r="F533" s="47"/>
      <c r="G533" s="47"/>
      <c r="H533" s="47"/>
      <c r="I533" s="48"/>
      <c r="J533" s="47"/>
      <c r="K533" s="47"/>
      <c r="L533" s="47"/>
      <c r="M533" s="47"/>
      <c r="N533" s="48"/>
      <c r="O533" s="48"/>
    </row>
    <row r="534" spans="2:15" x14ac:dyDescent="0.2">
      <c r="B534" s="47"/>
      <c r="C534" s="47"/>
      <c r="D534" s="78"/>
      <c r="E534" s="47"/>
      <c r="F534" s="47"/>
      <c r="G534" s="47"/>
      <c r="H534" s="47"/>
      <c r="I534" s="48"/>
      <c r="J534" s="47"/>
      <c r="K534" s="47"/>
      <c r="L534" s="47"/>
      <c r="M534" s="47"/>
      <c r="N534" s="48"/>
      <c r="O534" s="48"/>
    </row>
    <row r="535" spans="2:15" x14ac:dyDescent="0.2">
      <c r="B535" s="47"/>
      <c r="C535" s="47"/>
      <c r="D535" s="78"/>
      <c r="E535" s="47"/>
      <c r="F535" s="47"/>
      <c r="G535" s="47"/>
      <c r="H535" s="47"/>
      <c r="I535" s="48"/>
      <c r="J535" s="47"/>
      <c r="K535" s="47"/>
      <c r="L535" s="47"/>
      <c r="M535" s="47"/>
      <c r="N535" s="48"/>
      <c r="O535" s="48"/>
    </row>
    <row r="536" spans="2:15" x14ac:dyDescent="0.2">
      <c r="B536" s="47"/>
      <c r="C536" s="47"/>
      <c r="D536" s="78"/>
      <c r="E536" s="47"/>
      <c r="F536" s="47"/>
      <c r="G536" s="47"/>
      <c r="H536" s="47"/>
      <c r="I536" s="48"/>
      <c r="J536" s="47"/>
      <c r="K536" s="47"/>
      <c r="L536" s="47"/>
      <c r="M536" s="47"/>
      <c r="N536" s="48"/>
      <c r="O536" s="48"/>
    </row>
    <row r="537" spans="2:15" x14ac:dyDescent="0.2">
      <c r="B537" s="47"/>
      <c r="C537" s="47"/>
      <c r="D537" s="78"/>
      <c r="E537" s="47"/>
      <c r="F537" s="47"/>
      <c r="G537" s="47"/>
      <c r="H537" s="47"/>
      <c r="I537" s="48"/>
      <c r="J537" s="47"/>
      <c r="K537" s="47"/>
      <c r="L537" s="47"/>
      <c r="M537" s="47"/>
      <c r="N537" s="48"/>
      <c r="O537" s="48"/>
    </row>
    <row r="538" spans="2:15" x14ac:dyDescent="0.2">
      <c r="B538" s="47"/>
      <c r="C538" s="47"/>
      <c r="D538" s="78"/>
      <c r="E538" s="47"/>
      <c r="F538" s="47"/>
      <c r="G538" s="47"/>
      <c r="H538" s="47"/>
      <c r="I538" s="48"/>
      <c r="J538" s="47"/>
      <c r="K538" s="47"/>
      <c r="L538" s="47"/>
      <c r="M538" s="47"/>
      <c r="N538" s="48"/>
      <c r="O538" s="48"/>
    </row>
    <row r="539" spans="2:15" x14ac:dyDescent="0.2">
      <c r="B539" s="47"/>
      <c r="C539" s="47"/>
      <c r="D539" s="78"/>
      <c r="E539" s="47"/>
      <c r="F539" s="47"/>
      <c r="G539" s="47"/>
      <c r="H539" s="47"/>
      <c r="I539" s="48"/>
      <c r="J539" s="47"/>
      <c r="K539" s="47"/>
      <c r="L539" s="47"/>
      <c r="M539" s="47"/>
      <c r="N539" s="48"/>
      <c r="O539" s="48"/>
    </row>
    <row r="540" spans="2:15" x14ac:dyDescent="0.2">
      <c r="B540" s="47"/>
      <c r="C540" s="47"/>
      <c r="D540" s="78"/>
      <c r="E540" s="47"/>
      <c r="F540" s="47"/>
      <c r="G540" s="47"/>
      <c r="H540" s="47"/>
      <c r="I540" s="48"/>
      <c r="J540" s="47"/>
      <c r="K540" s="47"/>
      <c r="L540" s="47"/>
      <c r="M540" s="47"/>
      <c r="N540" s="48"/>
      <c r="O540" s="48"/>
    </row>
    <row r="541" spans="2:15" x14ac:dyDescent="0.2">
      <c r="B541" s="47"/>
      <c r="C541" s="47"/>
      <c r="D541" s="78"/>
      <c r="E541" s="47"/>
      <c r="F541" s="47"/>
      <c r="G541" s="47"/>
      <c r="H541" s="47"/>
      <c r="I541" s="48"/>
      <c r="J541" s="47"/>
      <c r="K541" s="47"/>
      <c r="L541" s="47"/>
      <c r="M541" s="47"/>
      <c r="N541" s="48"/>
      <c r="O541" s="48"/>
    </row>
    <row r="542" spans="2:15" x14ac:dyDescent="0.2">
      <c r="B542" s="47"/>
      <c r="C542" s="47"/>
      <c r="D542" s="78"/>
      <c r="E542" s="47"/>
      <c r="F542" s="47"/>
      <c r="G542" s="47"/>
      <c r="H542" s="47"/>
      <c r="I542" s="48"/>
      <c r="J542" s="47"/>
      <c r="K542" s="47"/>
      <c r="L542" s="47"/>
      <c r="M542" s="47"/>
      <c r="N542" s="48"/>
      <c r="O542" s="48"/>
    </row>
    <row r="543" spans="2:15" x14ac:dyDescent="0.2">
      <c r="B543" s="47"/>
      <c r="C543" s="47"/>
      <c r="D543" s="78"/>
      <c r="E543" s="47"/>
      <c r="F543" s="47"/>
      <c r="G543" s="47"/>
      <c r="H543" s="47"/>
      <c r="I543" s="48"/>
      <c r="J543" s="47"/>
      <c r="K543" s="47"/>
      <c r="L543" s="47"/>
      <c r="M543" s="47"/>
      <c r="N543" s="48"/>
      <c r="O543" s="48"/>
    </row>
    <row r="544" spans="2:15" x14ac:dyDescent="0.2">
      <c r="B544" s="47"/>
      <c r="C544" s="47"/>
      <c r="D544" s="78"/>
      <c r="E544" s="47"/>
      <c r="F544" s="47"/>
      <c r="G544" s="47"/>
      <c r="H544" s="47"/>
      <c r="I544" s="48"/>
      <c r="J544" s="47"/>
      <c r="K544" s="47"/>
      <c r="L544" s="47"/>
      <c r="M544" s="47"/>
      <c r="N544" s="48"/>
      <c r="O544" s="48"/>
    </row>
    <row r="545" spans="2:15" x14ac:dyDescent="0.2">
      <c r="B545" s="47"/>
      <c r="C545" s="47"/>
      <c r="D545" s="78"/>
      <c r="E545" s="47"/>
      <c r="F545" s="47"/>
      <c r="G545" s="47"/>
      <c r="H545" s="47"/>
      <c r="I545" s="48"/>
      <c r="J545" s="47"/>
      <c r="K545" s="47"/>
      <c r="L545" s="47"/>
      <c r="M545" s="47"/>
      <c r="N545" s="48"/>
      <c r="O545" s="48"/>
    </row>
    <row r="546" spans="2:15" x14ac:dyDescent="0.2">
      <c r="B546" s="47"/>
      <c r="C546" s="47"/>
      <c r="D546" s="78"/>
      <c r="E546" s="47"/>
      <c r="F546" s="47"/>
      <c r="G546" s="47"/>
      <c r="H546" s="47"/>
      <c r="I546" s="48"/>
      <c r="J546" s="47"/>
      <c r="K546" s="47"/>
      <c r="L546" s="47"/>
      <c r="M546" s="47"/>
      <c r="N546" s="48"/>
      <c r="O546" s="48"/>
    </row>
    <row r="547" spans="2:15" x14ac:dyDescent="0.2">
      <c r="B547" s="47"/>
      <c r="C547" s="47"/>
      <c r="D547" s="78"/>
      <c r="E547" s="47"/>
      <c r="F547" s="47"/>
      <c r="G547" s="47"/>
      <c r="H547" s="47"/>
      <c r="I547" s="48"/>
      <c r="J547" s="47"/>
      <c r="K547" s="47"/>
      <c r="L547" s="47"/>
      <c r="M547" s="47"/>
      <c r="N547" s="48"/>
      <c r="O547" s="48"/>
    </row>
    <row r="548" spans="2:15" x14ac:dyDescent="0.2">
      <c r="B548" s="47"/>
      <c r="C548" s="47"/>
      <c r="D548" s="78"/>
      <c r="E548" s="47"/>
      <c r="F548" s="47"/>
      <c r="G548" s="47"/>
      <c r="H548" s="47"/>
      <c r="I548" s="48"/>
      <c r="J548" s="47"/>
      <c r="K548" s="47"/>
      <c r="L548" s="47"/>
      <c r="M548" s="47"/>
      <c r="N548" s="48"/>
      <c r="O548" s="48"/>
    </row>
    <row r="549" spans="2:15" x14ac:dyDescent="0.2">
      <c r="B549" s="47"/>
      <c r="C549" s="47"/>
      <c r="D549" s="78"/>
      <c r="E549" s="47"/>
      <c r="F549" s="47"/>
      <c r="G549" s="47"/>
      <c r="H549" s="47"/>
      <c r="I549" s="48"/>
      <c r="J549" s="47"/>
      <c r="K549" s="47"/>
      <c r="L549" s="47"/>
      <c r="M549" s="47"/>
      <c r="N549" s="48"/>
      <c r="O549" s="48"/>
    </row>
    <row r="550" spans="2:15" x14ac:dyDescent="0.2">
      <c r="B550" s="47"/>
      <c r="C550" s="47"/>
      <c r="D550" s="78"/>
      <c r="E550" s="47"/>
      <c r="F550" s="47"/>
      <c r="G550" s="47"/>
      <c r="H550" s="47"/>
      <c r="I550" s="48"/>
      <c r="J550" s="47"/>
      <c r="K550" s="47"/>
      <c r="L550" s="47"/>
      <c r="M550" s="47"/>
      <c r="N550" s="48"/>
      <c r="O550" s="48"/>
    </row>
    <row r="551" spans="2:15" x14ac:dyDescent="0.2">
      <c r="B551" s="47"/>
      <c r="C551" s="47"/>
      <c r="D551" s="78"/>
      <c r="E551" s="47"/>
      <c r="F551" s="47"/>
      <c r="G551" s="47"/>
      <c r="H551" s="47"/>
      <c r="I551" s="48"/>
      <c r="J551" s="47"/>
      <c r="K551" s="47"/>
      <c r="L551" s="47"/>
      <c r="M551" s="47"/>
      <c r="N551" s="48"/>
      <c r="O551" s="48"/>
    </row>
    <row r="552" spans="2:15" x14ac:dyDescent="0.2">
      <c r="B552" s="47"/>
      <c r="C552" s="47"/>
      <c r="D552" s="78"/>
      <c r="E552" s="47"/>
      <c r="F552" s="47"/>
      <c r="G552" s="47"/>
      <c r="H552" s="47"/>
      <c r="I552" s="48"/>
      <c r="J552" s="47"/>
      <c r="K552" s="47"/>
      <c r="L552" s="47"/>
      <c r="M552" s="47"/>
      <c r="N552" s="48"/>
      <c r="O552" s="48"/>
    </row>
    <row r="553" spans="2:15" x14ac:dyDescent="0.2">
      <c r="B553" s="47"/>
      <c r="C553" s="47"/>
      <c r="D553" s="78"/>
      <c r="E553" s="47"/>
      <c r="F553" s="47"/>
      <c r="G553" s="47"/>
      <c r="H553" s="47"/>
      <c r="I553" s="48"/>
      <c r="J553" s="47"/>
      <c r="K553" s="47"/>
      <c r="L553" s="47"/>
      <c r="M553" s="47"/>
      <c r="N553" s="48"/>
      <c r="O553" s="48"/>
    </row>
    <row r="554" spans="2:15" x14ac:dyDescent="0.2">
      <c r="B554" s="47"/>
      <c r="C554" s="47"/>
      <c r="D554" s="78"/>
      <c r="E554" s="47"/>
      <c r="F554" s="47"/>
      <c r="G554" s="47"/>
      <c r="H554" s="47"/>
      <c r="I554" s="48"/>
      <c r="J554" s="47"/>
      <c r="K554" s="47"/>
      <c r="L554" s="47"/>
      <c r="M554" s="47"/>
      <c r="N554" s="48"/>
      <c r="O554" s="48"/>
    </row>
    <row r="555" spans="2:15" x14ac:dyDescent="0.2">
      <c r="B555" s="47"/>
      <c r="C555" s="47"/>
      <c r="D555" s="78"/>
      <c r="E555" s="47"/>
      <c r="F555" s="47"/>
      <c r="G555" s="47"/>
      <c r="H555" s="47"/>
      <c r="I555" s="48"/>
      <c r="J555" s="47"/>
      <c r="K555" s="47"/>
      <c r="L555" s="47"/>
      <c r="M555" s="47"/>
      <c r="N555" s="48"/>
      <c r="O555" s="48"/>
    </row>
    <row r="556" spans="2:15" x14ac:dyDescent="0.2">
      <c r="B556" s="47"/>
      <c r="C556" s="47"/>
      <c r="D556" s="78"/>
      <c r="E556" s="47"/>
      <c r="F556" s="47"/>
      <c r="G556" s="47"/>
      <c r="H556" s="47"/>
      <c r="I556" s="48"/>
      <c r="J556" s="47"/>
      <c r="K556" s="47"/>
      <c r="L556" s="47"/>
      <c r="M556" s="47"/>
      <c r="N556" s="48"/>
      <c r="O556" s="48"/>
    </row>
    <row r="557" spans="2:15" x14ac:dyDescent="0.2">
      <c r="B557" s="47"/>
      <c r="C557" s="47"/>
      <c r="D557" s="78"/>
      <c r="E557" s="47"/>
      <c r="F557" s="47"/>
      <c r="G557" s="47"/>
      <c r="H557" s="47"/>
      <c r="I557" s="48"/>
      <c r="J557" s="47"/>
      <c r="K557" s="47"/>
      <c r="L557" s="47"/>
      <c r="M557" s="47"/>
      <c r="N557" s="48"/>
      <c r="O557" s="48"/>
    </row>
    <row r="558" spans="2:15" x14ac:dyDescent="0.2">
      <c r="B558" s="47"/>
      <c r="C558" s="47"/>
      <c r="D558" s="78"/>
      <c r="E558" s="47"/>
      <c r="F558" s="47"/>
      <c r="G558" s="47"/>
      <c r="H558" s="47"/>
      <c r="I558" s="48"/>
      <c r="J558" s="47"/>
      <c r="K558" s="47"/>
      <c r="L558" s="47"/>
      <c r="M558" s="47"/>
      <c r="N558" s="48"/>
      <c r="O558" s="48"/>
    </row>
    <row r="559" spans="2:15" x14ac:dyDescent="0.2">
      <c r="B559" s="47"/>
      <c r="C559" s="47"/>
      <c r="D559" s="78"/>
      <c r="E559" s="47"/>
      <c r="F559" s="47"/>
      <c r="G559" s="47"/>
      <c r="H559" s="47"/>
      <c r="I559" s="48"/>
      <c r="J559" s="47"/>
      <c r="K559" s="47"/>
      <c r="L559" s="47"/>
      <c r="M559" s="47"/>
      <c r="N559" s="48"/>
      <c r="O559" s="48"/>
    </row>
    <row r="560" spans="2:15" x14ac:dyDescent="0.2">
      <c r="B560" s="47"/>
      <c r="C560" s="47"/>
      <c r="D560" s="78"/>
      <c r="E560" s="47"/>
      <c r="F560" s="47"/>
      <c r="G560" s="47"/>
      <c r="H560" s="47"/>
      <c r="I560" s="48"/>
      <c r="J560" s="47"/>
      <c r="K560" s="47"/>
      <c r="L560" s="47"/>
      <c r="M560" s="47"/>
      <c r="N560" s="48"/>
      <c r="O560" s="48"/>
    </row>
    <row r="561" spans="2:15" x14ac:dyDescent="0.2">
      <c r="B561" s="47"/>
      <c r="C561" s="47"/>
      <c r="D561" s="78"/>
      <c r="E561" s="47"/>
      <c r="F561" s="47"/>
      <c r="G561" s="47"/>
      <c r="H561" s="47"/>
      <c r="I561" s="48"/>
      <c r="J561" s="47"/>
      <c r="K561" s="47"/>
      <c r="L561" s="47"/>
      <c r="M561" s="47"/>
      <c r="N561" s="48"/>
      <c r="O561" s="48"/>
    </row>
    <row r="562" spans="2:15" x14ac:dyDescent="0.2">
      <c r="B562" s="47"/>
      <c r="C562" s="47"/>
      <c r="D562" s="78"/>
      <c r="E562" s="47"/>
      <c r="F562" s="47"/>
      <c r="G562" s="47"/>
      <c r="H562" s="47"/>
      <c r="I562" s="48"/>
      <c r="J562" s="47"/>
      <c r="K562" s="47"/>
      <c r="L562" s="47"/>
      <c r="M562" s="47"/>
      <c r="N562" s="48"/>
      <c r="O562" s="48"/>
    </row>
    <row r="563" spans="2:15" x14ac:dyDescent="0.2">
      <c r="B563" s="47"/>
      <c r="C563" s="47"/>
      <c r="D563" s="78"/>
      <c r="E563" s="47"/>
      <c r="F563" s="47"/>
      <c r="G563" s="47"/>
      <c r="H563" s="47"/>
      <c r="I563" s="48"/>
      <c r="J563" s="47"/>
      <c r="K563" s="47"/>
      <c r="L563" s="47"/>
      <c r="M563" s="47"/>
      <c r="N563" s="48"/>
      <c r="O563" s="48"/>
    </row>
    <row r="564" spans="2:15" x14ac:dyDescent="0.2">
      <c r="B564" s="47"/>
      <c r="C564" s="47"/>
      <c r="D564" s="78"/>
      <c r="E564" s="47"/>
      <c r="F564" s="47"/>
      <c r="G564" s="47"/>
      <c r="H564" s="47"/>
      <c r="I564" s="48"/>
      <c r="J564" s="47"/>
      <c r="K564" s="47"/>
      <c r="L564" s="47"/>
      <c r="M564" s="47"/>
      <c r="N564" s="48"/>
      <c r="O564" s="48"/>
    </row>
    <row r="565" spans="2:15" x14ac:dyDescent="0.2">
      <c r="B565" s="47"/>
      <c r="C565" s="47"/>
      <c r="D565" s="78"/>
      <c r="E565" s="47"/>
      <c r="F565" s="47"/>
      <c r="G565" s="47"/>
      <c r="H565" s="47"/>
      <c r="I565" s="48"/>
      <c r="J565" s="47"/>
      <c r="K565" s="47"/>
      <c r="L565" s="47"/>
      <c r="M565" s="47"/>
      <c r="N565" s="48"/>
      <c r="O565" s="48"/>
    </row>
    <row r="566" spans="2:15" x14ac:dyDescent="0.2">
      <c r="B566" s="47"/>
      <c r="C566" s="47"/>
      <c r="D566" s="78"/>
      <c r="E566" s="47"/>
      <c r="F566" s="47"/>
      <c r="G566" s="47"/>
      <c r="H566" s="47"/>
      <c r="I566" s="48"/>
      <c r="J566" s="47"/>
      <c r="K566" s="47"/>
      <c r="L566" s="47"/>
      <c r="M566" s="47"/>
      <c r="N566" s="48"/>
      <c r="O566" s="48"/>
    </row>
    <row r="567" spans="2:15" x14ac:dyDescent="0.2">
      <c r="B567" s="47"/>
      <c r="C567" s="47"/>
      <c r="D567" s="78"/>
      <c r="E567" s="47"/>
      <c r="F567" s="47"/>
      <c r="G567" s="47"/>
      <c r="H567" s="47"/>
      <c r="I567" s="48"/>
      <c r="J567" s="47"/>
      <c r="K567" s="47"/>
      <c r="L567" s="47"/>
      <c r="M567" s="47"/>
      <c r="N567" s="48"/>
      <c r="O567" s="48"/>
    </row>
    <row r="568" spans="2:15" x14ac:dyDescent="0.2">
      <c r="B568" s="47"/>
      <c r="C568" s="47"/>
      <c r="D568" s="78"/>
      <c r="E568" s="47"/>
      <c r="F568" s="47"/>
      <c r="G568" s="47"/>
      <c r="H568" s="47"/>
      <c r="I568" s="48"/>
      <c r="J568" s="47"/>
      <c r="K568" s="47"/>
      <c r="L568" s="47"/>
      <c r="M568" s="47"/>
      <c r="N568" s="48"/>
      <c r="O568" s="48"/>
    </row>
    <row r="569" spans="2:15" x14ac:dyDescent="0.2">
      <c r="B569" s="47"/>
      <c r="C569" s="47"/>
      <c r="D569" s="78"/>
      <c r="E569" s="47"/>
      <c r="F569" s="47"/>
      <c r="G569" s="47"/>
      <c r="H569" s="47"/>
      <c r="I569" s="48"/>
      <c r="J569" s="47"/>
      <c r="K569" s="47"/>
      <c r="L569" s="47"/>
      <c r="M569" s="47"/>
      <c r="N569" s="48"/>
      <c r="O569" s="48"/>
    </row>
    <row r="570" spans="2:15" x14ac:dyDescent="0.2">
      <c r="B570" s="47"/>
      <c r="C570" s="47"/>
      <c r="D570" s="78"/>
      <c r="E570" s="47"/>
      <c r="F570" s="47"/>
      <c r="G570" s="47"/>
      <c r="H570" s="47"/>
      <c r="I570" s="48"/>
      <c r="J570" s="47"/>
      <c r="K570" s="47"/>
      <c r="L570" s="47"/>
      <c r="M570" s="47"/>
      <c r="N570" s="48"/>
      <c r="O570" s="48"/>
    </row>
    <row r="571" spans="2:15" x14ac:dyDescent="0.2">
      <c r="B571" s="47"/>
      <c r="C571" s="47"/>
      <c r="D571" s="78"/>
      <c r="E571" s="47"/>
      <c r="F571" s="47"/>
      <c r="G571" s="47"/>
      <c r="H571" s="47"/>
      <c r="I571" s="48"/>
      <c r="J571" s="47"/>
      <c r="K571" s="47"/>
      <c r="L571" s="47"/>
      <c r="M571" s="47"/>
      <c r="N571" s="48"/>
      <c r="O571" s="48"/>
    </row>
    <row r="572" spans="2:15" x14ac:dyDescent="0.2">
      <c r="B572" s="47"/>
      <c r="C572" s="47"/>
      <c r="D572" s="78"/>
      <c r="E572" s="47"/>
      <c r="F572" s="47"/>
      <c r="G572" s="47"/>
      <c r="H572" s="47"/>
      <c r="I572" s="48"/>
      <c r="J572" s="47"/>
      <c r="K572" s="47"/>
      <c r="L572" s="47"/>
      <c r="M572" s="47"/>
      <c r="N572" s="48"/>
      <c r="O572" s="48"/>
    </row>
    <row r="573" spans="2:15" x14ac:dyDescent="0.2">
      <c r="B573" s="47"/>
      <c r="C573" s="47"/>
      <c r="D573" s="78"/>
      <c r="E573" s="47"/>
      <c r="F573" s="47"/>
      <c r="G573" s="47"/>
      <c r="H573" s="47"/>
      <c r="I573" s="48"/>
      <c r="J573" s="47"/>
      <c r="K573" s="47"/>
      <c r="L573" s="47"/>
      <c r="M573" s="47"/>
      <c r="N573" s="48"/>
      <c r="O573" s="48"/>
    </row>
    <row r="574" spans="2:15" x14ac:dyDescent="0.2">
      <c r="B574" s="47"/>
      <c r="C574" s="47"/>
      <c r="D574" s="78"/>
      <c r="E574" s="47"/>
      <c r="F574" s="47"/>
      <c r="G574" s="47"/>
      <c r="H574" s="47"/>
      <c r="I574" s="48"/>
      <c r="J574" s="47"/>
      <c r="K574" s="47"/>
      <c r="L574" s="47"/>
      <c r="M574" s="47"/>
      <c r="N574" s="48"/>
      <c r="O574" s="48"/>
    </row>
    <row r="575" spans="2:15" x14ac:dyDescent="0.2">
      <c r="B575" s="47"/>
      <c r="C575" s="47"/>
      <c r="D575" s="78"/>
      <c r="E575" s="47"/>
      <c r="F575" s="47"/>
      <c r="G575" s="47"/>
      <c r="H575" s="47"/>
      <c r="I575" s="48"/>
      <c r="J575" s="47"/>
      <c r="K575" s="47"/>
      <c r="L575" s="47"/>
      <c r="M575" s="47"/>
      <c r="N575" s="48"/>
      <c r="O575" s="48"/>
    </row>
    <row r="576" spans="2:15" x14ac:dyDescent="0.2">
      <c r="B576" s="47"/>
      <c r="C576" s="47"/>
      <c r="D576" s="78"/>
      <c r="E576" s="47"/>
      <c r="F576" s="47"/>
      <c r="G576" s="47"/>
      <c r="H576" s="47"/>
      <c r="I576" s="48"/>
      <c r="J576" s="47"/>
      <c r="K576" s="47"/>
      <c r="L576" s="47"/>
      <c r="M576" s="47"/>
      <c r="N576" s="48"/>
      <c r="O576" s="48"/>
    </row>
    <row r="577" spans="2:15" x14ac:dyDescent="0.2">
      <c r="B577" s="47"/>
      <c r="C577" s="47"/>
      <c r="D577" s="78"/>
      <c r="E577" s="47"/>
      <c r="F577" s="47"/>
      <c r="G577" s="47"/>
      <c r="H577" s="47"/>
      <c r="I577" s="48"/>
      <c r="J577" s="47"/>
      <c r="K577" s="47"/>
      <c r="L577" s="47"/>
      <c r="M577" s="47"/>
      <c r="N577" s="48"/>
      <c r="O577" s="48"/>
    </row>
    <row r="578" spans="2:15" x14ac:dyDescent="0.2">
      <c r="B578" s="47"/>
      <c r="C578" s="47"/>
      <c r="D578" s="78"/>
      <c r="E578" s="47"/>
      <c r="F578" s="47"/>
      <c r="G578" s="47"/>
      <c r="H578" s="47"/>
      <c r="I578" s="48"/>
      <c r="J578" s="47"/>
      <c r="K578" s="47"/>
      <c r="L578" s="47"/>
      <c r="M578" s="47"/>
      <c r="N578" s="48"/>
      <c r="O578" s="48"/>
    </row>
    <row r="579" spans="2:15" x14ac:dyDescent="0.2">
      <c r="B579" s="47"/>
      <c r="C579" s="47"/>
      <c r="D579" s="78"/>
      <c r="E579" s="47"/>
      <c r="F579" s="47"/>
      <c r="G579" s="47"/>
      <c r="H579" s="47"/>
      <c r="I579" s="48"/>
      <c r="J579" s="47"/>
      <c r="K579" s="47"/>
      <c r="L579" s="47"/>
      <c r="M579" s="47"/>
      <c r="N579" s="48"/>
      <c r="O579" s="48"/>
    </row>
    <row r="580" spans="2:15" x14ac:dyDescent="0.2">
      <c r="B580" s="47"/>
      <c r="C580" s="47"/>
      <c r="D580" s="78"/>
      <c r="E580" s="47"/>
      <c r="F580" s="47"/>
      <c r="G580" s="47"/>
      <c r="H580" s="47"/>
      <c r="I580" s="48"/>
      <c r="J580" s="47"/>
      <c r="K580" s="47"/>
      <c r="L580" s="47"/>
      <c r="M580" s="47"/>
      <c r="N580" s="48"/>
      <c r="O580" s="48"/>
    </row>
    <row r="581" spans="2:15" x14ac:dyDescent="0.2">
      <c r="B581" s="47"/>
      <c r="C581" s="47"/>
      <c r="D581" s="78"/>
      <c r="E581" s="47"/>
      <c r="F581" s="47"/>
      <c r="G581" s="47"/>
      <c r="H581" s="47"/>
      <c r="I581" s="48"/>
      <c r="J581" s="47"/>
      <c r="K581" s="47"/>
      <c r="L581" s="47"/>
      <c r="M581" s="47"/>
      <c r="N581" s="48"/>
      <c r="O581" s="48"/>
    </row>
    <row r="582" spans="2:15" x14ac:dyDescent="0.2">
      <c r="B582" s="47"/>
      <c r="C582" s="47"/>
      <c r="D582" s="78"/>
      <c r="E582" s="47"/>
      <c r="F582" s="47"/>
      <c r="G582" s="47"/>
      <c r="H582" s="47"/>
      <c r="I582" s="48"/>
      <c r="J582" s="47"/>
      <c r="K582" s="47"/>
      <c r="L582" s="47"/>
      <c r="M582" s="47"/>
      <c r="N582" s="48"/>
      <c r="O582" s="48"/>
    </row>
    <row r="583" spans="2:15" x14ac:dyDescent="0.2">
      <c r="B583" s="47"/>
      <c r="C583" s="47"/>
      <c r="D583" s="78"/>
      <c r="E583" s="47"/>
      <c r="F583" s="47"/>
      <c r="G583" s="47"/>
      <c r="H583" s="47"/>
      <c r="I583" s="48"/>
      <c r="J583" s="47"/>
      <c r="K583" s="47"/>
      <c r="L583" s="47"/>
      <c r="M583" s="47"/>
      <c r="N583" s="48"/>
      <c r="O583" s="48"/>
    </row>
    <row r="584" spans="2:15" x14ac:dyDescent="0.2">
      <c r="B584" s="47"/>
      <c r="C584" s="47"/>
      <c r="D584" s="78"/>
      <c r="E584" s="47"/>
      <c r="F584" s="47"/>
      <c r="G584" s="47"/>
      <c r="H584" s="47"/>
      <c r="I584" s="48"/>
      <c r="J584" s="47"/>
      <c r="K584" s="47"/>
      <c r="L584" s="47"/>
      <c r="M584" s="47"/>
      <c r="N584" s="48"/>
      <c r="O584" s="48"/>
    </row>
    <row r="585" spans="2:15" x14ac:dyDescent="0.2">
      <c r="B585" s="47"/>
      <c r="C585" s="47"/>
      <c r="D585" s="78"/>
      <c r="E585" s="47"/>
      <c r="F585" s="47"/>
      <c r="G585" s="47"/>
      <c r="H585" s="47"/>
      <c r="I585" s="48"/>
      <c r="J585" s="47"/>
      <c r="K585" s="47"/>
      <c r="L585" s="47"/>
      <c r="M585" s="47"/>
      <c r="N585" s="48"/>
      <c r="O585" s="48"/>
    </row>
    <row r="586" spans="2:15" x14ac:dyDescent="0.2">
      <c r="B586" s="47"/>
      <c r="C586" s="47"/>
      <c r="D586" s="78"/>
      <c r="E586" s="47"/>
      <c r="F586" s="47"/>
      <c r="G586" s="47"/>
      <c r="H586" s="47"/>
      <c r="I586" s="48"/>
      <c r="J586" s="47"/>
      <c r="K586" s="47"/>
      <c r="L586" s="47"/>
      <c r="M586" s="47"/>
      <c r="N586" s="48"/>
      <c r="O586" s="48"/>
    </row>
    <row r="587" spans="2:15" x14ac:dyDescent="0.2">
      <c r="B587" s="47"/>
      <c r="C587" s="47"/>
      <c r="D587" s="78"/>
      <c r="E587" s="47"/>
      <c r="F587" s="47"/>
      <c r="G587" s="47"/>
      <c r="H587" s="47"/>
      <c r="I587" s="48"/>
      <c r="J587" s="47"/>
      <c r="K587" s="47"/>
      <c r="L587" s="47"/>
      <c r="M587" s="47"/>
      <c r="N587" s="48"/>
      <c r="O587" s="48"/>
    </row>
    <row r="588" spans="2:15" x14ac:dyDescent="0.2">
      <c r="B588" s="47"/>
      <c r="C588" s="47"/>
      <c r="D588" s="78"/>
      <c r="E588" s="47"/>
      <c r="F588" s="47"/>
      <c r="G588" s="47"/>
      <c r="H588" s="47"/>
      <c r="I588" s="48"/>
      <c r="J588" s="47"/>
      <c r="K588" s="47"/>
      <c r="L588" s="47"/>
      <c r="M588" s="47"/>
      <c r="N588" s="48"/>
      <c r="O588" s="48"/>
    </row>
    <row r="589" spans="2:15" x14ac:dyDescent="0.2">
      <c r="B589" s="47"/>
      <c r="C589" s="47"/>
      <c r="D589" s="78"/>
      <c r="E589" s="47"/>
      <c r="F589" s="47"/>
      <c r="G589" s="47"/>
      <c r="H589" s="47"/>
      <c r="I589" s="48"/>
      <c r="J589" s="47"/>
      <c r="K589" s="47"/>
      <c r="L589" s="47"/>
      <c r="M589" s="47"/>
      <c r="N589" s="48"/>
      <c r="O589" s="48"/>
    </row>
    <row r="590" spans="2:15" x14ac:dyDescent="0.2">
      <c r="B590" s="47"/>
      <c r="C590" s="47"/>
      <c r="D590" s="78"/>
      <c r="E590" s="47"/>
      <c r="F590" s="47"/>
      <c r="G590" s="47"/>
      <c r="H590" s="47"/>
      <c r="I590" s="48"/>
      <c r="J590" s="47"/>
      <c r="K590" s="47"/>
      <c r="L590" s="47"/>
      <c r="M590" s="47"/>
      <c r="N590" s="48"/>
      <c r="O590" s="48"/>
    </row>
    <row r="591" spans="2:15" x14ac:dyDescent="0.2">
      <c r="B591" s="47"/>
      <c r="C591" s="47"/>
      <c r="D591" s="78"/>
      <c r="E591" s="47"/>
      <c r="F591" s="47"/>
      <c r="G591" s="47"/>
      <c r="H591" s="47"/>
      <c r="I591" s="48"/>
      <c r="J591" s="47"/>
      <c r="K591" s="47"/>
      <c r="L591" s="47"/>
      <c r="M591" s="47"/>
      <c r="N591" s="48"/>
      <c r="O591" s="48"/>
    </row>
    <row r="592" spans="2:15" x14ac:dyDescent="0.2">
      <c r="B592" s="47"/>
      <c r="C592" s="47"/>
      <c r="D592" s="78"/>
      <c r="E592" s="47"/>
      <c r="F592" s="47"/>
      <c r="G592" s="47"/>
      <c r="H592" s="47"/>
      <c r="I592" s="48"/>
      <c r="J592" s="47"/>
      <c r="K592" s="47"/>
      <c r="L592" s="47"/>
      <c r="M592" s="47"/>
      <c r="N592" s="48"/>
      <c r="O592" s="48"/>
    </row>
    <row r="593" spans="2:15" x14ac:dyDescent="0.2">
      <c r="B593" s="47"/>
      <c r="C593" s="47"/>
      <c r="D593" s="78"/>
      <c r="E593" s="47"/>
      <c r="F593" s="47"/>
      <c r="G593" s="47"/>
      <c r="H593" s="47"/>
      <c r="I593" s="48"/>
      <c r="J593" s="47"/>
      <c r="K593" s="47"/>
      <c r="L593" s="47"/>
      <c r="M593" s="47"/>
      <c r="N593" s="48"/>
      <c r="O593" s="48"/>
    </row>
    <row r="594" spans="2:15" x14ac:dyDescent="0.2">
      <c r="B594" s="47"/>
      <c r="C594" s="47"/>
      <c r="D594" s="78"/>
      <c r="E594" s="47"/>
      <c r="F594" s="47"/>
      <c r="G594" s="47"/>
      <c r="H594" s="47"/>
      <c r="I594" s="48"/>
      <c r="J594" s="47"/>
      <c r="K594" s="47"/>
      <c r="L594" s="47"/>
      <c r="M594" s="47"/>
      <c r="N594" s="48"/>
      <c r="O594" s="48"/>
    </row>
    <row r="595" spans="2:15" x14ac:dyDescent="0.2">
      <c r="B595" s="47"/>
      <c r="C595" s="47"/>
      <c r="D595" s="78"/>
      <c r="E595" s="47"/>
      <c r="F595" s="47"/>
      <c r="G595" s="47"/>
      <c r="H595" s="47"/>
      <c r="I595" s="48"/>
      <c r="J595" s="47"/>
      <c r="K595" s="47"/>
      <c r="L595" s="47"/>
      <c r="M595" s="47"/>
      <c r="N595" s="48"/>
      <c r="O595" s="48"/>
    </row>
    <row r="596" spans="2:15" x14ac:dyDescent="0.2">
      <c r="B596" s="47"/>
      <c r="C596" s="47"/>
      <c r="D596" s="78"/>
      <c r="E596" s="47"/>
      <c r="F596" s="47"/>
      <c r="G596" s="47"/>
      <c r="H596" s="47"/>
      <c r="I596" s="48"/>
      <c r="J596" s="47"/>
      <c r="K596" s="47"/>
      <c r="L596" s="47"/>
      <c r="M596" s="47"/>
      <c r="N596" s="48"/>
      <c r="O596" s="48"/>
    </row>
    <row r="597" spans="2:15" x14ac:dyDescent="0.2">
      <c r="B597" s="47"/>
      <c r="C597" s="47"/>
      <c r="D597" s="78"/>
      <c r="E597" s="47"/>
      <c r="F597" s="47"/>
      <c r="G597" s="47"/>
      <c r="H597" s="47"/>
      <c r="I597" s="48"/>
      <c r="J597" s="47"/>
      <c r="K597" s="47"/>
      <c r="L597" s="47"/>
      <c r="M597" s="47"/>
      <c r="N597" s="48"/>
      <c r="O597" s="48"/>
    </row>
    <row r="598" spans="2:15" x14ac:dyDescent="0.2">
      <c r="B598" s="47"/>
      <c r="C598" s="47"/>
      <c r="D598" s="78"/>
      <c r="E598" s="47"/>
      <c r="F598" s="47"/>
      <c r="G598" s="47"/>
      <c r="H598" s="47"/>
      <c r="I598" s="48"/>
      <c r="J598" s="47"/>
      <c r="K598" s="47"/>
      <c r="L598" s="47"/>
      <c r="M598" s="47"/>
      <c r="N598" s="48"/>
      <c r="O598" s="48"/>
    </row>
    <row r="599" spans="2:15" x14ac:dyDescent="0.2">
      <c r="B599" s="47"/>
      <c r="C599" s="47"/>
      <c r="D599" s="78"/>
      <c r="E599" s="47"/>
      <c r="F599" s="47"/>
      <c r="G599" s="47"/>
      <c r="H599" s="47"/>
      <c r="I599" s="48"/>
      <c r="J599" s="47"/>
      <c r="K599" s="47"/>
      <c r="L599" s="47"/>
      <c r="M599" s="47"/>
      <c r="N599" s="48"/>
      <c r="O599" s="48"/>
    </row>
    <row r="600" spans="2:15" x14ac:dyDescent="0.2">
      <c r="B600" s="47"/>
      <c r="C600" s="47"/>
      <c r="D600" s="78"/>
      <c r="E600" s="47"/>
      <c r="F600" s="47"/>
      <c r="G600" s="47"/>
      <c r="H600" s="47"/>
      <c r="I600" s="48"/>
      <c r="J600" s="47"/>
      <c r="K600" s="47"/>
      <c r="L600" s="47"/>
      <c r="M600" s="47"/>
      <c r="N600" s="48"/>
      <c r="O600" s="48"/>
    </row>
    <row r="601" spans="2:15" x14ac:dyDescent="0.2">
      <c r="B601" s="47"/>
      <c r="C601" s="47"/>
      <c r="D601" s="78"/>
      <c r="E601" s="47"/>
      <c r="F601" s="47"/>
      <c r="G601" s="47"/>
      <c r="H601" s="47"/>
      <c r="I601" s="48"/>
      <c r="J601" s="47"/>
      <c r="K601" s="47"/>
      <c r="L601" s="47"/>
      <c r="M601" s="47"/>
      <c r="N601" s="48"/>
      <c r="O601" s="48"/>
    </row>
    <row r="602" spans="2:15" x14ac:dyDescent="0.2">
      <c r="B602" s="47"/>
      <c r="C602" s="47"/>
      <c r="D602" s="78"/>
      <c r="E602" s="47"/>
      <c r="F602" s="47"/>
      <c r="G602" s="47"/>
      <c r="H602" s="47"/>
      <c r="I602" s="48"/>
      <c r="J602" s="47"/>
      <c r="K602" s="47"/>
      <c r="L602" s="47"/>
      <c r="M602" s="47"/>
      <c r="N602" s="48"/>
      <c r="O602" s="48"/>
    </row>
    <row r="603" spans="2:15" x14ac:dyDescent="0.2">
      <c r="B603" s="47"/>
      <c r="C603" s="47"/>
      <c r="D603" s="78"/>
      <c r="E603" s="47"/>
      <c r="F603" s="47"/>
      <c r="G603" s="47"/>
      <c r="H603" s="47"/>
      <c r="I603" s="48"/>
      <c r="J603" s="47"/>
      <c r="K603" s="47"/>
      <c r="L603" s="47"/>
      <c r="M603" s="47"/>
      <c r="N603" s="48"/>
      <c r="O603" s="48"/>
    </row>
    <row r="604" spans="2:15" x14ac:dyDescent="0.2">
      <c r="B604" s="47"/>
      <c r="C604" s="47"/>
      <c r="D604" s="78"/>
      <c r="E604" s="47"/>
      <c r="F604" s="47"/>
      <c r="G604" s="47"/>
      <c r="H604" s="47"/>
      <c r="I604" s="48"/>
      <c r="J604" s="47"/>
      <c r="K604" s="47"/>
      <c r="L604" s="47"/>
      <c r="M604" s="47"/>
      <c r="N604" s="48"/>
      <c r="O604" s="48"/>
    </row>
    <row r="605" spans="2:15" x14ac:dyDescent="0.2">
      <c r="B605" s="47"/>
      <c r="C605" s="47"/>
      <c r="D605" s="78"/>
      <c r="E605" s="47"/>
      <c r="F605" s="47"/>
      <c r="G605" s="47"/>
      <c r="H605" s="47"/>
      <c r="I605" s="48"/>
      <c r="J605" s="47"/>
      <c r="K605" s="47"/>
      <c r="L605" s="47"/>
      <c r="M605" s="47"/>
      <c r="N605" s="48"/>
      <c r="O605" s="48"/>
    </row>
    <row r="606" spans="2:15" x14ac:dyDescent="0.2">
      <c r="B606" s="47"/>
      <c r="C606" s="47"/>
      <c r="D606" s="78"/>
      <c r="E606" s="47"/>
      <c r="F606" s="47"/>
      <c r="G606" s="47"/>
      <c r="H606" s="47"/>
      <c r="I606" s="48"/>
      <c r="J606" s="47"/>
      <c r="K606" s="47"/>
      <c r="L606" s="47"/>
      <c r="M606" s="47"/>
      <c r="N606" s="48"/>
      <c r="O606" s="48"/>
    </row>
    <row r="607" spans="2:15" x14ac:dyDescent="0.2">
      <c r="B607" s="47"/>
      <c r="C607" s="47"/>
      <c r="D607" s="78"/>
      <c r="E607" s="47"/>
      <c r="F607" s="47"/>
      <c r="G607" s="47"/>
      <c r="H607" s="47"/>
      <c r="I607" s="48"/>
      <c r="J607" s="47"/>
      <c r="K607" s="47"/>
      <c r="L607" s="47"/>
      <c r="M607" s="47"/>
      <c r="N607" s="48"/>
      <c r="O607" s="48"/>
    </row>
    <row r="608" spans="2:15" x14ac:dyDescent="0.2">
      <c r="B608" s="47"/>
      <c r="C608" s="47"/>
      <c r="D608" s="78"/>
      <c r="E608" s="47"/>
      <c r="F608" s="47"/>
      <c r="G608" s="47"/>
      <c r="H608" s="47"/>
      <c r="I608" s="48"/>
      <c r="J608" s="47"/>
      <c r="K608" s="47"/>
      <c r="L608" s="47"/>
      <c r="M608" s="47"/>
      <c r="N608" s="48"/>
      <c r="O608" s="48"/>
    </row>
    <row r="609" spans="2:15" x14ac:dyDescent="0.2">
      <c r="B609" s="47"/>
      <c r="C609" s="47"/>
      <c r="D609" s="78"/>
      <c r="E609" s="47"/>
      <c r="F609" s="47"/>
      <c r="G609" s="47"/>
      <c r="H609" s="47"/>
      <c r="I609" s="48"/>
      <c r="J609" s="47"/>
      <c r="K609" s="47"/>
      <c r="L609" s="47"/>
      <c r="M609" s="47"/>
      <c r="N609" s="48"/>
      <c r="O609" s="48"/>
    </row>
    <row r="610" spans="2:15" x14ac:dyDescent="0.2">
      <c r="B610" s="47"/>
      <c r="C610" s="47"/>
      <c r="D610" s="78"/>
      <c r="E610" s="47"/>
      <c r="F610" s="47"/>
      <c r="G610" s="47"/>
      <c r="H610" s="47"/>
      <c r="I610" s="48"/>
      <c r="J610" s="47"/>
      <c r="K610" s="47"/>
      <c r="L610" s="47"/>
      <c r="M610" s="47"/>
      <c r="N610" s="48"/>
      <c r="O610" s="48"/>
    </row>
    <row r="611" spans="2:15" x14ac:dyDescent="0.2">
      <c r="B611" s="47"/>
      <c r="C611" s="47"/>
      <c r="D611" s="78"/>
      <c r="E611" s="47"/>
      <c r="F611" s="47"/>
      <c r="G611" s="47"/>
      <c r="H611" s="47"/>
      <c r="I611" s="48"/>
      <c r="J611" s="47"/>
      <c r="K611" s="47"/>
      <c r="L611" s="47"/>
      <c r="M611" s="47"/>
      <c r="N611" s="48"/>
      <c r="O611" s="48"/>
    </row>
    <row r="612" spans="2:15" x14ac:dyDescent="0.2">
      <c r="B612" s="47"/>
      <c r="C612" s="47"/>
      <c r="D612" s="78"/>
      <c r="E612" s="47"/>
      <c r="F612" s="47"/>
      <c r="G612" s="47"/>
      <c r="H612" s="47"/>
      <c r="I612" s="48"/>
      <c r="J612" s="47"/>
      <c r="K612" s="47"/>
      <c r="L612" s="47"/>
      <c r="M612" s="47"/>
      <c r="N612" s="48"/>
      <c r="O612" s="48"/>
    </row>
    <row r="613" spans="2:15" x14ac:dyDescent="0.2">
      <c r="B613" s="47"/>
      <c r="C613" s="47"/>
      <c r="D613" s="78"/>
      <c r="E613" s="47"/>
      <c r="F613" s="47"/>
      <c r="G613" s="47"/>
      <c r="H613" s="47"/>
      <c r="I613" s="48"/>
      <c r="J613" s="47"/>
      <c r="K613" s="47"/>
      <c r="L613" s="47"/>
      <c r="M613" s="47"/>
      <c r="N613" s="48"/>
      <c r="O613" s="48"/>
    </row>
    <row r="614" spans="2:15" x14ac:dyDescent="0.2">
      <c r="B614" s="47"/>
      <c r="C614" s="47"/>
      <c r="D614" s="78"/>
      <c r="E614" s="47"/>
      <c r="F614" s="47"/>
      <c r="G614" s="47"/>
      <c r="H614" s="47"/>
      <c r="I614" s="48"/>
      <c r="J614" s="47"/>
      <c r="K614" s="47"/>
      <c r="L614" s="47"/>
      <c r="M614" s="47"/>
      <c r="N614" s="48"/>
      <c r="O614" s="48"/>
    </row>
    <row r="615" spans="2:15" x14ac:dyDescent="0.2">
      <c r="B615" s="47"/>
      <c r="C615" s="47"/>
      <c r="D615" s="78"/>
      <c r="E615" s="47"/>
      <c r="F615" s="47"/>
      <c r="G615" s="47"/>
      <c r="H615" s="47"/>
      <c r="I615" s="48"/>
      <c r="J615" s="47"/>
      <c r="K615" s="47"/>
      <c r="L615" s="47"/>
      <c r="M615" s="47"/>
      <c r="N615" s="48"/>
      <c r="O615" s="48"/>
    </row>
    <row r="616" spans="2:15" x14ac:dyDescent="0.2">
      <c r="B616" s="47"/>
      <c r="C616" s="47"/>
      <c r="D616" s="78"/>
      <c r="E616" s="47"/>
      <c r="F616" s="47"/>
      <c r="G616" s="47"/>
      <c r="H616" s="47"/>
      <c r="I616" s="48"/>
      <c r="J616" s="47"/>
      <c r="K616" s="47"/>
      <c r="L616" s="47"/>
      <c r="M616" s="47"/>
      <c r="N616" s="48"/>
      <c r="O616" s="48"/>
    </row>
    <row r="617" spans="2:15" x14ac:dyDescent="0.2">
      <c r="B617" s="47"/>
      <c r="C617" s="47"/>
      <c r="D617" s="78"/>
      <c r="E617" s="47"/>
      <c r="F617" s="47"/>
      <c r="G617" s="47"/>
      <c r="H617" s="47"/>
      <c r="I617" s="48"/>
      <c r="J617" s="47"/>
      <c r="K617" s="47"/>
      <c r="L617" s="47"/>
      <c r="M617" s="47"/>
      <c r="N617" s="48"/>
      <c r="O617" s="48"/>
    </row>
    <row r="618" spans="2:15" x14ac:dyDescent="0.2">
      <c r="B618" s="47"/>
      <c r="C618" s="47"/>
      <c r="D618" s="78"/>
      <c r="E618" s="47"/>
      <c r="F618" s="47"/>
      <c r="G618" s="47"/>
      <c r="H618" s="47"/>
      <c r="I618" s="48"/>
      <c r="J618" s="47"/>
      <c r="K618" s="47"/>
      <c r="L618" s="47"/>
      <c r="M618" s="47"/>
      <c r="N618" s="48"/>
      <c r="O618" s="48"/>
    </row>
    <row r="619" spans="2:15" x14ac:dyDescent="0.2">
      <c r="B619" s="47"/>
      <c r="C619" s="47"/>
      <c r="D619" s="78"/>
      <c r="E619" s="47"/>
      <c r="F619" s="47"/>
      <c r="G619" s="47"/>
      <c r="H619" s="47"/>
      <c r="I619" s="48"/>
      <c r="J619" s="47"/>
      <c r="K619" s="47"/>
      <c r="L619" s="47"/>
      <c r="M619" s="47"/>
      <c r="N619" s="48"/>
      <c r="O619" s="48"/>
    </row>
    <row r="620" spans="2:15" x14ac:dyDescent="0.2">
      <c r="B620" s="47"/>
      <c r="C620" s="47"/>
      <c r="D620" s="78"/>
      <c r="E620" s="47"/>
      <c r="F620" s="47"/>
      <c r="G620" s="47"/>
      <c r="H620" s="47"/>
      <c r="I620" s="48"/>
      <c r="J620" s="47"/>
      <c r="K620" s="47"/>
      <c r="L620" s="47"/>
      <c r="M620" s="47"/>
      <c r="N620" s="48"/>
      <c r="O620" s="48"/>
    </row>
    <row r="621" spans="2:15" x14ac:dyDescent="0.2">
      <c r="B621" s="47"/>
      <c r="C621" s="47"/>
      <c r="D621" s="78"/>
      <c r="E621" s="47"/>
      <c r="F621" s="47"/>
      <c r="G621" s="47"/>
      <c r="H621" s="47"/>
      <c r="I621" s="48"/>
      <c r="J621" s="47"/>
      <c r="K621" s="47"/>
      <c r="L621" s="47"/>
      <c r="M621" s="47"/>
      <c r="N621" s="48"/>
      <c r="O621" s="48"/>
    </row>
    <row r="622" spans="2:15" x14ac:dyDescent="0.2">
      <c r="B622" s="47"/>
      <c r="C622" s="47"/>
      <c r="D622" s="78"/>
      <c r="E622" s="47"/>
      <c r="F622" s="47"/>
      <c r="G622" s="47"/>
      <c r="H622" s="47"/>
      <c r="I622" s="48"/>
      <c r="J622" s="47"/>
      <c r="K622" s="47"/>
      <c r="L622" s="47"/>
      <c r="M622" s="47"/>
      <c r="N622" s="48"/>
      <c r="O622" s="48"/>
    </row>
    <row r="623" spans="2:15" x14ac:dyDescent="0.2">
      <c r="B623" s="47"/>
      <c r="C623" s="47"/>
      <c r="D623" s="78"/>
      <c r="E623" s="47"/>
      <c r="F623" s="47"/>
      <c r="G623" s="47"/>
      <c r="H623" s="47"/>
      <c r="I623" s="48"/>
      <c r="J623" s="47"/>
      <c r="K623" s="47"/>
      <c r="L623" s="47"/>
      <c r="M623" s="47"/>
      <c r="N623" s="48"/>
      <c r="O623" s="48"/>
    </row>
    <row r="624" spans="2:15" x14ac:dyDescent="0.2">
      <c r="B624" s="47"/>
      <c r="C624" s="47"/>
      <c r="D624" s="78"/>
      <c r="E624" s="47"/>
      <c r="F624" s="47"/>
      <c r="G624" s="47"/>
      <c r="H624" s="47"/>
      <c r="I624" s="48"/>
      <c r="J624" s="47"/>
      <c r="K624" s="47"/>
      <c r="L624" s="47"/>
      <c r="M624" s="47"/>
      <c r="N624" s="48"/>
      <c r="O624" s="48"/>
    </row>
    <row r="625" spans="2:15" x14ac:dyDescent="0.2">
      <c r="B625" s="47"/>
      <c r="C625" s="47"/>
      <c r="D625" s="78"/>
      <c r="E625" s="47"/>
      <c r="F625" s="47"/>
      <c r="G625" s="47"/>
      <c r="H625" s="47"/>
      <c r="I625" s="48"/>
      <c r="J625" s="47"/>
      <c r="K625" s="47"/>
      <c r="L625" s="47"/>
      <c r="M625" s="47"/>
      <c r="N625" s="48"/>
      <c r="O625" s="48"/>
    </row>
    <row r="626" spans="2:15" x14ac:dyDescent="0.2">
      <c r="B626" s="47"/>
      <c r="C626" s="47"/>
      <c r="D626" s="78"/>
      <c r="E626" s="47"/>
      <c r="F626" s="47"/>
      <c r="G626" s="47"/>
      <c r="H626" s="47"/>
      <c r="I626" s="48"/>
      <c r="J626" s="47"/>
      <c r="K626" s="47"/>
      <c r="L626" s="47"/>
      <c r="M626" s="47"/>
      <c r="N626" s="48"/>
      <c r="O626" s="48"/>
    </row>
    <row r="627" spans="2:15" x14ac:dyDescent="0.2">
      <c r="B627" s="47"/>
      <c r="C627" s="47"/>
      <c r="D627" s="78"/>
      <c r="E627" s="47"/>
      <c r="F627" s="47"/>
      <c r="G627" s="47"/>
      <c r="H627" s="47"/>
      <c r="I627" s="48"/>
      <c r="J627" s="47"/>
      <c r="K627" s="47"/>
      <c r="L627" s="47"/>
      <c r="M627" s="47"/>
      <c r="N627" s="48"/>
      <c r="O627" s="48"/>
    </row>
    <row r="628" spans="2:15" x14ac:dyDescent="0.2">
      <c r="B628" s="47"/>
      <c r="C628" s="47"/>
      <c r="D628" s="78"/>
      <c r="E628" s="47"/>
      <c r="F628" s="47"/>
      <c r="G628" s="47"/>
      <c r="H628" s="47"/>
      <c r="I628" s="48"/>
      <c r="J628" s="47"/>
      <c r="K628" s="47"/>
      <c r="L628" s="47"/>
      <c r="M628" s="47"/>
      <c r="N628" s="48"/>
      <c r="O628" s="48"/>
    </row>
    <row r="629" spans="2:15" x14ac:dyDescent="0.2">
      <c r="B629" s="47"/>
      <c r="C629" s="47"/>
      <c r="D629" s="78"/>
      <c r="E629" s="47"/>
      <c r="F629" s="47"/>
      <c r="G629" s="47"/>
      <c r="H629" s="47"/>
      <c r="I629" s="48"/>
      <c r="J629" s="47"/>
      <c r="K629" s="47"/>
      <c r="L629" s="47"/>
      <c r="M629" s="47"/>
      <c r="N629" s="48"/>
      <c r="O629" s="48"/>
    </row>
    <row r="630" spans="2:15" x14ac:dyDescent="0.2">
      <c r="B630" s="47"/>
      <c r="C630" s="47"/>
      <c r="D630" s="78"/>
      <c r="E630" s="47"/>
      <c r="F630" s="47"/>
      <c r="G630" s="47"/>
      <c r="H630" s="47"/>
      <c r="I630" s="48"/>
      <c r="J630" s="47"/>
      <c r="K630" s="47"/>
      <c r="L630" s="47"/>
      <c r="M630" s="47"/>
      <c r="N630" s="48"/>
      <c r="O630" s="48"/>
    </row>
    <row r="631" spans="2:15" x14ac:dyDescent="0.2">
      <c r="B631" s="47"/>
      <c r="C631" s="47"/>
      <c r="D631" s="78"/>
      <c r="E631" s="47"/>
      <c r="F631" s="47"/>
      <c r="G631" s="47"/>
      <c r="H631" s="47"/>
      <c r="I631" s="48"/>
      <c r="J631" s="47"/>
      <c r="K631" s="47"/>
      <c r="L631" s="47"/>
      <c r="M631" s="47"/>
      <c r="N631" s="48"/>
      <c r="O631" s="48"/>
    </row>
    <row r="632" spans="2:15" x14ac:dyDescent="0.2">
      <c r="B632" s="47"/>
      <c r="C632" s="47"/>
      <c r="D632" s="78"/>
      <c r="E632" s="47"/>
      <c r="F632" s="47"/>
      <c r="G632" s="47"/>
      <c r="H632" s="47"/>
      <c r="I632" s="48"/>
      <c r="J632" s="47"/>
      <c r="K632" s="47"/>
      <c r="L632" s="47"/>
      <c r="M632" s="47"/>
      <c r="N632" s="48"/>
      <c r="O632" s="48"/>
    </row>
    <row r="633" spans="2:15" x14ac:dyDescent="0.2">
      <c r="B633" s="47"/>
      <c r="C633" s="47"/>
      <c r="D633" s="78"/>
      <c r="E633" s="47"/>
      <c r="F633" s="47"/>
      <c r="G633" s="47"/>
      <c r="H633" s="47"/>
      <c r="I633" s="48"/>
      <c r="J633" s="47"/>
      <c r="K633" s="47"/>
      <c r="L633" s="47"/>
      <c r="M633" s="47"/>
      <c r="N633" s="48"/>
      <c r="O633" s="48"/>
    </row>
    <row r="634" spans="2:15" x14ac:dyDescent="0.2">
      <c r="B634" s="47"/>
      <c r="C634" s="47"/>
      <c r="D634" s="78"/>
      <c r="E634" s="47"/>
      <c r="F634" s="47"/>
      <c r="G634" s="47"/>
      <c r="H634" s="47"/>
      <c r="I634" s="48"/>
      <c r="J634" s="47"/>
      <c r="K634" s="47"/>
      <c r="L634" s="47"/>
      <c r="M634" s="47"/>
      <c r="N634" s="48"/>
      <c r="O634" s="48"/>
    </row>
    <row r="635" spans="2:15" x14ac:dyDescent="0.2">
      <c r="B635" s="47"/>
      <c r="C635" s="47"/>
      <c r="D635" s="78"/>
      <c r="E635" s="47"/>
      <c r="F635" s="47"/>
      <c r="G635" s="47"/>
      <c r="H635" s="47"/>
      <c r="I635" s="48"/>
      <c r="J635" s="47"/>
      <c r="K635" s="47"/>
      <c r="L635" s="47"/>
      <c r="M635" s="47"/>
      <c r="N635" s="48"/>
      <c r="O635" s="48"/>
    </row>
    <row r="636" spans="2:15" x14ac:dyDescent="0.2">
      <c r="B636" s="47"/>
      <c r="C636" s="47"/>
      <c r="D636" s="78"/>
      <c r="E636" s="47"/>
      <c r="F636" s="47"/>
      <c r="G636" s="47"/>
      <c r="H636" s="47"/>
      <c r="I636" s="48"/>
      <c r="J636" s="47"/>
      <c r="K636" s="47"/>
      <c r="L636" s="47"/>
      <c r="M636" s="47"/>
      <c r="N636" s="48"/>
      <c r="O636" s="48"/>
    </row>
    <row r="637" spans="2:15" x14ac:dyDescent="0.2">
      <c r="B637" s="47"/>
      <c r="C637" s="47"/>
      <c r="D637" s="78"/>
      <c r="E637" s="47"/>
      <c r="F637" s="47"/>
      <c r="G637" s="47"/>
      <c r="H637" s="47"/>
      <c r="I637" s="48"/>
      <c r="J637" s="47"/>
      <c r="K637" s="47"/>
      <c r="L637" s="47"/>
      <c r="M637" s="47"/>
      <c r="N637" s="48"/>
      <c r="O637" s="48"/>
    </row>
    <row r="638" spans="2:15" x14ac:dyDescent="0.2">
      <c r="B638" s="47"/>
      <c r="C638" s="47"/>
      <c r="D638" s="78"/>
      <c r="E638" s="47"/>
      <c r="F638" s="47"/>
      <c r="G638" s="47"/>
      <c r="H638" s="47"/>
      <c r="I638" s="48"/>
      <c r="J638" s="47"/>
      <c r="K638" s="47"/>
      <c r="L638" s="47"/>
      <c r="M638" s="47"/>
      <c r="N638" s="48"/>
      <c r="O638" s="48"/>
    </row>
    <row r="639" spans="2:15" x14ac:dyDescent="0.2">
      <c r="B639" s="47"/>
      <c r="C639" s="47"/>
      <c r="D639" s="78"/>
      <c r="E639" s="47"/>
      <c r="F639" s="47"/>
      <c r="G639" s="47"/>
      <c r="H639" s="47"/>
      <c r="I639" s="48"/>
      <c r="J639" s="47"/>
      <c r="K639" s="47"/>
      <c r="L639" s="47"/>
      <c r="M639" s="47"/>
      <c r="N639" s="48"/>
      <c r="O639" s="48"/>
    </row>
    <row r="640" spans="2:15" x14ac:dyDescent="0.2">
      <c r="B640" s="47"/>
      <c r="C640" s="47"/>
      <c r="D640" s="78"/>
      <c r="E640" s="47"/>
      <c r="F640" s="47"/>
      <c r="G640" s="47"/>
      <c r="H640" s="47"/>
      <c r="I640" s="48"/>
      <c r="J640" s="47"/>
      <c r="K640" s="47"/>
      <c r="L640" s="47"/>
      <c r="M640" s="47"/>
      <c r="N640" s="48"/>
      <c r="O640" s="48"/>
    </row>
    <row r="641" spans="2:15" x14ac:dyDescent="0.2">
      <c r="B641" s="47"/>
      <c r="C641" s="47"/>
      <c r="D641" s="78"/>
      <c r="E641" s="47"/>
      <c r="F641" s="47"/>
      <c r="G641" s="47"/>
      <c r="H641" s="47"/>
      <c r="I641" s="48"/>
      <c r="J641" s="47"/>
      <c r="K641" s="47"/>
      <c r="L641" s="47"/>
      <c r="M641" s="47"/>
      <c r="N641" s="48"/>
      <c r="O641" s="48"/>
    </row>
    <row r="642" spans="2:15" x14ac:dyDescent="0.2">
      <c r="B642" s="47"/>
      <c r="C642" s="47"/>
      <c r="D642" s="78"/>
      <c r="E642" s="47"/>
      <c r="F642" s="47"/>
      <c r="G642" s="47"/>
      <c r="H642" s="47"/>
      <c r="I642" s="48"/>
      <c r="J642" s="47"/>
      <c r="K642" s="47"/>
      <c r="L642" s="47"/>
      <c r="M642" s="47"/>
      <c r="N642" s="48"/>
      <c r="O642" s="48"/>
    </row>
    <row r="643" spans="2:15" x14ac:dyDescent="0.2">
      <c r="B643" s="47"/>
      <c r="C643" s="47"/>
      <c r="D643" s="78"/>
      <c r="E643" s="47"/>
      <c r="F643" s="47"/>
      <c r="G643" s="47"/>
      <c r="H643" s="47"/>
      <c r="I643" s="48"/>
      <c r="J643" s="47"/>
      <c r="K643" s="47"/>
      <c r="L643" s="47"/>
      <c r="M643" s="47"/>
      <c r="N643" s="48"/>
      <c r="O643" s="48"/>
    </row>
    <row r="644" spans="2:15" x14ac:dyDescent="0.2">
      <c r="B644" s="47"/>
      <c r="C644" s="47"/>
      <c r="D644" s="78"/>
      <c r="E644" s="47"/>
      <c r="F644" s="47"/>
      <c r="G644" s="47"/>
      <c r="H644" s="47"/>
      <c r="I644" s="48"/>
      <c r="J644" s="47"/>
      <c r="K644" s="47"/>
      <c r="L644" s="47"/>
      <c r="M644" s="47"/>
      <c r="N644" s="48"/>
      <c r="O644" s="48"/>
    </row>
    <row r="645" spans="2:15" x14ac:dyDescent="0.2">
      <c r="B645" s="47"/>
      <c r="C645" s="47"/>
      <c r="D645" s="78"/>
      <c r="E645" s="47"/>
      <c r="F645" s="47"/>
      <c r="G645" s="47"/>
      <c r="H645" s="47"/>
      <c r="I645" s="48"/>
      <c r="J645" s="47"/>
      <c r="K645" s="47"/>
      <c r="L645" s="47"/>
      <c r="M645" s="47"/>
      <c r="N645" s="48"/>
      <c r="O645" s="48"/>
    </row>
    <row r="646" spans="2:15" x14ac:dyDescent="0.2">
      <c r="B646" s="47"/>
      <c r="C646" s="47"/>
      <c r="D646" s="78"/>
      <c r="E646" s="47"/>
      <c r="F646" s="47"/>
      <c r="G646" s="47"/>
      <c r="H646" s="47"/>
      <c r="I646" s="48"/>
      <c r="J646" s="47"/>
      <c r="K646" s="47"/>
      <c r="L646" s="47"/>
      <c r="M646" s="47"/>
      <c r="N646" s="48"/>
      <c r="O646" s="48"/>
    </row>
    <row r="647" spans="2:15" x14ac:dyDescent="0.2">
      <c r="B647" s="47"/>
      <c r="C647" s="47"/>
      <c r="D647" s="78"/>
      <c r="E647" s="47"/>
      <c r="F647" s="47"/>
      <c r="G647" s="47"/>
      <c r="H647" s="47"/>
      <c r="I647" s="48"/>
      <c r="J647" s="47"/>
      <c r="K647" s="47"/>
      <c r="L647" s="47"/>
      <c r="M647" s="47"/>
      <c r="N647" s="48"/>
      <c r="O647" s="48"/>
    </row>
    <row r="648" spans="2:15" x14ac:dyDescent="0.2">
      <c r="B648" s="47"/>
      <c r="C648" s="47"/>
      <c r="D648" s="78"/>
      <c r="E648" s="47"/>
      <c r="F648" s="47"/>
      <c r="G648" s="47"/>
      <c r="H648" s="47"/>
      <c r="I648" s="48"/>
      <c r="J648" s="47"/>
      <c r="K648" s="47"/>
      <c r="L648" s="47"/>
      <c r="M648" s="47"/>
      <c r="N648" s="48"/>
      <c r="O648" s="48"/>
    </row>
    <row r="649" spans="2:15" x14ac:dyDescent="0.2">
      <c r="B649" s="47"/>
      <c r="C649" s="47"/>
      <c r="D649" s="78"/>
      <c r="E649" s="47"/>
      <c r="F649" s="47"/>
      <c r="G649" s="47"/>
      <c r="H649" s="47"/>
      <c r="I649" s="48"/>
      <c r="J649" s="47"/>
      <c r="K649" s="47"/>
      <c r="L649" s="47"/>
      <c r="M649" s="47"/>
      <c r="N649" s="48"/>
      <c r="O649" s="48"/>
    </row>
    <row r="650" spans="2:15" x14ac:dyDescent="0.2">
      <c r="B650" s="47"/>
      <c r="C650" s="47"/>
      <c r="D650" s="78"/>
      <c r="E650" s="47"/>
      <c r="F650" s="47"/>
      <c r="G650" s="47"/>
      <c r="H650" s="47"/>
      <c r="I650" s="48"/>
      <c r="J650" s="47"/>
      <c r="K650" s="47"/>
      <c r="L650" s="47"/>
      <c r="M650" s="47"/>
      <c r="N650" s="48"/>
      <c r="O650" s="48"/>
    </row>
    <row r="651" spans="2:15" x14ac:dyDescent="0.2">
      <c r="B651" s="47"/>
      <c r="C651" s="47"/>
      <c r="D651" s="78"/>
      <c r="E651" s="47"/>
      <c r="F651" s="47"/>
      <c r="G651" s="47"/>
      <c r="H651" s="47"/>
      <c r="I651" s="48"/>
      <c r="J651" s="47"/>
      <c r="K651" s="47"/>
      <c r="L651" s="47"/>
      <c r="M651" s="47"/>
      <c r="N651" s="48"/>
      <c r="O651" s="48"/>
    </row>
    <row r="652" spans="2:15" x14ac:dyDescent="0.2">
      <c r="B652" s="47"/>
      <c r="C652" s="47"/>
      <c r="D652" s="78"/>
      <c r="E652" s="47"/>
      <c r="F652" s="47"/>
      <c r="G652" s="47"/>
      <c r="H652" s="47"/>
      <c r="I652" s="48"/>
      <c r="J652" s="47"/>
      <c r="K652" s="47"/>
      <c r="L652" s="47"/>
      <c r="M652" s="47"/>
      <c r="N652" s="48"/>
      <c r="O652" s="48"/>
    </row>
    <row r="653" spans="2:15" x14ac:dyDescent="0.2">
      <c r="B653" s="47"/>
      <c r="C653" s="47"/>
      <c r="D653" s="78"/>
      <c r="E653" s="47"/>
      <c r="F653" s="47"/>
      <c r="G653" s="47"/>
      <c r="H653" s="47"/>
      <c r="I653" s="48"/>
      <c r="J653" s="47"/>
      <c r="K653" s="47"/>
      <c r="L653" s="47"/>
      <c r="M653" s="47"/>
      <c r="N653" s="48"/>
      <c r="O653" s="48"/>
    </row>
    <row r="654" spans="2:15" x14ac:dyDescent="0.2">
      <c r="B654" s="47"/>
      <c r="C654" s="47"/>
      <c r="D654" s="78"/>
      <c r="E654" s="47"/>
      <c r="F654" s="47"/>
      <c r="G654" s="47"/>
      <c r="H654" s="47"/>
      <c r="I654" s="48"/>
      <c r="J654" s="47"/>
      <c r="K654" s="47"/>
      <c r="L654" s="47"/>
      <c r="M654" s="47"/>
      <c r="N654" s="48"/>
      <c r="O654" s="48"/>
    </row>
    <row r="655" spans="2:15" x14ac:dyDescent="0.2">
      <c r="B655" s="47"/>
      <c r="C655" s="47"/>
      <c r="D655" s="78"/>
      <c r="E655" s="47"/>
      <c r="F655" s="47"/>
      <c r="G655" s="47"/>
      <c r="H655" s="47"/>
      <c r="I655" s="48"/>
      <c r="J655" s="47"/>
      <c r="K655" s="47"/>
      <c r="L655" s="47"/>
      <c r="M655" s="47"/>
      <c r="N655" s="48"/>
      <c r="O655" s="48"/>
    </row>
    <row r="656" spans="2:15" x14ac:dyDescent="0.2">
      <c r="B656" s="47"/>
      <c r="C656" s="47"/>
      <c r="D656" s="78"/>
      <c r="E656" s="47"/>
      <c r="F656" s="47"/>
      <c r="G656" s="47"/>
      <c r="H656" s="47"/>
      <c r="I656" s="48"/>
      <c r="J656" s="47"/>
      <c r="K656" s="47"/>
      <c r="L656" s="47"/>
      <c r="M656" s="47"/>
      <c r="N656" s="48"/>
      <c r="O656" s="48"/>
    </row>
    <row r="657" spans="2:15" x14ac:dyDescent="0.2">
      <c r="B657" s="47"/>
      <c r="C657" s="47"/>
      <c r="D657" s="78"/>
      <c r="E657" s="47"/>
      <c r="F657" s="47"/>
      <c r="G657" s="47"/>
      <c r="H657" s="47"/>
      <c r="I657" s="48"/>
      <c r="J657" s="47"/>
      <c r="K657" s="47"/>
      <c r="L657" s="47"/>
      <c r="M657" s="47"/>
      <c r="N657" s="48"/>
      <c r="O657" s="48"/>
    </row>
    <row r="658" spans="2:15" x14ac:dyDescent="0.2">
      <c r="B658" s="47"/>
      <c r="C658" s="47"/>
      <c r="D658" s="78"/>
      <c r="E658" s="47"/>
      <c r="F658" s="47"/>
      <c r="G658" s="47"/>
      <c r="H658" s="47"/>
      <c r="I658" s="48"/>
      <c r="J658" s="47"/>
      <c r="K658" s="47"/>
      <c r="L658" s="47"/>
      <c r="M658" s="47"/>
      <c r="N658" s="48"/>
      <c r="O658" s="48"/>
    </row>
    <row r="659" spans="2:15" x14ac:dyDescent="0.2">
      <c r="B659" s="47"/>
      <c r="C659" s="47"/>
      <c r="D659" s="78"/>
      <c r="E659" s="47"/>
      <c r="F659" s="47"/>
      <c r="G659" s="47"/>
      <c r="H659" s="47"/>
      <c r="I659" s="48"/>
      <c r="J659" s="47"/>
      <c r="K659" s="47"/>
      <c r="L659" s="47"/>
      <c r="M659" s="47"/>
      <c r="N659" s="48"/>
      <c r="O659" s="48"/>
    </row>
    <row r="660" spans="2:15" x14ac:dyDescent="0.2">
      <c r="B660" s="47"/>
      <c r="C660" s="47"/>
      <c r="D660" s="78"/>
      <c r="E660" s="47"/>
      <c r="F660" s="47"/>
      <c r="G660" s="47"/>
      <c r="H660" s="47"/>
      <c r="I660" s="48"/>
      <c r="J660" s="47"/>
      <c r="K660" s="47"/>
      <c r="L660" s="47"/>
      <c r="M660" s="47"/>
      <c r="N660" s="48"/>
      <c r="O660" s="48"/>
    </row>
    <row r="661" spans="2:15" x14ac:dyDescent="0.2">
      <c r="B661" s="47"/>
      <c r="C661" s="47"/>
      <c r="D661" s="78"/>
      <c r="E661" s="47"/>
      <c r="F661" s="47"/>
      <c r="G661" s="47"/>
      <c r="H661" s="47"/>
      <c r="I661" s="48"/>
      <c r="J661" s="47"/>
      <c r="K661" s="47"/>
      <c r="L661" s="47"/>
      <c r="M661" s="47"/>
      <c r="N661" s="48"/>
      <c r="O661" s="48"/>
    </row>
    <row r="662" spans="2:15" x14ac:dyDescent="0.2">
      <c r="B662" s="47"/>
      <c r="C662" s="47"/>
      <c r="D662" s="78"/>
      <c r="E662" s="47"/>
      <c r="F662" s="47"/>
      <c r="G662" s="47"/>
      <c r="H662" s="47"/>
      <c r="I662" s="48"/>
      <c r="J662" s="47"/>
      <c r="K662" s="47"/>
      <c r="L662" s="47"/>
      <c r="M662" s="47"/>
      <c r="N662" s="48"/>
      <c r="O662" s="48"/>
    </row>
    <row r="663" spans="2:15" x14ac:dyDescent="0.2">
      <c r="B663" s="47"/>
      <c r="C663" s="47"/>
      <c r="D663" s="78"/>
      <c r="E663" s="47"/>
      <c r="F663" s="47"/>
      <c r="G663" s="47"/>
      <c r="H663" s="47"/>
      <c r="I663" s="48"/>
      <c r="J663" s="47"/>
      <c r="K663" s="47"/>
      <c r="L663" s="47"/>
      <c r="M663" s="47"/>
      <c r="N663" s="48"/>
      <c r="O663" s="48"/>
    </row>
    <row r="664" spans="2:15" x14ac:dyDescent="0.2">
      <c r="B664" s="47"/>
      <c r="C664" s="47"/>
      <c r="D664" s="78"/>
      <c r="E664" s="47"/>
      <c r="F664" s="47"/>
      <c r="G664" s="47"/>
      <c r="H664" s="47"/>
      <c r="I664" s="48"/>
      <c r="J664" s="47"/>
      <c r="K664" s="47"/>
      <c r="L664" s="47"/>
      <c r="M664" s="47"/>
      <c r="N664" s="48"/>
      <c r="O664" s="48"/>
    </row>
    <row r="665" spans="2:15" x14ac:dyDescent="0.2">
      <c r="B665" s="47"/>
      <c r="C665" s="47"/>
      <c r="D665" s="78"/>
      <c r="E665" s="47"/>
      <c r="F665" s="47"/>
      <c r="G665" s="47"/>
      <c r="H665" s="47"/>
      <c r="I665" s="48"/>
      <c r="J665" s="47"/>
      <c r="K665" s="47"/>
      <c r="L665" s="47"/>
      <c r="M665" s="47"/>
      <c r="N665" s="48"/>
      <c r="O665" s="48"/>
    </row>
    <row r="666" spans="2:15" x14ac:dyDescent="0.2">
      <c r="B666" s="47"/>
      <c r="C666" s="47"/>
      <c r="D666" s="78"/>
      <c r="E666" s="47"/>
      <c r="F666" s="47"/>
      <c r="G666" s="47"/>
      <c r="H666" s="47"/>
      <c r="I666" s="48"/>
      <c r="J666" s="47"/>
      <c r="K666" s="47"/>
      <c r="L666" s="47"/>
      <c r="M666" s="47"/>
      <c r="N666" s="48"/>
      <c r="O666" s="48"/>
    </row>
    <row r="667" spans="2:15" x14ac:dyDescent="0.2">
      <c r="B667" s="47"/>
      <c r="C667" s="47"/>
      <c r="D667" s="78"/>
      <c r="E667" s="47"/>
      <c r="F667" s="47"/>
      <c r="G667" s="47"/>
      <c r="H667" s="47"/>
      <c r="I667" s="48"/>
      <c r="J667" s="47"/>
      <c r="K667" s="47"/>
      <c r="L667" s="47"/>
      <c r="M667" s="47"/>
      <c r="N667" s="48"/>
      <c r="O667" s="48"/>
    </row>
    <row r="668" spans="2:15" x14ac:dyDescent="0.2">
      <c r="B668" s="47"/>
      <c r="C668" s="47"/>
      <c r="D668" s="78"/>
      <c r="E668" s="47"/>
      <c r="F668" s="47"/>
      <c r="G668" s="47"/>
      <c r="H668" s="47"/>
      <c r="I668" s="48"/>
      <c r="J668" s="47"/>
      <c r="K668" s="47"/>
      <c r="L668" s="47"/>
      <c r="M668" s="47"/>
      <c r="N668" s="48"/>
      <c r="O668" s="48"/>
    </row>
    <row r="669" spans="2:15" x14ac:dyDescent="0.2">
      <c r="B669" s="47"/>
      <c r="C669" s="47"/>
      <c r="D669" s="78"/>
      <c r="E669" s="47"/>
      <c r="F669" s="47"/>
      <c r="G669" s="47"/>
      <c r="H669" s="47"/>
      <c r="I669" s="48"/>
      <c r="J669" s="47"/>
      <c r="K669" s="47"/>
      <c r="L669" s="47"/>
      <c r="M669" s="47"/>
      <c r="N669" s="48"/>
      <c r="O669" s="48"/>
    </row>
    <row r="670" spans="2:15" x14ac:dyDescent="0.2">
      <c r="B670" s="47"/>
      <c r="C670" s="47"/>
      <c r="D670" s="78"/>
      <c r="E670" s="47"/>
      <c r="F670" s="47"/>
      <c r="G670" s="47"/>
      <c r="H670" s="47"/>
      <c r="I670" s="48"/>
      <c r="J670" s="47"/>
      <c r="K670" s="47"/>
      <c r="L670" s="47"/>
      <c r="M670" s="47"/>
      <c r="N670" s="48"/>
      <c r="O670" s="48"/>
    </row>
    <row r="671" spans="2:15" x14ac:dyDescent="0.2">
      <c r="B671" s="47"/>
      <c r="C671" s="47"/>
      <c r="D671" s="78"/>
      <c r="E671" s="47"/>
      <c r="F671" s="47"/>
      <c r="G671" s="47"/>
      <c r="H671" s="47"/>
      <c r="I671" s="48"/>
      <c r="J671" s="47"/>
      <c r="K671" s="47"/>
      <c r="L671" s="47"/>
      <c r="M671" s="47"/>
      <c r="N671" s="48"/>
      <c r="O671" s="48"/>
    </row>
    <row r="672" spans="2:15" x14ac:dyDescent="0.2">
      <c r="B672" s="47"/>
      <c r="C672" s="47"/>
      <c r="D672" s="78"/>
      <c r="E672" s="47"/>
      <c r="F672" s="47"/>
      <c r="G672" s="47"/>
      <c r="H672" s="47"/>
      <c r="I672" s="48"/>
      <c r="J672" s="47"/>
      <c r="K672" s="47"/>
      <c r="L672" s="47"/>
      <c r="M672" s="47"/>
      <c r="N672" s="48"/>
      <c r="O672" s="48"/>
    </row>
    <row r="673" spans="2:15" x14ac:dyDescent="0.2">
      <c r="B673" s="47"/>
      <c r="C673" s="47"/>
      <c r="D673" s="78"/>
      <c r="E673" s="47"/>
      <c r="F673" s="47"/>
      <c r="G673" s="47"/>
      <c r="H673" s="47"/>
      <c r="I673" s="48"/>
      <c r="J673" s="47"/>
      <c r="K673" s="47"/>
      <c r="L673" s="47"/>
      <c r="M673" s="47"/>
      <c r="N673" s="48"/>
      <c r="O673" s="48"/>
    </row>
    <row r="674" spans="2:15" x14ac:dyDescent="0.2">
      <c r="B674" s="47"/>
      <c r="C674" s="47"/>
      <c r="D674" s="78"/>
      <c r="E674" s="47"/>
      <c r="F674" s="47"/>
      <c r="G674" s="47"/>
      <c r="H674" s="47"/>
      <c r="I674" s="48"/>
      <c r="J674" s="47"/>
      <c r="K674" s="47"/>
      <c r="L674" s="47"/>
      <c r="M674" s="47"/>
      <c r="N674" s="48"/>
      <c r="O674" s="48"/>
    </row>
    <row r="675" spans="2:15" x14ac:dyDescent="0.2">
      <c r="B675" s="47"/>
      <c r="C675" s="47"/>
      <c r="D675" s="78"/>
      <c r="E675" s="47"/>
      <c r="F675" s="47"/>
      <c r="G675" s="47"/>
      <c r="H675" s="47"/>
      <c r="I675" s="48"/>
      <c r="J675" s="47"/>
      <c r="K675" s="47"/>
      <c r="L675" s="47"/>
      <c r="M675" s="47"/>
      <c r="N675" s="48"/>
      <c r="O675" s="48"/>
    </row>
    <row r="676" spans="2:15" x14ac:dyDescent="0.2">
      <c r="B676" s="47"/>
      <c r="C676" s="47"/>
      <c r="D676" s="78"/>
      <c r="E676" s="47"/>
      <c r="F676" s="47"/>
      <c r="G676" s="47"/>
      <c r="H676" s="47"/>
      <c r="I676" s="48"/>
      <c r="J676" s="47"/>
      <c r="K676" s="47"/>
      <c r="L676" s="47"/>
      <c r="M676" s="47"/>
      <c r="N676" s="48"/>
      <c r="O676" s="48"/>
    </row>
    <row r="677" spans="2:15" x14ac:dyDescent="0.2">
      <c r="B677" s="47"/>
      <c r="C677" s="47"/>
      <c r="D677" s="78"/>
      <c r="E677" s="47"/>
      <c r="F677" s="47"/>
      <c r="G677" s="47"/>
      <c r="H677" s="47"/>
      <c r="I677" s="48"/>
      <c r="J677" s="47"/>
      <c r="K677" s="47"/>
      <c r="L677" s="47"/>
      <c r="M677" s="47"/>
      <c r="N677" s="48"/>
      <c r="O677" s="48"/>
    </row>
    <row r="678" spans="2:15" x14ac:dyDescent="0.2">
      <c r="B678" s="47"/>
      <c r="C678" s="47"/>
      <c r="D678" s="78"/>
      <c r="E678" s="47"/>
      <c r="F678" s="47"/>
      <c r="G678" s="47"/>
      <c r="H678" s="47"/>
      <c r="I678" s="48"/>
      <c r="J678" s="47"/>
      <c r="K678" s="47"/>
      <c r="L678" s="47"/>
      <c r="M678" s="47"/>
      <c r="N678" s="48"/>
      <c r="O678" s="48"/>
    </row>
    <row r="679" spans="2:15" x14ac:dyDescent="0.2">
      <c r="B679" s="47"/>
      <c r="C679" s="47"/>
      <c r="D679" s="78"/>
      <c r="E679" s="47"/>
      <c r="F679" s="47"/>
      <c r="G679" s="47"/>
      <c r="H679" s="47"/>
      <c r="I679" s="48"/>
      <c r="J679" s="47"/>
      <c r="K679" s="47"/>
      <c r="L679" s="47"/>
      <c r="M679" s="47"/>
      <c r="N679" s="48"/>
      <c r="O679" s="48"/>
    </row>
    <row r="680" spans="2:15" x14ac:dyDescent="0.2">
      <c r="B680" s="47"/>
      <c r="C680" s="47"/>
      <c r="D680" s="78"/>
      <c r="E680" s="47"/>
      <c r="F680" s="47"/>
      <c r="G680" s="47"/>
      <c r="H680" s="47"/>
      <c r="I680" s="48"/>
      <c r="J680" s="47"/>
      <c r="K680" s="47"/>
      <c r="L680" s="47"/>
      <c r="M680" s="47"/>
      <c r="N680" s="48"/>
      <c r="O680" s="48"/>
    </row>
    <row r="681" spans="2:15" x14ac:dyDescent="0.2">
      <c r="B681" s="47"/>
      <c r="C681" s="47"/>
      <c r="D681" s="78"/>
      <c r="E681" s="47"/>
      <c r="F681" s="47"/>
      <c r="G681" s="47"/>
      <c r="H681" s="47"/>
      <c r="I681" s="48"/>
      <c r="J681" s="47"/>
      <c r="K681" s="47"/>
      <c r="L681" s="47"/>
      <c r="M681" s="47"/>
      <c r="N681" s="48"/>
      <c r="O681" s="48"/>
    </row>
    <row r="682" spans="2:15" x14ac:dyDescent="0.2">
      <c r="B682" s="47"/>
      <c r="C682" s="47"/>
      <c r="D682" s="78"/>
      <c r="E682" s="47"/>
      <c r="F682" s="47"/>
      <c r="G682" s="47"/>
      <c r="H682" s="47"/>
      <c r="I682" s="48"/>
      <c r="J682" s="47"/>
      <c r="K682" s="47"/>
      <c r="L682" s="47"/>
      <c r="M682" s="47"/>
      <c r="N682" s="48"/>
      <c r="O682" s="48"/>
    </row>
    <row r="683" spans="2:15" x14ac:dyDescent="0.2">
      <c r="B683" s="47"/>
      <c r="C683" s="47"/>
      <c r="D683" s="78"/>
      <c r="E683" s="47"/>
      <c r="F683" s="47"/>
      <c r="G683" s="47"/>
      <c r="H683" s="47"/>
      <c r="I683" s="48"/>
      <c r="J683" s="47"/>
      <c r="K683" s="47"/>
      <c r="L683" s="47"/>
      <c r="M683" s="47"/>
      <c r="N683" s="48"/>
      <c r="O683" s="48"/>
    </row>
    <row r="684" spans="2:15" x14ac:dyDescent="0.2">
      <c r="B684" s="47"/>
      <c r="C684" s="47"/>
      <c r="D684" s="78"/>
      <c r="E684" s="47"/>
      <c r="F684" s="47"/>
      <c r="G684" s="47"/>
      <c r="H684" s="47"/>
      <c r="I684" s="48"/>
      <c r="J684" s="47"/>
      <c r="K684" s="47"/>
      <c r="L684" s="47"/>
      <c r="M684" s="47"/>
      <c r="N684" s="48"/>
      <c r="O684" s="48"/>
    </row>
    <row r="685" spans="2:15" x14ac:dyDescent="0.2">
      <c r="B685" s="47"/>
      <c r="C685" s="47"/>
      <c r="D685" s="78"/>
      <c r="E685" s="47"/>
      <c r="F685" s="47"/>
      <c r="G685" s="47"/>
      <c r="H685" s="47"/>
      <c r="I685" s="48"/>
      <c r="J685" s="47"/>
      <c r="K685" s="47"/>
      <c r="L685" s="47"/>
      <c r="M685" s="47"/>
      <c r="N685" s="48"/>
      <c r="O685" s="48"/>
    </row>
    <row r="686" spans="2:15" x14ac:dyDescent="0.2">
      <c r="B686" s="47"/>
      <c r="C686" s="47"/>
      <c r="D686" s="78"/>
      <c r="E686" s="47"/>
      <c r="F686" s="47"/>
      <c r="G686" s="47"/>
      <c r="H686" s="47"/>
      <c r="I686" s="48"/>
      <c r="J686" s="47"/>
      <c r="K686" s="47"/>
      <c r="L686" s="47"/>
      <c r="M686" s="47"/>
      <c r="N686" s="48"/>
      <c r="O686" s="48"/>
    </row>
    <row r="687" spans="2:15" x14ac:dyDescent="0.2">
      <c r="B687" s="47"/>
      <c r="C687" s="47"/>
      <c r="D687" s="78"/>
      <c r="E687" s="47"/>
      <c r="F687" s="47"/>
      <c r="G687" s="47"/>
      <c r="H687" s="47"/>
      <c r="I687" s="48"/>
      <c r="J687" s="47"/>
      <c r="K687" s="47"/>
      <c r="L687" s="47"/>
      <c r="M687" s="47"/>
      <c r="N687" s="48"/>
      <c r="O687" s="48"/>
    </row>
    <row r="688" spans="2:15" x14ac:dyDescent="0.2">
      <c r="B688" s="47"/>
      <c r="C688" s="47"/>
      <c r="D688" s="78"/>
      <c r="E688" s="47"/>
      <c r="F688" s="47"/>
      <c r="G688" s="47"/>
      <c r="H688" s="47"/>
      <c r="I688" s="48"/>
      <c r="J688" s="47"/>
      <c r="K688" s="47"/>
      <c r="L688" s="47"/>
      <c r="M688" s="47"/>
      <c r="N688" s="48"/>
      <c r="O688" s="48"/>
    </row>
    <row r="689" spans="2:15" x14ac:dyDescent="0.2">
      <c r="B689" s="47"/>
      <c r="C689" s="47"/>
      <c r="D689" s="78"/>
      <c r="E689" s="47"/>
      <c r="F689" s="47"/>
      <c r="G689" s="47"/>
      <c r="H689" s="47"/>
      <c r="I689" s="48"/>
      <c r="J689" s="47"/>
      <c r="K689" s="47"/>
      <c r="L689" s="47"/>
      <c r="M689" s="47"/>
      <c r="N689" s="48"/>
      <c r="O689" s="48"/>
    </row>
    <row r="690" spans="2:15" x14ac:dyDescent="0.2">
      <c r="B690" s="47"/>
      <c r="C690" s="47"/>
      <c r="D690" s="78"/>
      <c r="E690" s="47"/>
      <c r="F690" s="47"/>
      <c r="G690" s="47"/>
      <c r="H690" s="47"/>
      <c r="I690" s="48"/>
      <c r="J690" s="47"/>
      <c r="K690" s="47"/>
      <c r="L690" s="47"/>
      <c r="M690" s="47"/>
      <c r="N690" s="48"/>
      <c r="O690" s="48"/>
    </row>
    <row r="691" spans="2:15" x14ac:dyDescent="0.2">
      <c r="B691" s="47"/>
      <c r="C691" s="47"/>
      <c r="D691" s="78"/>
      <c r="E691" s="47"/>
      <c r="F691" s="47"/>
      <c r="G691" s="47"/>
      <c r="H691" s="47"/>
      <c r="I691" s="48"/>
      <c r="J691" s="47"/>
      <c r="K691" s="47"/>
      <c r="L691" s="47"/>
      <c r="M691" s="47"/>
      <c r="N691" s="48"/>
      <c r="O691" s="48"/>
    </row>
    <row r="692" spans="2:15" x14ac:dyDescent="0.2">
      <c r="B692" s="47"/>
      <c r="C692" s="47"/>
      <c r="D692" s="78"/>
      <c r="E692" s="47"/>
      <c r="F692" s="47"/>
      <c r="G692" s="47"/>
      <c r="H692" s="47"/>
      <c r="I692" s="48"/>
      <c r="J692" s="47"/>
      <c r="K692" s="47"/>
      <c r="L692" s="47"/>
      <c r="M692" s="47"/>
      <c r="N692" s="48"/>
      <c r="O692" s="48"/>
    </row>
    <row r="693" spans="2:15" x14ac:dyDescent="0.2">
      <c r="B693" s="47"/>
      <c r="C693" s="47"/>
      <c r="D693" s="78"/>
      <c r="E693" s="47"/>
      <c r="F693" s="47"/>
      <c r="G693" s="47"/>
      <c r="H693" s="47"/>
      <c r="I693" s="48"/>
      <c r="J693" s="47"/>
      <c r="K693" s="47"/>
      <c r="L693" s="47"/>
      <c r="M693" s="47"/>
      <c r="N693" s="48"/>
      <c r="O693" s="48"/>
    </row>
    <row r="694" spans="2:15" x14ac:dyDescent="0.2">
      <c r="B694" s="47"/>
      <c r="C694" s="47"/>
      <c r="D694" s="78"/>
      <c r="E694" s="47"/>
      <c r="F694" s="47"/>
      <c r="G694" s="47"/>
      <c r="H694" s="47"/>
      <c r="I694" s="48"/>
      <c r="J694" s="47"/>
      <c r="K694" s="47"/>
      <c r="L694" s="47"/>
      <c r="M694" s="47"/>
      <c r="N694" s="48"/>
      <c r="O694" s="48"/>
    </row>
    <row r="695" spans="2:15" x14ac:dyDescent="0.2">
      <c r="B695" s="47"/>
      <c r="C695" s="47"/>
      <c r="D695" s="78"/>
      <c r="E695" s="47"/>
      <c r="F695" s="47"/>
      <c r="G695" s="47"/>
      <c r="H695" s="47"/>
      <c r="I695" s="48"/>
      <c r="J695" s="47"/>
      <c r="K695" s="47"/>
      <c r="L695" s="47"/>
      <c r="M695" s="47"/>
      <c r="N695" s="48"/>
      <c r="O695" s="48"/>
    </row>
    <row r="696" spans="2:15" x14ac:dyDescent="0.2">
      <c r="B696" s="47"/>
      <c r="C696" s="47"/>
      <c r="D696" s="78"/>
      <c r="E696" s="47"/>
      <c r="F696" s="47"/>
      <c r="G696" s="47"/>
      <c r="H696" s="47"/>
      <c r="I696" s="48"/>
      <c r="J696" s="47"/>
      <c r="K696" s="47"/>
      <c r="L696" s="47"/>
      <c r="M696" s="47"/>
      <c r="N696" s="48"/>
      <c r="O696" s="48"/>
    </row>
    <row r="697" spans="2:15" x14ac:dyDescent="0.2">
      <c r="B697" s="47"/>
      <c r="C697" s="47"/>
      <c r="D697" s="78"/>
      <c r="E697" s="47"/>
      <c r="F697" s="47"/>
      <c r="G697" s="47"/>
      <c r="H697" s="47"/>
      <c r="I697" s="48"/>
      <c r="J697" s="47"/>
      <c r="K697" s="47"/>
      <c r="L697" s="47"/>
      <c r="M697" s="47"/>
      <c r="N697" s="48"/>
      <c r="O697" s="48"/>
    </row>
    <row r="698" spans="2:15" x14ac:dyDescent="0.2">
      <c r="B698" s="47"/>
      <c r="C698" s="47"/>
      <c r="D698" s="78"/>
      <c r="E698" s="47"/>
      <c r="F698" s="47"/>
      <c r="G698" s="47"/>
      <c r="H698" s="47"/>
      <c r="I698" s="48"/>
      <c r="J698" s="47"/>
      <c r="K698" s="47"/>
      <c r="L698" s="47"/>
      <c r="M698" s="47"/>
      <c r="N698" s="48"/>
      <c r="O698" s="48"/>
    </row>
    <row r="699" spans="2:15" x14ac:dyDescent="0.2">
      <c r="B699" s="47"/>
      <c r="C699" s="47"/>
      <c r="D699" s="78"/>
      <c r="E699" s="47"/>
      <c r="F699" s="47"/>
      <c r="G699" s="47"/>
      <c r="H699" s="47"/>
      <c r="I699" s="48"/>
      <c r="J699" s="47"/>
      <c r="K699" s="47"/>
      <c r="L699" s="47"/>
      <c r="M699" s="47"/>
      <c r="N699" s="48"/>
      <c r="O699" s="48"/>
    </row>
    <row r="700" spans="2:15" x14ac:dyDescent="0.2">
      <c r="B700" s="47"/>
      <c r="C700" s="47"/>
      <c r="D700" s="78"/>
      <c r="E700" s="47"/>
      <c r="F700" s="47"/>
      <c r="G700" s="47"/>
      <c r="H700" s="47"/>
      <c r="I700" s="48"/>
      <c r="J700" s="47"/>
      <c r="K700" s="47"/>
      <c r="L700" s="47"/>
      <c r="M700" s="47"/>
      <c r="N700" s="48"/>
      <c r="O700" s="48"/>
    </row>
    <row r="701" spans="2:15" x14ac:dyDescent="0.2">
      <c r="B701" s="47"/>
      <c r="C701" s="47"/>
      <c r="D701" s="78"/>
      <c r="E701" s="47"/>
      <c r="F701" s="47"/>
      <c r="G701" s="47"/>
      <c r="H701" s="47"/>
      <c r="I701" s="48"/>
      <c r="J701" s="47"/>
      <c r="K701" s="47"/>
      <c r="L701" s="47"/>
      <c r="M701" s="47"/>
      <c r="N701" s="48"/>
      <c r="O701" s="48"/>
    </row>
    <row r="702" spans="2:15" x14ac:dyDescent="0.2">
      <c r="B702" s="47"/>
      <c r="C702" s="47"/>
      <c r="D702" s="78"/>
      <c r="E702" s="47"/>
      <c r="F702" s="47"/>
      <c r="G702" s="47"/>
      <c r="H702" s="47"/>
      <c r="I702" s="48"/>
      <c r="J702" s="47"/>
      <c r="K702" s="47"/>
      <c r="L702" s="47"/>
      <c r="M702" s="47"/>
      <c r="N702" s="48"/>
      <c r="O702" s="48"/>
    </row>
    <row r="703" spans="2:15" x14ac:dyDescent="0.2">
      <c r="B703" s="47"/>
      <c r="C703" s="47"/>
      <c r="D703" s="78"/>
      <c r="E703" s="47"/>
      <c r="F703" s="47"/>
      <c r="G703" s="47"/>
      <c r="H703" s="47"/>
      <c r="I703" s="48"/>
      <c r="J703" s="47"/>
      <c r="K703" s="47"/>
      <c r="L703" s="47"/>
      <c r="M703" s="47"/>
      <c r="N703" s="48"/>
      <c r="O703" s="48"/>
    </row>
    <row r="704" spans="2:15" x14ac:dyDescent="0.2">
      <c r="B704" s="47"/>
      <c r="C704" s="47"/>
      <c r="D704" s="78"/>
      <c r="E704" s="47"/>
      <c r="F704" s="47"/>
      <c r="G704" s="47"/>
      <c r="H704" s="47"/>
      <c r="I704" s="48"/>
      <c r="J704" s="47"/>
      <c r="K704" s="47"/>
      <c r="L704" s="47"/>
      <c r="M704" s="47"/>
      <c r="N704" s="48"/>
      <c r="O704" s="48"/>
    </row>
    <row r="705" spans="2:15" x14ac:dyDescent="0.2">
      <c r="B705" s="47"/>
      <c r="C705" s="47"/>
      <c r="D705" s="78"/>
      <c r="E705" s="47"/>
      <c r="F705" s="47"/>
      <c r="G705" s="47"/>
      <c r="H705" s="47"/>
      <c r="I705" s="48"/>
      <c r="J705" s="47"/>
      <c r="K705" s="47"/>
      <c r="L705" s="47"/>
      <c r="M705" s="47"/>
      <c r="N705" s="48"/>
      <c r="O705" s="48"/>
    </row>
    <row r="706" spans="2:15" x14ac:dyDescent="0.2">
      <c r="B706" s="47"/>
      <c r="C706" s="47"/>
      <c r="D706" s="78"/>
      <c r="E706" s="47"/>
      <c r="F706" s="47"/>
      <c r="G706" s="47"/>
      <c r="H706" s="47"/>
      <c r="I706" s="48"/>
      <c r="J706" s="47"/>
      <c r="K706" s="47"/>
      <c r="L706" s="47"/>
      <c r="M706" s="47"/>
      <c r="N706" s="48"/>
      <c r="O706" s="48"/>
    </row>
    <row r="707" spans="2:15" x14ac:dyDescent="0.2">
      <c r="B707" s="47"/>
      <c r="C707" s="47"/>
      <c r="D707" s="78"/>
      <c r="E707" s="47"/>
      <c r="F707" s="47"/>
      <c r="G707" s="47"/>
      <c r="H707" s="47"/>
      <c r="I707" s="48"/>
      <c r="J707" s="47"/>
      <c r="K707" s="47"/>
      <c r="L707" s="47"/>
      <c r="M707" s="47"/>
      <c r="N707" s="48"/>
      <c r="O707" s="48"/>
    </row>
    <row r="708" spans="2:15" x14ac:dyDescent="0.2">
      <c r="B708" s="47"/>
      <c r="C708" s="47"/>
      <c r="D708" s="78"/>
      <c r="E708" s="47"/>
      <c r="F708" s="47"/>
      <c r="G708" s="47"/>
      <c r="H708" s="47"/>
      <c r="I708" s="48"/>
      <c r="J708" s="47"/>
      <c r="K708" s="47"/>
      <c r="L708" s="47"/>
      <c r="M708" s="47"/>
      <c r="N708" s="48"/>
      <c r="O708" s="48"/>
    </row>
    <row r="709" spans="2:15" x14ac:dyDescent="0.2">
      <c r="B709" s="47"/>
      <c r="C709" s="47"/>
      <c r="D709" s="78"/>
      <c r="E709" s="47"/>
      <c r="F709" s="47"/>
      <c r="G709" s="47"/>
      <c r="H709" s="47"/>
      <c r="I709" s="48"/>
      <c r="J709" s="47"/>
      <c r="K709" s="47"/>
      <c r="L709" s="47"/>
      <c r="M709" s="47"/>
      <c r="N709" s="48"/>
      <c r="O709" s="48"/>
    </row>
    <row r="710" spans="2:15" x14ac:dyDescent="0.2">
      <c r="B710" s="47"/>
      <c r="C710" s="47"/>
      <c r="D710" s="78"/>
      <c r="E710" s="47"/>
      <c r="F710" s="47"/>
      <c r="G710" s="47"/>
      <c r="H710" s="47"/>
      <c r="I710" s="48"/>
      <c r="J710" s="47"/>
      <c r="K710" s="47"/>
      <c r="L710" s="47"/>
      <c r="M710" s="47"/>
      <c r="N710" s="48"/>
      <c r="O710" s="48"/>
    </row>
    <row r="711" spans="2:15" x14ac:dyDescent="0.2">
      <c r="B711" s="47"/>
      <c r="C711" s="47"/>
      <c r="D711" s="78"/>
      <c r="E711" s="47"/>
      <c r="F711" s="47"/>
      <c r="G711" s="47"/>
      <c r="H711" s="47"/>
      <c r="I711" s="48"/>
      <c r="J711" s="47"/>
      <c r="K711" s="47"/>
      <c r="L711" s="47"/>
      <c r="M711" s="47"/>
      <c r="N711" s="48"/>
      <c r="O711" s="48"/>
    </row>
    <row r="712" spans="2:15" x14ac:dyDescent="0.2">
      <c r="B712" s="47"/>
      <c r="C712" s="47"/>
      <c r="D712" s="78"/>
      <c r="E712" s="47"/>
      <c r="F712" s="47"/>
      <c r="G712" s="47"/>
      <c r="H712" s="47"/>
      <c r="I712" s="48"/>
      <c r="J712" s="47"/>
      <c r="K712" s="47"/>
      <c r="L712" s="47"/>
      <c r="M712" s="47"/>
      <c r="N712" s="48"/>
      <c r="O712" s="48"/>
    </row>
    <row r="713" spans="2:15" x14ac:dyDescent="0.2">
      <c r="B713" s="47"/>
      <c r="C713" s="47"/>
      <c r="D713" s="78"/>
      <c r="E713" s="47"/>
      <c r="F713" s="47"/>
      <c r="G713" s="47"/>
      <c r="H713" s="47"/>
      <c r="I713" s="48"/>
      <c r="J713" s="47"/>
      <c r="K713" s="47"/>
      <c r="L713" s="47"/>
      <c r="M713" s="47"/>
      <c r="N713" s="48"/>
      <c r="O713" s="48"/>
    </row>
    <row r="714" spans="2:15" x14ac:dyDescent="0.2">
      <c r="B714" s="47"/>
      <c r="C714" s="47"/>
      <c r="D714" s="78"/>
      <c r="E714" s="47"/>
      <c r="F714" s="47"/>
      <c r="G714" s="47"/>
      <c r="H714" s="47"/>
      <c r="I714" s="48"/>
      <c r="J714" s="47"/>
      <c r="K714" s="47"/>
      <c r="L714" s="47"/>
      <c r="M714" s="47"/>
      <c r="N714" s="48"/>
      <c r="O714" s="48"/>
    </row>
    <row r="715" spans="2:15" x14ac:dyDescent="0.2">
      <c r="B715" s="47"/>
      <c r="C715" s="47"/>
      <c r="D715" s="78"/>
      <c r="E715" s="47"/>
      <c r="F715" s="47"/>
      <c r="G715" s="47"/>
      <c r="H715" s="47"/>
      <c r="I715" s="48"/>
      <c r="J715" s="47"/>
      <c r="K715" s="47"/>
      <c r="L715" s="47"/>
      <c r="M715" s="47"/>
      <c r="N715" s="48"/>
      <c r="O715" s="48"/>
    </row>
    <row r="716" spans="2:15" x14ac:dyDescent="0.2">
      <c r="B716" s="47"/>
      <c r="C716" s="47"/>
      <c r="D716" s="78"/>
      <c r="E716" s="47"/>
      <c r="F716" s="47"/>
      <c r="G716" s="47"/>
      <c r="H716" s="47"/>
      <c r="I716" s="48"/>
      <c r="J716" s="47"/>
      <c r="K716" s="47"/>
      <c r="L716" s="47"/>
      <c r="M716" s="47"/>
      <c r="N716" s="48"/>
      <c r="O716" s="48"/>
    </row>
    <row r="717" spans="2:15" x14ac:dyDescent="0.2">
      <c r="B717" s="47"/>
      <c r="C717" s="47"/>
      <c r="D717" s="78"/>
      <c r="E717" s="47"/>
      <c r="F717" s="47"/>
      <c r="G717" s="47"/>
      <c r="H717" s="47"/>
      <c r="I717" s="48"/>
      <c r="J717" s="47"/>
      <c r="K717" s="47"/>
      <c r="L717" s="47"/>
      <c r="M717" s="47"/>
      <c r="N717" s="48"/>
      <c r="O717" s="48"/>
    </row>
    <row r="718" spans="2:15" x14ac:dyDescent="0.2">
      <c r="B718" s="47"/>
      <c r="C718" s="47"/>
      <c r="D718" s="78"/>
      <c r="E718" s="47"/>
      <c r="F718" s="47"/>
      <c r="G718" s="47"/>
      <c r="H718" s="47"/>
      <c r="I718" s="48"/>
      <c r="J718" s="47"/>
      <c r="K718" s="47"/>
      <c r="L718" s="47"/>
      <c r="M718" s="47"/>
      <c r="N718" s="48"/>
      <c r="O718" s="48"/>
    </row>
    <row r="719" spans="2:15" x14ac:dyDescent="0.2">
      <c r="B719" s="47"/>
      <c r="C719" s="47"/>
      <c r="D719" s="78"/>
      <c r="E719" s="47"/>
      <c r="F719" s="47"/>
      <c r="G719" s="47"/>
      <c r="H719" s="47"/>
      <c r="I719" s="48"/>
      <c r="J719" s="47"/>
      <c r="K719" s="47"/>
      <c r="L719" s="47"/>
      <c r="M719" s="47"/>
      <c r="N719" s="48"/>
      <c r="O719" s="48"/>
    </row>
    <row r="720" spans="2:15" x14ac:dyDescent="0.2">
      <c r="B720" s="47"/>
      <c r="C720" s="47"/>
      <c r="D720" s="78"/>
      <c r="E720" s="47"/>
      <c r="F720" s="47"/>
      <c r="G720" s="47"/>
      <c r="H720" s="47"/>
      <c r="I720" s="48"/>
      <c r="J720" s="47"/>
      <c r="K720" s="47"/>
      <c r="L720" s="47"/>
      <c r="M720" s="47"/>
      <c r="N720" s="48"/>
      <c r="O720" s="48"/>
    </row>
    <row r="721" spans="2:15" x14ac:dyDescent="0.2">
      <c r="B721" s="47"/>
      <c r="C721" s="47"/>
      <c r="D721" s="78"/>
      <c r="E721" s="47"/>
      <c r="F721" s="47"/>
      <c r="G721" s="47"/>
      <c r="H721" s="47"/>
      <c r="I721" s="48"/>
      <c r="J721" s="47"/>
      <c r="K721" s="47"/>
      <c r="L721" s="47"/>
      <c r="M721" s="47"/>
      <c r="N721" s="48"/>
      <c r="O721" s="48"/>
    </row>
    <row r="722" spans="2:15" x14ac:dyDescent="0.2">
      <c r="B722" s="47"/>
      <c r="C722" s="47"/>
      <c r="D722" s="78"/>
      <c r="E722" s="47"/>
      <c r="F722" s="47"/>
      <c r="G722" s="47"/>
      <c r="H722" s="47"/>
      <c r="I722" s="48"/>
      <c r="J722" s="47"/>
      <c r="K722" s="47"/>
      <c r="L722" s="47"/>
      <c r="M722" s="47"/>
      <c r="N722" s="48"/>
      <c r="O722" s="48"/>
    </row>
    <row r="723" spans="2:15" x14ac:dyDescent="0.2">
      <c r="B723" s="47"/>
      <c r="C723" s="47"/>
      <c r="D723" s="78"/>
      <c r="E723" s="47"/>
      <c r="F723" s="47"/>
      <c r="G723" s="47"/>
      <c r="H723" s="47"/>
      <c r="I723" s="48"/>
      <c r="J723" s="47"/>
      <c r="K723" s="47"/>
      <c r="L723" s="47"/>
      <c r="M723" s="47"/>
      <c r="N723" s="48"/>
      <c r="O723" s="48"/>
    </row>
    <row r="724" spans="2:15" x14ac:dyDescent="0.2">
      <c r="B724" s="47"/>
      <c r="C724" s="47"/>
      <c r="D724" s="78"/>
      <c r="E724" s="47"/>
      <c r="F724" s="47"/>
      <c r="G724" s="47"/>
      <c r="H724" s="47"/>
      <c r="I724" s="48"/>
      <c r="J724" s="47"/>
      <c r="K724" s="47"/>
      <c r="L724" s="47"/>
      <c r="M724" s="47"/>
      <c r="N724" s="48"/>
      <c r="O724" s="48"/>
    </row>
    <row r="725" spans="2:15" x14ac:dyDescent="0.2">
      <c r="B725" s="47"/>
      <c r="C725" s="47"/>
      <c r="D725" s="78"/>
      <c r="E725" s="47"/>
      <c r="F725" s="47"/>
      <c r="G725" s="47"/>
      <c r="H725" s="47"/>
      <c r="I725" s="48"/>
      <c r="J725" s="47"/>
      <c r="K725" s="47"/>
      <c r="L725" s="47"/>
      <c r="M725" s="47"/>
      <c r="N725" s="48"/>
      <c r="O725" s="48"/>
    </row>
    <row r="726" spans="2:15" x14ac:dyDescent="0.2">
      <c r="B726" s="47"/>
      <c r="C726" s="47"/>
      <c r="D726" s="78"/>
      <c r="E726" s="47"/>
      <c r="F726" s="47"/>
      <c r="G726" s="47"/>
      <c r="H726" s="47"/>
      <c r="I726" s="48"/>
      <c r="J726" s="47"/>
      <c r="K726" s="47"/>
      <c r="L726" s="47"/>
      <c r="M726" s="47"/>
      <c r="N726" s="48"/>
      <c r="O726" s="48"/>
    </row>
    <row r="727" spans="2:15" x14ac:dyDescent="0.2">
      <c r="B727" s="47"/>
      <c r="C727" s="47"/>
      <c r="D727" s="78"/>
      <c r="E727" s="47"/>
      <c r="F727" s="47"/>
      <c r="G727" s="47"/>
      <c r="H727" s="47"/>
      <c r="I727" s="48"/>
      <c r="J727" s="47"/>
      <c r="K727" s="47"/>
      <c r="L727" s="47"/>
      <c r="M727" s="47"/>
      <c r="N727" s="48"/>
      <c r="O727" s="48"/>
    </row>
    <row r="728" spans="2:15" x14ac:dyDescent="0.2">
      <c r="B728" s="47"/>
      <c r="C728" s="47"/>
      <c r="D728" s="78"/>
      <c r="E728" s="47"/>
      <c r="F728" s="47"/>
      <c r="G728" s="47"/>
      <c r="H728" s="47"/>
      <c r="I728" s="48"/>
      <c r="J728" s="47"/>
      <c r="K728" s="47"/>
      <c r="L728" s="47"/>
      <c r="M728" s="47"/>
      <c r="N728" s="48"/>
      <c r="O728" s="48"/>
    </row>
    <row r="729" spans="2:15" x14ac:dyDescent="0.2">
      <c r="B729" s="47"/>
      <c r="C729" s="47"/>
      <c r="D729" s="78"/>
      <c r="E729" s="47"/>
      <c r="F729" s="47"/>
      <c r="G729" s="47"/>
      <c r="H729" s="47"/>
      <c r="I729" s="48"/>
      <c r="J729" s="47"/>
      <c r="K729" s="47"/>
      <c r="L729" s="47"/>
      <c r="M729" s="47"/>
      <c r="N729" s="48"/>
      <c r="O729" s="48"/>
    </row>
    <row r="730" spans="2:15" x14ac:dyDescent="0.2">
      <c r="B730" s="47"/>
      <c r="C730" s="47"/>
      <c r="D730" s="78"/>
      <c r="E730" s="47"/>
      <c r="F730" s="47"/>
      <c r="G730" s="47"/>
      <c r="H730" s="47"/>
      <c r="I730" s="48"/>
      <c r="J730" s="47"/>
      <c r="K730" s="47"/>
      <c r="L730" s="47"/>
      <c r="M730" s="47"/>
      <c r="N730" s="48"/>
      <c r="O730" s="48"/>
    </row>
    <row r="731" spans="2:15" x14ac:dyDescent="0.2">
      <c r="B731" s="47"/>
      <c r="C731" s="47"/>
      <c r="D731" s="78"/>
      <c r="E731" s="47"/>
      <c r="F731" s="47"/>
      <c r="G731" s="47"/>
      <c r="H731" s="47"/>
      <c r="I731" s="48"/>
      <c r="J731" s="47"/>
      <c r="K731" s="47"/>
      <c r="L731" s="47"/>
      <c r="M731" s="47"/>
      <c r="N731" s="48"/>
      <c r="O731" s="48"/>
    </row>
    <row r="732" spans="2:15" x14ac:dyDescent="0.2">
      <c r="B732" s="47"/>
      <c r="C732" s="47"/>
      <c r="D732" s="78"/>
      <c r="E732" s="47"/>
      <c r="F732" s="47"/>
      <c r="G732" s="47"/>
      <c r="H732" s="47"/>
      <c r="I732" s="48"/>
      <c r="J732" s="47"/>
      <c r="K732" s="47"/>
      <c r="L732" s="47"/>
      <c r="M732" s="47"/>
      <c r="N732" s="48"/>
      <c r="O732" s="48"/>
    </row>
    <row r="733" spans="2:15" x14ac:dyDescent="0.2">
      <c r="B733" s="47"/>
      <c r="C733" s="47"/>
      <c r="D733" s="78"/>
      <c r="E733" s="47"/>
      <c r="F733" s="47"/>
      <c r="G733" s="47"/>
      <c r="H733" s="47"/>
      <c r="I733" s="48"/>
      <c r="J733" s="47"/>
      <c r="K733" s="47"/>
      <c r="L733" s="47"/>
      <c r="M733" s="47"/>
      <c r="N733" s="48"/>
      <c r="O733" s="48"/>
    </row>
    <row r="734" spans="2:15" x14ac:dyDescent="0.2">
      <c r="B734" s="47"/>
      <c r="C734" s="47"/>
      <c r="D734" s="78"/>
      <c r="E734" s="47"/>
      <c r="F734" s="47"/>
      <c r="G734" s="47"/>
      <c r="H734" s="47"/>
      <c r="I734" s="48"/>
      <c r="J734" s="47"/>
      <c r="K734" s="47"/>
      <c r="L734" s="47"/>
      <c r="M734" s="47"/>
      <c r="N734" s="48"/>
      <c r="O734" s="48"/>
    </row>
    <row r="735" spans="2:15" x14ac:dyDescent="0.2">
      <c r="B735" s="47"/>
      <c r="C735" s="47"/>
      <c r="D735" s="78"/>
      <c r="E735" s="47"/>
      <c r="F735" s="47"/>
      <c r="G735" s="47"/>
      <c r="H735" s="47"/>
      <c r="I735" s="48"/>
      <c r="J735" s="47"/>
      <c r="K735" s="47"/>
      <c r="L735" s="47"/>
      <c r="M735" s="47"/>
      <c r="N735" s="48"/>
      <c r="O735" s="48"/>
    </row>
    <row r="736" spans="2:15" x14ac:dyDescent="0.2">
      <c r="B736" s="47"/>
      <c r="C736" s="47"/>
      <c r="D736" s="78"/>
      <c r="E736" s="47"/>
      <c r="F736" s="47"/>
      <c r="G736" s="47"/>
      <c r="H736" s="47"/>
      <c r="I736" s="48"/>
      <c r="J736" s="47"/>
      <c r="K736" s="47"/>
      <c r="L736" s="47"/>
      <c r="M736" s="47"/>
      <c r="N736" s="48"/>
      <c r="O736" s="48"/>
    </row>
    <row r="737" spans="2:15" x14ac:dyDescent="0.2">
      <c r="B737" s="47"/>
      <c r="C737" s="47"/>
      <c r="D737" s="78"/>
      <c r="E737" s="47"/>
      <c r="F737" s="47"/>
      <c r="G737" s="47"/>
      <c r="H737" s="47"/>
      <c r="I737" s="48"/>
      <c r="J737" s="47"/>
      <c r="K737" s="47"/>
      <c r="L737" s="47"/>
      <c r="M737" s="47"/>
      <c r="N737" s="48"/>
      <c r="O737" s="48"/>
    </row>
    <row r="738" spans="2:15" x14ac:dyDescent="0.2">
      <c r="B738" s="47"/>
      <c r="C738" s="47"/>
      <c r="D738" s="78"/>
      <c r="E738" s="47"/>
      <c r="F738" s="47"/>
      <c r="G738" s="47"/>
      <c r="H738" s="47"/>
      <c r="I738" s="48"/>
      <c r="J738" s="47"/>
      <c r="K738" s="47"/>
      <c r="L738" s="47"/>
      <c r="M738" s="47"/>
      <c r="N738" s="48"/>
      <c r="O738" s="48"/>
    </row>
    <row r="739" spans="2:15" x14ac:dyDescent="0.2">
      <c r="B739" s="47"/>
      <c r="C739" s="47"/>
      <c r="D739" s="78"/>
      <c r="E739" s="47"/>
      <c r="F739" s="47"/>
      <c r="G739" s="47"/>
      <c r="H739" s="47"/>
      <c r="I739" s="48"/>
      <c r="J739" s="47"/>
      <c r="K739" s="47"/>
      <c r="L739" s="47"/>
      <c r="M739" s="47"/>
      <c r="N739" s="48"/>
      <c r="O739" s="48"/>
    </row>
    <row r="740" spans="2:15" x14ac:dyDescent="0.2">
      <c r="B740" s="47"/>
      <c r="C740" s="47"/>
      <c r="D740" s="78"/>
      <c r="E740" s="47"/>
      <c r="F740" s="47"/>
      <c r="G740" s="47"/>
      <c r="H740" s="47"/>
      <c r="I740" s="48"/>
      <c r="J740" s="47"/>
      <c r="K740" s="47"/>
      <c r="L740" s="47"/>
      <c r="M740" s="47"/>
      <c r="N740" s="48"/>
      <c r="O740" s="48"/>
    </row>
    <row r="741" spans="2:15" x14ac:dyDescent="0.2">
      <c r="B741" s="47"/>
      <c r="C741" s="47"/>
      <c r="D741" s="78"/>
      <c r="E741" s="47"/>
      <c r="F741" s="47"/>
      <c r="G741" s="47"/>
      <c r="H741" s="47"/>
      <c r="I741" s="48"/>
      <c r="J741" s="47"/>
      <c r="K741" s="47"/>
      <c r="L741" s="47"/>
      <c r="M741" s="47"/>
      <c r="N741" s="48"/>
      <c r="O741" s="48"/>
    </row>
    <row r="742" spans="2:15" x14ac:dyDescent="0.2">
      <c r="B742" s="47"/>
      <c r="C742" s="47"/>
      <c r="D742" s="78"/>
      <c r="E742" s="47"/>
      <c r="F742" s="47"/>
      <c r="G742" s="47"/>
      <c r="H742" s="47"/>
      <c r="I742" s="48"/>
      <c r="J742" s="47"/>
      <c r="K742" s="47"/>
      <c r="L742" s="47"/>
      <c r="M742" s="47"/>
      <c r="N742" s="48"/>
      <c r="O742" s="48"/>
    </row>
    <row r="743" spans="2:15" x14ac:dyDescent="0.2">
      <c r="B743" s="47"/>
      <c r="C743" s="47"/>
      <c r="D743" s="78"/>
      <c r="E743" s="47"/>
      <c r="F743" s="47"/>
      <c r="G743" s="47"/>
      <c r="H743" s="47"/>
      <c r="I743" s="48"/>
      <c r="J743" s="47"/>
      <c r="K743" s="47"/>
      <c r="L743" s="47"/>
      <c r="M743" s="47"/>
      <c r="N743" s="48"/>
      <c r="O743" s="48"/>
    </row>
    <row r="744" spans="2:15" x14ac:dyDescent="0.2">
      <c r="B744" s="47"/>
      <c r="C744" s="47"/>
      <c r="D744" s="78"/>
      <c r="E744" s="47"/>
      <c r="F744" s="47"/>
      <c r="G744" s="47"/>
      <c r="H744" s="47"/>
      <c r="I744" s="48"/>
      <c r="J744" s="47"/>
      <c r="K744" s="47"/>
      <c r="L744" s="47"/>
      <c r="M744" s="47"/>
      <c r="N744" s="48"/>
      <c r="O744" s="48"/>
    </row>
    <row r="745" spans="2:15" x14ac:dyDescent="0.2">
      <c r="B745" s="47"/>
      <c r="C745" s="47"/>
      <c r="D745" s="78"/>
      <c r="E745" s="47"/>
      <c r="F745" s="47"/>
      <c r="G745" s="47"/>
      <c r="H745" s="47"/>
      <c r="I745" s="48"/>
      <c r="J745" s="47"/>
      <c r="K745" s="47"/>
      <c r="L745" s="47"/>
      <c r="M745" s="47"/>
      <c r="N745" s="48"/>
      <c r="O745" s="48"/>
    </row>
    <row r="746" spans="2:15" x14ac:dyDescent="0.2">
      <c r="B746" s="47"/>
      <c r="C746" s="47"/>
      <c r="D746" s="78"/>
      <c r="E746" s="47"/>
      <c r="F746" s="47"/>
      <c r="G746" s="47"/>
      <c r="H746" s="47"/>
      <c r="I746" s="48"/>
      <c r="J746" s="47"/>
      <c r="K746" s="47"/>
      <c r="L746" s="47"/>
      <c r="M746" s="47"/>
      <c r="N746" s="48"/>
      <c r="O746" s="48"/>
    </row>
    <row r="747" spans="2:15" x14ac:dyDescent="0.2">
      <c r="B747" s="47"/>
      <c r="C747" s="47"/>
      <c r="D747" s="78"/>
      <c r="E747" s="47"/>
      <c r="F747" s="47"/>
      <c r="G747" s="47"/>
      <c r="H747" s="47"/>
      <c r="I747" s="48"/>
      <c r="J747" s="47"/>
      <c r="K747" s="47"/>
      <c r="L747" s="47"/>
      <c r="M747" s="47"/>
      <c r="N747" s="48"/>
      <c r="O747" s="48"/>
    </row>
    <row r="748" spans="2:15" x14ac:dyDescent="0.2">
      <c r="B748" s="47"/>
      <c r="C748" s="47"/>
      <c r="D748" s="78"/>
      <c r="E748" s="47"/>
      <c r="F748" s="47"/>
      <c r="G748" s="47"/>
      <c r="H748" s="47"/>
      <c r="I748" s="48"/>
      <c r="J748" s="47"/>
      <c r="K748" s="47"/>
      <c r="L748" s="47"/>
      <c r="M748" s="47"/>
      <c r="N748" s="48"/>
      <c r="O748" s="48"/>
    </row>
    <row r="749" spans="2:15" x14ac:dyDescent="0.2">
      <c r="B749" s="47"/>
      <c r="C749" s="47"/>
      <c r="D749" s="78"/>
      <c r="E749" s="47"/>
      <c r="F749" s="47"/>
      <c r="G749" s="47"/>
      <c r="H749" s="47"/>
      <c r="I749" s="48"/>
      <c r="J749" s="47"/>
      <c r="K749" s="47"/>
      <c r="L749" s="47"/>
      <c r="M749" s="47"/>
      <c r="N749" s="48"/>
      <c r="O749" s="48"/>
    </row>
    <row r="750" spans="2:15" x14ac:dyDescent="0.2">
      <c r="B750" s="47"/>
      <c r="C750" s="47"/>
      <c r="D750" s="78"/>
      <c r="E750" s="47"/>
      <c r="F750" s="47"/>
      <c r="G750" s="47"/>
      <c r="H750" s="47"/>
      <c r="I750" s="48"/>
      <c r="J750" s="47"/>
      <c r="K750" s="47"/>
      <c r="L750" s="47"/>
      <c r="M750" s="47"/>
      <c r="N750" s="48"/>
      <c r="O750" s="48"/>
    </row>
    <row r="751" spans="2:15" x14ac:dyDescent="0.2">
      <c r="B751" s="47"/>
      <c r="C751" s="47"/>
      <c r="D751" s="78"/>
      <c r="E751" s="47"/>
      <c r="F751" s="47"/>
      <c r="G751" s="47"/>
      <c r="H751" s="47"/>
      <c r="I751" s="48"/>
      <c r="J751" s="47"/>
      <c r="K751" s="47"/>
      <c r="L751" s="47"/>
      <c r="M751" s="47"/>
      <c r="N751" s="48"/>
      <c r="O751" s="48"/>
    </row>
    <row r="752" spans="2:15" x14ac:dyDescent="0.2">
      <c r="B752" s="47"/>
      <c r="C752" s="47"/>
      <c r="D752" s="78"/>
      <c r="E752" s="47"/>
      <c r="F752" s="47"/>
      <c r="G752" s="47"/>
      <c r="H752" s="47"/>
      <c r="I752" s="48"/>
      <c r="J752" s="47"/>
      <c r="K752" s="47"/>
      <c r="L752" s="47"/>
      <c r="M752" s="47"/>
      <c r="N752" s="48"/>
      <c r="O752" s="48"/>
    </row>
    <row r="753" spans="2:15" x14ac:dyDescent="0.2">
      <c r="B753" s="47"/>
      <c r="C753" s="47"/>
      <c r="D753" s="78"/>
      <c r="E753" s="47"/>
      <c r="F753" s="47"/>
      <c r="G753" s="47"/>
      <c r="H753" s="47"/>
      <c r="I753" s="48"/>
      <c r="J753" s="47"/>
      <c r="K753" s="47"/>
      <c r="L753" s="47"/>
      <c r="M753" s="47"/>
      <c r="N753" s="48"/>
      <c r="O753" s="48"/>
    </row>
    <row r="754" spans="2:15" x14ac:dyDescent="0.2">
      <c r="B754" s="47"/>
      <c r="C754" s="47"/>
      <c r="D754" s="78"/>
      <c r="E754" s="47"/>
      <c r="F754" s="47"/>
      <c r="G754" s="47"/>
      <c r="H754" s="47"/>
      <c r="I754" s="48"/>
      <c r="J754" s="47"/>
      <c r="K754" s="47"/>
      <c r="L754" s="47"/>
      <c r="M754" s="47"/>
      <c r="N754" s="48"/>
      <c r="O754" s="48"/>
    </row>
    <row r="755" spans="2:15" x14ac:dyDescent="0.2">
      <c r="B755" s="47"/>
      <c r="C755" s="47"/>
      <c r="D755" s="78"/>
      <c r="E755" s="47"/>
      <c r="F755" s="47"/>
      <c r="G755" s="47"/>
      <c r="H755" s="47"/>
      <c r="I755" s="48"/>
      <c r="J755" s="47"/>
      <c r="K755" s="47"/>
      <c r="L755" s="47"/>
      <c r="M755" s="47"/>
      <c r="N755" s="48"/>
      <c r="O755" s="48"/>
    </row>
    <row r="756" spans="2:15" x14ac:dyDescent="0.2">
      <c r="B756" s="47"/>
      <c r="C756" s="47"/>
      <c r="D756" s="78"/>
      <c r="E756" s="47"/>
      <c r="F756" s="47"/>
      <c r="G756" s="47"/>
      <c r="H756" s="47"/>
      <c r="I756" s="48"/>
      <c r="J756" s="47"/>
      <c r="K756" s="47"/>
      <c r="L756" s="47"/>
      <c r="M756" s="47"/>
      <c r="N756" s="48"/>
      <c r="O756" s="48"/>
    </row>
    <row r="757" spans="2:15" x14ac:dyDescent="0.2">
      <c r="B757" s="47"/>
      <c r="C757" s="47"/>
      <c r="D757" s="78"/>
      <c r="E757" s="47"/>
      <c r="F757" s="47"/>
      <c r="G757" s="47"/>
      <c r="H757" s="47"/>
      <c r="I757" s="48"/>
      <c r="J757" s="47"/>
      <c r="K757" s="47"/>
      <c r="L757" s="47"/>
      <c r="M757" s="47"/>
      <c r="N757" s="48"/>
      <c r="O757" s="48"/>
    </row>
    <row r="758" spans="2:15" x14ac:dyDescent="0.2">
      <c r="B758" s="47"/>
      <c r="C758" s="47"/>
      <c r="D758" s="78"/>
      <c r="E758" s="47"/>
      <c r="F758" s="47"/>
      <c r="G758" s="47"/>
      <c r="H758" s="47"/>
      <c r="I758" s="48"/>
      <c r="J758" s="47"/>
      <c r="K758" s="47"/>
      <c r="L758" s="47"/>
      <c r="M758" s="47"/>
      <c r="N758" s="48"/>
      <c r="O758" s="48"/>
    </row>
    <row r="759" spans="2:15" x14ac:dyDescent="0.2">
      <c r="B759" s="47"/>
      <c r="C759" s="47"/>
      <c r="D759" s="78"/>
      <c r="E759" s="47"/>
      <c r="F759" s="47"/>
      <c r="G759" s="47"/>
      <c r="H759" s="47"/>
      <c r="I759" s="48"/>
      <c r="J759" s="47"/>
      <c r="K759" s="47"/>
      <c r="L759" s="47"/>
      <c r="M759" s="47"/>
      <c r="N759" s="48"/>
      <c r="O759" s="48"/>
    </row>
    <row r="760" spans="2:15" x14ac:dyDescent="0.2">
      <c r="B760" s="47"/>
      <c r="C760" s="47"/>
      <c r="D760" s="78"/>
      <c r="E760" s="47"/>
      <c r="F760" s="47"/>
      <c r="G760" s="47"/>
      <c r="H760" s="47"/>
      <c r="I760" s="48"/>
      <c r="J760" s="47"/>
      <c r="K760" s="47"/>
      <c r="L760" s="47"/>
      <c r="M760" s="47"/>
      <c r="N760" s="48"/>
      <c r="O760" s="48"/>
    </row>
    <row r="761" spans="2:15" x14ac:dyDescent="0.2">
      <c r="B761" s="47"/>
      <c r="C761" s="47"/>
      <c r="D761" s="78"/>
      <c r="E761" s="47"/>
      <c r="F761" s="47"/>
      <c r="G761" s="47"/>
      <c r="H761" s="47"/>
      <c r="I761" s="48"/>
      <c r="J761" s="47"/>
      <c r="K761" s="47"/>
      <c r="L761" s="47"/>
      <c r="M761" s="47"/>
      <c r="N761" s="48"/>
      <c r="O761" s="48"/>
    </row>
    <row r="762" spans="2:15" x14ac:dyDescent="0.2">
      <c r="B762" s="47"/>
      <c r="C762" s="47"/>
      <c r="D762" s="78"/>
      <c r="E762" s="47"/>
      <c r="F762" s="47"/>
      <c r="G762" s="47"/>
      <c r="H762" s="47"/>
      <c r="I762" s="48"/>
      <c r="J762" s="47"/>
      <c r="K762" s="47"/>
      <c r="L762" s="47"/>
      <c r="M762" s="47"/>
      <c r="N762" s="48"/>
      <c r="O762" s="48"/>
    </row>
    <row r="763" spans="2:15" x14ac:dyDescent="0.2">
      <c r="B763" s="47"/>
      <c r="C763" s="47"/>
      <c r="D763" s="78"/>
      <c r="E763" s="47"/>
      <c r="F763" s="47"/>
      <c r="G763" s="47"/>
      <c r="H763" s="47"/>
      <c r="I763" s="48"/>
      <c r="J763" s="47"/>
      <c r="K763" s="47"/>
      <c r="L763" s="47"/>
      <c r="M763" s="47"/>
      <c r="N763" s="48"/>
      <c r="O763" s="48"/>
    </row>
    <row r="764" spans="2:15" x14ac:dyDescent="0.2">
      <c r="B764" s="47"/>
      <c r="C764" s="47"/>
      <c r="D764" s="78"/>
      <c r="E764" s="47"/>
      <c r="F764" s="47"/>
      <c r="G764" s="47"/>
      <c r="H764" s="47"/>
      <c r="I764" s="48"/>
      <c r="J764" s="47"/>
      <c r="K764" s="47"/>
      <c r="L764" s="47"/>
      <c r="M764" s="47"/>
      <c r="N764" s="48"/>
      <c r="O764" s="48"/>
    </row>
    <row r="765" spans="2:15" x14ac:dyDescent="0.2">
      <c r="B765" s="47"/>
      <c r="C765" s="47"/>
      <c r="D765" s="78"/>
      <c r="E765" s="47"/>
      <c r="F765" s="47"/>
      <c r="G765" s="47"/>
      <c r="H765" s="47"/>
      <c r="I765" s="48"/>
      <c r="J765" s="47"/>
      <c r="K765" s="47"/>
      <c r="L765" s="47"/>
      <c r="M765" s="47"/>
      <c r="N765" s="48"/>
      <c r="O765" s="48"/>
    </row>
    <row r="766" spans="2:15" x14ac:dyDescent="0.2">
      <c r="B766" s="47"/>
      <c r="C766" s="47"/>
      <c r="D766" s="78"/>
      <c r="E766" s="47"/>
      <c r="F766" s="47"/>
      <c r="G766" s="47"/>
      <c r="H766" s="47"/>
      <c r="I766" s="48"/>
      <c r="J766" s="47"/>
      <c r="K766" s="47"/>
      <c r="L766" s="47"/>
      <c r="M766" s="47"/>
      <c r="N766" s="48"/>
      <c r="O766" s="48"/>
    </row>
    <row r="767" spans="2:15" x14ac:dyDescent="0.2">
      <c r="B767" s="47"/>
      <c r="C767" s="47"/>
      <c r="D767" s="78"/>
      <c r="E767" s="47"/>
      <c r="F767" s="47"/>
      <c r="G767" s="47"/>
      <c r="H767" s="47"/>
      <c r="I767" s="48"/>
      <c r="J767" s="47"/>
      <c r="K767" s="47"/>
      <c r="L767" s="47"/>
      <c r="M767" s="47"/>
      <c r="N767" s="48"/>
      <c r="O767" s="48"/>
    </row>
    <row r="768" spans="2:15" x14ac:dyDescent="0.2">
      <c r="B768" s="47"/>
      <c r="C768" s="47"/>
      <c r="D768" s="78"/>
      <c r="E768" s="47"/>
      <c r="F768" s="47"/>
      <c r="G768" s="47"/>
      <c r="H768" s="47"/>
      <c r="I768" s="48"/>
      <c r="J768" s="47"/>
      <c r="K768" s="47"/>
      <c r="L768" s="47"/>
      <c r="M768" s="47"/>
      <c r="N768" s="48"/>
      <c r="O768" s="48"/>
    </row>
    <row r="769" spans="2:15" x14ac:dyDescent="0.2">
      <c r="B769" s="47"/>
      <c r="C769" s="47"/>
      <c r="D769" s="78"/>
      <c r="E769" s="47"/>
      <c r="F769" s="47"/>
      <c r="G769" s="47"/>
      <c r="H769" s="47"/>
      <c r="I769" s="48"/>
      <c r="J769" s="47"/>
      <c r="K769" s="47"/>
      <c r="L769" s="47"/>
      <c r="M769" s="47"/>
      <c r="N769" s="48"/>
      <c r="O769" s="48"/>
    </row>
    <row r="770" spans="2:15" x14ac:dyDescent="0.2">
      <c r="B770" s="47"/>
      <c r="C770" s="47"/>
      <c r="D770" s="78"/>
      <c r="E770" s="47"/>
      <c r="F770" s="47"/>
      <c r="G770" s="47"/>
      <c r="H770" s="47"/>
      <c r="I770" s="48"/>
      <c r="J770" s="47"/>
      <c r="K770" s="47"/>
      <c r="L770" s="47"/>
      <c r="M770" s="47"/>
      <c r="N770" s="48"/>
      <c r="O770" s="48"/>
    </row>
    <row r="771" spans="2:15" x14ac:dyDescent="0.2">
      <c r="B771" s="47"/>
      <c r="C771" s="47"/>
      <c r="D771" s="78"/>
      <c r="E771" s="47"/>
      <c r="F771" s="47"/>
      <c r="G771" s="47"/>
      <c r="H771" s="47"/>
      <c r="I771" s="48"/>
      <c r="J771" s="47"/>
      <c r="K771" s="47"/>
      <c r="L771" s="47"/>
      <c r="M771" s="47"/>
      <c r="N771" s="48"/>
      <c r="O771" s="48"/>
    </row>
    <row r="772" spans="2:15" x14ac:dyDescent="0.2">
      <c r="B772" s="47"/>
      <c r="C772" s="47"/>
      <c r="D772" s="78"/>
      <c r="E772" s="47"/>
      <c r="F772" s="47"/>
      <c r="G772" s="47"/>
      <c r="H772" s="47"/>
      <c r="I772" s="48"/>
      <c r="J772" s="47"/>
      <c r="K772" s="47"/>
      <c r="L772" s="47"/>
      <c r="M772" s="47"/>
      <c r="N772" s="48"/>
      <c r="O772" s="48"/>
    </row>
    <row r="773" spans="2:15" x14ac:dyDescent="0.2">
      <c r="B773" s="47"/>
      <c r="C773" s="47"/>
      <c r="D773" s="78"/>
      <c r="E773" s="47"/>
      <c r="F773" s="47"/>
      <c r="G773" s="47"/>
      <c r="H773" s="47"/>
      <c r="I773" s="48"/>
      <c r="J773" s="47"/>
      <c r="K773" s="47"/>
      <c r="L773" s="47"/>
      <c r="M773" s="47"/>
      <c r="N773" s="48"/>
      <c r="O773" s="48"/>
    </row>
    <row r="774" spans="2:15" x14ac:dyDescent="0.2">
      <c r="B774" s="47"/>
      <c r="C774" s="47"/>
      <c r="D774" s="78"/>
      <c r="E774" s="47"/>
      <c r="F774" s="47"/>
      <c r="G774" s="47"/>
      <c r="H774" s="47"/>
      <c r="I774" s="48"/>
      <c r="J774" s="47"/>
      <c r="K774" s="47"/>
      <c r="L774" s="47"/>
      <c r="M774" s="47"/>
      <c r="N774" s="48"/>
      <c r="O774" s="48"/>
    </row>
    <row r="775" spans="2:15" x14ac:dyDescent="0.2">
      <c r="B775" s="47"/>
      <c r="C775" s="47"/>
      <c r="D775" s="78"/>
      <c r="E775" s="47"/>
      <c r="F775" s="47"/>
      <c r="G775" s="47"/>
      <c r="H775" s="47"/>
      <c r="I775" s="48"/>
      <c r="J775" s="47"/>
      <c r="K775" s="47"/>
      <c r="L775" s="47"/>
      <c r="M775" s="47"/>
      <c r="N775" s="48"/>
      <c r="O775" s="48"/>
    </row>
    <row r="776" spans="2:15" x14ac:dyDescent="0.2">
      <c r="B776" s="47"/>
      <c r="C776" s="47"/>
      <c r="D776" s="78"/>
      <c r="E776" s="47"/>
      <c r="F776" s="47"/>
      <c r="G776" s="47"/>
      <c r="H776" s="47"/>
      <c r="I776" s="48"/>
      <c r="J776" s="47"/>
      <c r="K776" s="47"/>
      <c r="L776" s="47"/>
      <c r="M776" s="47"/>
      <c r="N776" s="48"/>
      <c r="O776" s="48"/>
    </row>
    <row r="777" spans="2:15" x14ac:dyDescent="0.2">
      <c r="B777" s="47"/>
      <c r="C777" s="47"/>
      <c r="D777" s="78"/>
      <c r="E777" s="47"/>
      <c r="F777" s="47"/>
      <c r="G777" s="47"/>
      <c r="H777" s="47"/>
      <c r="I777" s="48"/>
      <c r="J777" s="47"/>
      <c r="K777" s="47"/>
      <c r="L777" s="47"/>
      <c r="M777" s="47"/>
      <c r="N777" s="48"/>
      <c r="O777" s="48"/>
    </row>
    <row r="778" spans="2:15" x14ac:dyDescent="0.2">
      <c r="B778" s="47"/>
      <c r="C778" s="47"/>
      <c r="D778" s="78"/>
      <c r="E778" s="47"/>
      <c r="F778" s="47"/>
      <c r="G778" s="47"/>
      <c r="H778" s="47"/>
      <c r="I778" s="48"/>
      <c r="J778" s="47"/>
      <c r="K778" s="47"/>
      <c r="L778" s="47"/>
      <c r="M778" s="47"/>
      <c r="N778" s="48"/>
      <c r="O778" s="48"/>
    </row>
    <row r="779" spans="2:15" x14ac:dyDescent="0.2">
      <c r="B779" s="47"/>
      <c r="C779" s="47"/>
      <c r="D779" s="78"/>
      <c r="E779" s="47"/>
      <c r="F779" s="47"/>
      <c r="G779" s="47"/>
      <c r="H779" s="47"/>
      <c r="I779" s="48"/>
      <c r="J779" s="47"/>
      <c r="K779" s="47"/>
      <c r="L779" s="47"/>
      <c r="M779" s="47"/>
      <c r="N779" s="48"/>
      <c r="O779" s="48"/>
    </row>
    <row r="780" spans="2:15" x14ac:dyDescent="0.2">
      <c r="B780" s="47"/>
      <c r="C780" s="47"/>
      <c r="D780" s="78"/>
      <c r="E780" s="47"/>
      <c r="F780" s="47"/>
      <c r="G780" s="47"/>
      <c r="H780" s="47"/>
      <c r="I780" s="48"/>
      <c r="J780" s="47"/>
      <c r="K780" s="47"/>
      <c r="L780" s="47"/>
      <c r="M780" s="47"/>
      <c r="N780" s="48"/>
      <c r="O780" s="48"/>
    </row>
    <row r="781" spans="2:15" x14ac:dyDescent="0.2">
      <c r="B781" s="47"/>
      <c r="C781" s="47"/>
      <c r="D781" s="78"/>
      <c r="E781" s="47"/>
      <c r="F781" s="47"/>
      <c r="G781" s="47"/>
      <c r="H781" s="47"/>
      <c r="I781" s="48"/>
      <c r="J781" s="47"/>
      <c r="K781" s="47"/>
      <c r="L781" s="47"/>
      <c r="M781" s="47"/>
      <c r="N781" s="48"/>
      <c r="O781" s="48"/>
    </row>
    <row r="782" spans="2:15" x14ac:dyDescent="0.2">
      <c r="B782" s="47"/>
      <c r="C782" s="47"/>
      <c r="D782" s="78"/>
      <c r="E782" s="47"/>
      <c r="F782" s="47"/>
      <c r="G782" s="47"/>
      <c r="H782" s="47"/>
      <c r="I782" s="48"/>
      <c r="J782" s="47"/>
      <c r="K782" s="47"/>
      <c r="L782" s="47"/>
      <c r="M782" s="47"/>
      <c r="N782" s="48"/>
      <c r="O782" s="48"/>
    </row>
    <row r="783" spans="2:15" x14ac:dyDescent="0.2">
      <c r="B783" s="47"/>
      <c r="C783" s="47"/>
      <c r="D783" s="78"/>
      <c r="E783" s="47"/>
      <c r="F783" s="47"/>
      <c r="G783" s="47"/>
      <c r="H783" s="47"/>
      <c r="I783" s="48"/>
      <c r="J783" s="47"/>
      <c r="K783" s="47"/>
      <c r="L783" s="47"/>
      <c r="M783" s="47"/>
      <c r="N783" s="48"/>
      <c r="O783" s="48"/>
    </row>
    <row r="784" spans="2:15" x14ac:dyDescent="0.2">
      <c r="B784" s="47"/>
      <c r="C784" s="47"/>
      <c r="D784" s="78"/>
      <c r="E784" s="47"/>
      <c r="F784" s="47"/>
      <c r="G784" s="47"/>
      <c r="H784" s="47"/>
      <c r="I784" s="48"/>
      <c r="J784" s="47"/>
      <c r="K784" s="47"/>
      <c r="L784" s="47"/>
      <c r="M784" s="47"/>
      <c r="N784" s="48"/>
      <c r="O784" s="48"/>
    </row>
    <row r="785" spans="2:15" x14ac:dyDescent="0.2">
      <c r="B785" s="47"/>
      <c r="C785" s="47"/>
      <c r="D785" s="78"/>
      <c r="E785" s="47"/>
      <c r="F785" s="47"/>
      <c r="G785" s="47"/>
      <c r="H785" s="47"/>
      <c r="I785" s="48"/>
      <c r="J785" s="47"/>
      <c r="K785" s="47"/>
      <c r="L785" s="47"/>
      <c r="M785" s="47"/>
      <c r="N785" s="48"/>
      <c r="O785" s="48"/>
    </row>
    <row r="786" spans="2:15" x14ac:dyDescent="0.2">
      <c r="B786" s="47"/>
      <c r="C786" s="47"/>
      <c r="D786" s="78"/>
      <c r="E786" s="47"/>
      <c r="F786" s="47"/>
      <c r="G786" s="47"/>
      <c r="H786" s="47"/>
      <c r="I786" s="48"/>
      <c r="J786" s="47"/>
      <c r="K786" s="47"/>
      <c r="L786" s="47"/>
      <c r="M786" s="47"/>
      <c r="N786" s="48"/>
      <c r="O786" s="48"/>
    </row>
    <row r="787" spans="2:15" x14ac:dyDescent="0.2">
      <c r="B787" s="47"/>
      <c r="C787" s="47"/>
      <c r="D787" s="78"/>
      <c r="E787" s="47"/>
      <c r="F787" s="47"/>
      <c r="G787" s="47"/>
      <c r="H787" s="47"/>
      <c r="I787" s="48"/>
      <c r="J787" s="47"/>
      <c r="K787" s="47"/>
      <c r="L787" s="47"/>
      <c r="M787" s="47"/>
      <c r="N787" s="48"/>
      <c r="O787" s="48"/>
    </row>
    <row r="788" spans="2:15" x14ac:dyDescent="0.2">
      <c r="B788" s="47"/>
      <c r="C788" s="47"/>
      <c r="D788" s="78"/>
      <c r="E788" s="47"/>
      <c r="F788" s="47"/>
      <c r="G788" s="47"/>
      <c r="H788" s="47"/>
      <c r="I788" s="48"/>
      <c r="J788" s="47"/>
      <c r="K788" s="47"/>
      <c r="L788" s="47"/>
      <c r="M788" s="47"/>
      <c r="N788" s="48"/>
      <c r="O788" s="48"/>
    </row>
    <row r="789" spans="2:15" x14ac:dyDescent="0.2">
      <c r="B789" s="47"/>
      <c r="C789" s="47"/>
      <c r="D789" s="78"/>
      <c r="E789" s="47"/>
      <c r="F789" s="47"/>
      <c r="G789" s="47"/>
      <c r="H789" s="47"/>
      <c r="I789" s="48"/>
      <c r="J789" s="47"/>
      <c r="K789" s="47"/>
      <c r="L789" s="47"/>
      <c r="M789" s="47"/>
      <c r="N789" s="48"/>
      <c r="O789" s="48"/>
    </row>
    <row r="790" spans="2:15" x14ac:dyDescent="0.2">
      <c r="B790" s="47"/>
      <c r="C790" s="47"/>
      <c r="D790" s="78"/>
      <c r="E790" s="47"/>
      <c r="F790" s="47"/>
      <c r="G790" s="47"/>
      <c r="H790" s="47"/>
      <c r="I790" s="48"/>
      <c r="J790" s="47"/>
      <c r="K790" s="47"/>
      <c r="L790" s="47"/>
      <c r="M790" s="47"/>
      <c r="N790" s="48"/>
      <c r="O790" s="48"/>
    </row>
    <row r="791" spans="2:15" x14ac:dyDescent="0.2">
      <c r="B791" s="47"/>
      <c r="C791" s="47"/>
      <c r="D791" s="78"/>
      <c r="E791" s="47"/>
      <c r="F791" s="47"/>
      <c r="G791" s="47"/>
      <c r="H791" s="47"/>
      <c r="I791" s="48"/>
      <c r="J791" s="47"/>
      <c r="K791" s="47"/>
      <c r="L791" s="47"/>
      <c r="M791" s="47"/>
      <c r="N791" s="48"/>
      <c r="O791" s="48"/>
    </row>
    <row r="792" spans="2:15" x14ac:dyDescent="0.2">
      <c r="B792" s="47"/>
      <c r="C792" s="47"/>
      <c r="D792" s="78"/>
      <c r="E792" s="47"/>
      <c r="F792" s="47"/>
      <c r="G792" s="47"/>
      <c r="H792" s="47"/>
      <c r="I792" s="48"/>
      <c r="J792" s="47"/>
      <c r="K792" s="47"/>
      <c r="L792" s="47"/>
      <c r="M792" s="47"/>
      <c r="N792" s="48"/>
      <c r="O792" s="48"/>
    </row>
    <row r="793" spans="2:15" x14ac:dyDescent="0.2">
      <c r="B793" s="47"/>
      <c r="C793" s="47"/>
      <c r="D793" s="78"/>
      <c r="E793" s="47"/>
      <c r="F793" s="47"/>
      <c r="G793" s="47"/>
      <c r="H793" s="47"/>
      <c r="I793" s="48"/>
      <c r="J793" s="47"/>
      <c r="K793" s="47"/>
      <c r="L793" s="47"/>
      <c r="M793" s="47"/>
      <c r="N793" s="48"/>
      <c r="O793" s="48"/>
    </row>
    <row r="794" spans="2:15" x14ac:dyDescent="0.2">
      <c r="B794" s="47"/>
      <c r="C794" s="47"/>
      <c r="D794" s="78"/>
      <c r="E794" s="47"/>
      <c r="F794" s="47"/>
      <c r="G794" s="47"/>
      <c r="H794" s="47"/>
      <c r="I794" s="48"/>
      <c r="J794" s="47"/>
      <c r="K794" s="47"/>
      <c r="L794" s="47"/>
      <c r="M794" s="47"/>
      <c r="N794" s="48"/>
      <c r="O794" s="48"/>
    </row>
    <row r="795" spans="2:15" x14ac:dyDescent="0.2">
      <c r="B795" s="47"/>
      <c r="C795" s="47"/>
      <c r="D795" s="78"/>
      <c r="E795" s="47"/>
      <c r="F795" s="47"/>
      <c r="G795" s="47"/>
      <c r="H795" s="47"/>
      <c r="I795" s="48"/>
      <c r="J795" s="47"/>
      <c r="K795" s="47"/>
      <c r="L795" s="47"/>
      <c r="M795" s="47"/>
      <c r="N795" s="48"/>
      <c r="O795" s="48"/>
    </row>
    <row r="796" spans="2:15" x14ac:dyDescent="0.2">
      <c r="B796" s="47"/>
      <c r="C796" s="47"/>
      <c r="D796" s="78"/>
      <c r="E796" s="47"/>
      <c r="F796" s="47"/>
      <c r="G796" s="47"/>
      <c r="H796" s="47"/>
      <c r="I796" s="48"/>
      <c r="J796" s="47"/>
      <c r="K796" s="47"/>
      <c r="L796" s="47"/>
      <c r="M796" s="47"/>
      <c r="N796" s="48"/>
      <c r="O796" s="48"/>
    </row>
    <row r="797" spans="2:15" x14ac:dyDescent="0.2">
      <c r="B797" s="47"/>
      <c r="C797" s="47"/>
      <c r="D797" s="78"/>
      <c r="E797" s="47"/>
      <c r="F797" s="47"/>
      <c r="G797" s="47"/>
      <c r="H797" s="47"/>
      <c r="I797" s="48"/>
      <c r="J797" s="47"/>
      <c r="K797" s="47"/>
      <c r="L797" s="47"/>
      <c r="M797" s="47"/>
      <c r="N797" s="48"/>
      <c r="O797" s="48"/>
    </row>
    <row r="798" spans="2:15" x14ac:dyDescent="0.2">
      <c r="B798" s="47"/>
      <c r="C798" s="47"/>
      <c r="D798" s="78"/>
      <c r="E798" s="47"/>
      <c r="F798" s="47"/>
      <c r="G798" s="47"/>
      <c r="H798" s="47"/>
      <c r="I798" s="48"/>
      <c r="J798" s="47"/>
      <c r="K798" s="47"/>
      <c r="L798" s="47"/>
      <c r="M798" s="47"/>
      <c r="N798" s="48"/>
      <c r="O798" s="48"/>
    </row>
    <row r="799" spans="2:15" x14ac:dyDescent="0.2">
      <c r="B799" s="47"/>
      <c r="C799" s="47"/>
      <c r="D799" s="78"/>
      <c r="E799" s="47"/>
      <c r="F799" s="47"/>
      <c r="G799" s="47"/>
      <c r="H799" s="47"/>
      <c r="I799" s="48"/>
      <c r="J799" s="47"/>
      <c r="K799" s="47"/>
      <c r="L799" s="47"/>
      <c r="M799" s="47"/>
      <c r="N799" s="48"/>
      <c r="O799" s="48"/>
    </row>
    <row r="800" spans="2:15" x14ac:dyDescent="0.2">
      <c r="B800" s="47"/>
      <c r="C800" s="47"/>
      <c r="D800" s="78"/>
      <c r="E800" s="47"/>
      <c r="F800" s="47"/>
      <c r="G800" s="47"/>
      <c r="H800" s="47"/>
      <c r="I800" s="48"/>
      <c r="J800" s="47"/>
      <c r="K800" s="47"/>
      <c r="L800" s="47"/>
      <c r="M800" s="47"/>
      <c r="N800" s="48"/>
      <c r="O800" s="48"/>
    </row>
    <row r="801" spans="2:15" x14ac:dyDescent="0.2">
      <c r="B801" s="47"/>
      <c r="C801" s="47"/>
      <c r="D801" s="78"/>
      <c r="E801" s="47"/>
      <c r="F801" s="47"/>
      <c r="G801" s="47"/>
      <c r="H801" s="47"/>
      <c r="I801" s="48"/>
      <c r="J801" s="47"/>
      <c r="K801" s="47"/>
      <c r="L801" s="47"/>
      <c r="M801" s="47"/>
      <c r="N801" s="48"/>
      <c r="O801" s="48"/>
    </row>
    <row r="802" spans="2:15" x14ac:dyDescent="0.2">
      <c r="B802" s="47"/>
      <c r="C802" s="47"/>
      <c r="D802" s="78"/>
      <c r="E802" s="47"/>
      <c r="F802" s="47"/>
      <c r="G802" s="47"/>
      <c r="H802" s="47"/>
      <c r="I802" s="48"/>
      <c r="J802" s="47"/>
      <c r="K802" s="47"/>
      <c r="L802" s="47"/>
      <c r="M802" s="47"/>
      <c r="N802" s="48"/>
      <c r="O802" s="48"/>
    </row>
    <row r="803" spans="2:15" x14ac:dyDescent="0.2">
      <c r="B803" s="47"/>
      <c r="C803" s="47"/>
      <c r="D803" s="78"/>
      <c r="E803" s="47"/>
      <c r="F803" s="47"/>
      <c r="G803" s="47"/>
      <c r="H803" s="47"/>
      <c r="I803" s="48"/>
      <c r="J803" s="47"/>
      <c r="K803" s="47"/>
      <c r="L803" s="47"/>
      <c r="M803" s="47"/>
      <c r="N803" s="48"/>
      <c r="O803" s="48"/>
    </row>
    <row r="804" spans="2:15" x14ac:dyDescent="0.2">
      <c r="B804" s="47"/>
      <c r="C804" s="47"/>
      <c r="D804" s="78"/>
      <c r="E804" s="47"/>
      <c r="F804" s="47"/>
      <c r="G804" s="47"/>
      <c r="H804" s="47"/>
      <c r="I804" s="48"/>
      <c r="J804" s="47"/>
      <c r="K804" s="47"/>
      <c r="L804" s="47"/>
      <c r="M804" s="47"/>
      <c r="N804" s="48"/>
      <c r="O804" s="48"/>
    </row>
    <row r="805" spans="2:15" x14ac:dyDescent="0.2">
      <c r="B805" s="47"/>
      <c r="C805" s="47"/>
      <c r="D805" s="78"/>
      <c r="E805" s="47"/>
      <c r="F805" s="47"/>
      <c r="G805" s="47"/>
      <c r="H805" s="47"/>
      <c r="I805" s="48"/>
      <c r="J805" s="47"/>
      <c r="K805" s="47"/>
      <c r="L805" s="47"/>
      <c r="M805" s="47"/>
      <c r="N805" s="48"/>
      <c r="O805" s="48"/>
    </row>
    <row r="806" spans="2:15" x14ac:dyDescent="0.2">
      <c r="B806" s="47"/>
      <c r="C806" s="47"/>
      <c r="D806" s="78"/>
      <c r="E806" s="47"/>
      <c r="F806" s="47"/>
      <c r="G806" s="47"/>
      <c r="H806" s="47"/>
      <c r="I806" s="48"/>
      <c r="J806" s="47"/>
      <c r="K806" s="47"/>
      <c r="L806" s="47"/>
      <c r="M806" s="47"/>
      <c r="N806" s="48"/>
      <c r="O806" s="48"/>
    </row>
    <row r="807" spans="2:15" x14ac:dyDescent="0.2">
      <c r="B807" s="47"/>
      <c r="C807" s="47"/>
      <c r="D807" s="78"/>
      <c r="E807" s="47"/>
      <c r="F807" s="47"/>
      <c r="G807" s="47"/>
      <c r="H807" s="47"/>
      <c r="I807" s="48"/>
      <c r="J807" s="47"/>
      <c r="K807" s="47"/>
      <c r="L807" s="47"/>
      <c r="M807" s="47"/>
      <c r="N807" s="48"/>
      <c r="O807" s="48"/>
    </row>
    <row r="808" spans="2:15" x14ac:dyDescent="0.2">
      <c r="B808" s="47"/>
      <c r="C808" s="47"/>
      <c r="D808" s="78"/>
      <c r="E808" s="47"/>
      <c r="F808" s="47"/>
      <c r="G808" s="47"/>
      <c r="H808" s="47"/>
      <c r="I808" s="48"/>
      <c r="J808" s="47"/>
      <c r="K808" s="47"/>
      <c r="L808" s="47"/>
      <c r="M808" s="47"/>
      <c r="N808" s="48"/>
      <c r="O808" s="48"/>
    </row>
    <row r="809" spans="2:15" x14ac:dyDescent="0.2">
      <c r="B809" s="47"/>
      <c r="C809" s="47"/>
      <c r="D809" s="78"/>
      <c r="E809" s="47"/>
      <c r="F809" s="47"/>
      <c r="G809" s="47"/>
      <c r="H809" s="47"/>
      <c r="I809" s="48"/>
      <c r="J809" s="47"/>
      <c r="K809" s="47"/>
      <c r="L809" s="47"/>
      <c r="M809" s="47"/>
      <c r="N809" s="48"/>
      <c r="O809" s="48"/>
    </row>
    <row r="810" spans="2:15" x14ac:dyDescent="0.2">
      <c r="B810" s="47"/>
      <c r="C810" s="47"/>
      <c r="D810" s="78"/>
      <c r="E810" s="47"/>
      <c r="F810" s="47"/>
      <c r="G810" s="47"/>
      <c r="H810" s="47"/>
      <c r="I810" s="48"/>
      <c r="J810" s="47"/>
      <c r="K810" s="47"/>
      <c r="L810" s="47"/>
      <c r="M810" s="47"/>
      <c r="N810" s="48"/>
      <c r="O810" s="48"/>
    </row>
    <row r="811" spans="2:15" x14ac:dyDescent="0.2">
      <c r="B811" s="47"/>
      <c r="C811" s="47"/>
      <c r="D811" s="78"/>
      <c r="E811" s="47"/>
      <c r="F811" s="47"/>
      <c r="G811" s="47"/>
      <c r="H811" s="47"/>
      <c r="I811" s="48"/>
      <c r="J811" s="47"/>
      <c r="K811" s="47"/>
      <c r="L811" s="47"/>
      <c r="M811" s="47"/>
      <c r="N811" s="48"/>
      <c r="O811" s="48"/>
    </row>
    <row r="812" spans="2:15" x14ac:dyDescent="0.2">
      <c r="B812" s="47"/>
      <c r="C812" s="47"/>
      <c r="D812" s="78"/>
      <c r="E812" s="47"/>
      <c r="F812" s="47"/>
      <c r="G812" s="47"/>
      <c r="H812" s="47"/>
      <c r="I812" s="48"/>
      <c r="J812" s="47"/>
      <c r="K812" s="47"/>
      <c r="L812" s="47"/>
      <c r="M812" s="47"/>
      <c r="N812" s="48"/>
      <c r="O812" s="48"/>
    </row>
    <row r="813" spans="2:15" x14ac:dyDescent="0.2">
      <c r="B813" s="47"/>
      <c r="C813" s="47"/>
      <c r="D813" s="78"/>
      <c r="E813" s="47"/>
      <c r="F813" s="47"/>
      <c r="G813" s="47"/>
      <c r="H813" s="47"/>
      <c r="I813" s="48"/>
      <c r="J813" s="47"/>
      <c r="K813" s="47"/>
      <c r="L813" s="47"/>
      <c r="M813" s="47"/>
      <c r="N813" s="48"/>
      <c r="O813" s="48"/>
    </row>
    <row r="814" spans="2:15" x14ac:dyDescent="0.2">
      <c r="B814" s="47"/>
      <c r="C814" s="47"/>
      <c r="D814" s="78"/>
      <c r="E814" s="47"/>
      <c r="F814" s="47"/>
      <c r="G814" s="47"/>
      <c r="H814" s="47"/>
      <c r="I814" s="48"/>
      <c r="J814" s="47"/>
      <c r="K814" s="47"/>
      <c r="L814" s="47"/>
      <c r="M814" s="47"/>
      <c r="N814" s="48"/>
      <c r="O814" s="48"/>
    </row>
    <row r="815" spans="2:15" x14ac:dyDescent="0.2">
      <c r="B815" s="47"/>
      <c r="C815" s="47"/>
      <c r="D815" s="78"/>
      <c r="E815" s="47"/>
      <c r="F815" s="47"/>
      <c r="G815" s="47"/>
      <c r="H815" s="47"/>
      <c r="I815" s="48"/>
      <c r="J815" s="47"/>
      <c r="K815" s="47"/>
      <c r="L815" s="47"/>
      <c r="M815" s="47"/>
      <c r="N815" s="48"/>
      <c r="O815" s="48"/>
    </row>
    <row r="816" spans="2:15" x14ac:dyDescent="0.2">
      <c r="B816" s="47"/>
      <c r="C816" s="47"/>
      <c r="D816" s="78"/>
      <c r="E816" s="47"/>
      <c r="F816" s="47"/>
      <c r="G816" s="47"/>
      <c r="H816" s="47"/>
      <c r="I816" s="48"/>
      <c r="J816" s="47"/>
      <c r="K816" s="47"/>
      <c r="L816" s="47"/>
      <c r="M816" s="47"/>
      <c r="N816" s="48"/>
      <c r="O816" s="48"/>
    </row>
    <row r="817" spans="2:15" x14ac:dyDescent="0.2">
      <c r="B817" s="47"/>
      <c r="C817" s="47"/>
      <c r="D817" s="78"/>
      <c r="E817" s="47"/>
      <c r="F817" s="47"/>
      <c r="G817" s="47"/>
      <c r="H817" s="47"/>
      <c r="I817" s="48"/>
      <c r="J817" s="47"/>
      <c r="K817" s="47"/>
      <c r="L817" s="47"/>
      <c r="M817" s="47"/>
      <c r="N817" s="48"/>
      <c r="O817" s="48"/>
    </row>
    <row r="818" spans="2:15" x14ac:dyDescent="0.2">
      <c r="B818" s="47"/>
      <c r="C818" s="47"/>
      <c r="D818" s="78"/>
      <c r="E818" s="47"/>
      <c r="F818" s="47"/>
      <c r="G818" s="47"/>
      <c r="H818" s="47"/>
      <c r="I818" s="48"/>
      <c r="J818" s="47"/>
      <c r="K818" s="47"/>
      <c r="L818" s="47"/>
      <c r="M818" s="47"/>
      <c r="N818" s="48"/>
      <c r="O818" s="48"/>
    </row>
    <row r="819" spans="2:15" x14ac:dyDescent="0.2">
      <c r="B819" s="47"/>
      <c r="C819" s="47"/>
      <c r="D819" s="78"/>
      <c r="E819" s="47"/>
      <c r="F819" s="47"/>
      <c r="G819" s="47"/>
      <c r="H819" s="47"/>
      <c r="I819" s="48"/>
      <c r="J819" s="47"/>
      <c r="K819" s="47"/>
      <c r="L819" s="47"/>
      <c r="M819" s="47"/>
      <c r="N819" s="48"/>
      <c r="O819" s="48"/>
    </row>
    <row r="820" spans="2:15" x14ac:dyDescent="0.2">
      <c r="B820" s="47"/>
      <c r="C820" s="47"/>
      <c r="D820" s="78"/>
      <c r="E820" s="47"/>
      <c r="F820" s="47"/>
      <c r="G820" s="47"/>
      <c r="H820" s="47"/>
      <c r="I820" s="48"/>
      <c r="J820" s="47"/>
      <c r="K820" s="47"/>
      <c r="L820" s="47"/>
      <c r="M820" s="47"/>
      <c r="N820" s="48"/>
      <c r="O820" s="48"/>
    </row>
    <row r="821" spans="2:15" x14ac:dyDescent="0.2">
      <c r="B821" s="47"/>
      <c r="C821" s="47"/>
      <c r="D821" s="78"/>
      <c r="E821" s="47"/>
      <c r="F821" s="47"/>
      <c r="G821" s="47"/>
      <c r="H821" s="47"/>
      <c r="I821" s="48"/>
      <c r="J821" s="47"/>
      <c r="K821" s="47"/>
      <c r="L821" s="47"/>
      <c r="M821" s="47"/>
      <c r="N821" s="48"/>
      <c r="O821" s="48"/>
    </row>
    <row r="822" spans="2:15" x14ac:dyDescent="0.2">
      <c r="B822" s="47"/>
      <c r="C822" s="47"/>
      <c r="D822" s="78"/>
      <c r="E822" s="47"/>
      <c r="F822" s="47"/>
      <c r="G822" s="47"/>
      <c r="H822" s="47"/>
      <c r="I822" s="48"/>
      <c r="J822" s="47"/>
      <c r="K822" s="47"/>
      <c r="L822" s="47"/>
      <c r="M822" s="47"/>
      <c r="N822" s="48"/>
      <c r="O822" s="48"/>
    </row>
    <row r="823" spans="2:15" x14ac:dyDescent="0.2">
      <c r="B823" s="47"/>
      <c r="C823" s="47"/>
      <c r="D823" s="78"/>
      <c r="E823" s="47"/>
      <c r="F823" s="47"/>
      <c r="G823" s="47"/>
      <c r="H823" s="47"/>
      <c r="I823" s="48"/>
      <c r="J823" s="47"/>
      <c r="K823" s="47"/>
      <c r="L823" s="47"/>
      <c r="M823" s="47"/>
      <c r="N823" s="48"/>
      <c r="O823" s="48"/>
    </row>
    <row r="824" spans="2:15" x14ac:dyDescent="0.2">
      <c r="B824" s="47"/>
      <c r="C824" s="47"/>
      <c r="D824" s="78"/>
      <c r="E824" s="47"/>
      <c r="F824" s="47"/>
      <c r="G824" s="47"/>
      <c r="H824" s="47"/>
      <c r="I824" s="48"/>
      <c r="J824" s="47"/>
      <c r="K824" s="47"/>
      <c r="L824" s="47"/>
      <c r="M824" s="47"/>
      <c r="N824" s="48"/>
      <c r="O824" s="48"/>
    </row>
    <row r="825" spans="2:15" x14ac:dyDescent="0.2">
      <c r="B825" s="47"/>
      <c r="C825" s="47"/>
      <c r="D825" s="78"/>
      <c r="E825" s="47"/>
      <c r="F825" s="47"/>
      <c r="G825" s="47"/>
      <c r="H825" s="47"/>
      <c r="I825" s="48"/>
      <c r="J825" s="47"/>
      <c r="K825" s="47"/>
      <c r="L825" s="47"/>
      <c r="M825" s="47"/>
      <c r="N825" s="48"/>
      <c r="O825" s="48"/>
    </row>
    <row r="826" spans="2:15" x14ac:dyDescent="0.2">
      <c r="B826" s="47"/>
      <c r="C826" s="47"/>
      <c r="D826" s="78"/>
      <c r="E826" s="47"/>
      <c r="F826" s="47"/>
      <c r="G826" s="47"/>
      <c r="H826" s="47"/>
      <c r="I826" s="48"/>
      <c r="J826" s="47"/>
      <c r="K826" s="47"/>
      <c r="L826" s="47"/>
      <c r="M826" s="47"/>
      <c r="N826" s="48"/>
      <c r="O826" s="48"/>
    </row>
    <row r="827" spans="2:15" x14ac:dyDescent="0.2">
      <c r="B827" s="47"/>
      <c r="C827" s="47"/>
      <c r="D827" s="78"/>
      <c r="E827" s="47"/>
      <c r="F827" s="47"/>
      <c r="G827" s="47"/>
      <c r="H827" s="47"/>
      <c r="I827" s="48"/>
      <c r="J827" s="47"/>
      <c r="K827" s="47"/>
      <c r="L827" s="47"/>
      <c r="M827" s="47"/>
      <c r="N827" s="48"/>
      <c r="O827" s="48"/>
    </row>
    <row r="828" spans="2:15" x14ac:dyDescent="0.2">
      <c r="B828" s="47"/>
      <c r="C828" s="47"/>
      <c r="D828" s="78"/>
      <c r="E828" s="47"/>
      <c r="F828" s="47"/>
      <c r="G828" s="47"/>
      <c r="H828" s="47"/>
      <c r="I828" s="48"/>
      <c r="J828" s="47"/>
      <c r="K828" s="47"/>
      <c r="L828" s="47"/>
      <c r="M828" s="47"/>
      <c r="N828" s="48"/>
      <c r="O828" s="48"/>
    </row>
    <row r="829" spans="2:15" x14ac:dyDescent="0.2">
      <c r="B829" s="47"/>
      <c r="C829" s="47"/>
      <c r="D829" s="78"/>
      <c r="E829" s="47"/>
      <c r="F829" s="47"/>
      <c r="G829" s="47"/>
      <c r="H829" s="47"/>
      <c r="I829" s="48"/>
      <c r="J829" s="47"/>
      <c r="K829" s="47"/>
      <c r="L829" s="47"/>
      <c r="M829" s="47"/>
      <c r="N829" s="48"/>
      <c r="O829" s="48"/>
    </row>
    <row r="830" spans="2:15" x14ac:dyDescent="0.2">
      <c r="B830" s="47"/>
      <c r="C830" s="47"/>
      <c r="D830" s="78"/>
      <c r="E830" s="47"/>
      <c r="F830" s="47"/>
      <c r="G830" s="47"/>
      <c r="H830" s="47"/>
      <c r="I830" s="48"/>
      <c r="J830" s="47"/>
      <c r="K830" s="47"/>
      <c r="L830" s="47"/>
      <c r="M830" s="47"/>
      <c r="N830" s="48"/>
      <c r="O830" s="48"/>
    </row>
    <row r="831" spans="2:15" x14ac:dyDescent="0.2">
      <c r="B831" s="47"/>
      <c r="C831" s="47"/>
      <c r="D831" s="78"/>
      <c r="E831" s="47"/>
      <c r="F831" s="47"/>
      <c r="G831" s="47"/>
      <c r="H831" s="47"/>
      <c r="I831" s="48"/>
      <c r="J831" s="47"/>
      <c r="K831" s="47"/>
      <c r="L831" s="47"/>
      <c r="M831" s="47"/>
      <c r="N831" s="48"/>
      <c r="O831" s="48"/>
    </row>
    <row r="832" spans="2:15" x14ac:dyDescent="0.2">
      <c r="B832" s="47"/>
      <c r="C832" s="47"/>
      <c r="D832" s="78"/>
      <c r="E832" s="47"/>
      <c r="F832" s="47"/>
      <c r="G832" s="47"/>
      <c r="H832" s="47"/>
      <c r="I832" s="48"/>
      <c r="J832" s="47"/>
      <c r="K832" s="47"/>
      <c r="L832" s="47"/>
      <c r="M832" s="47"/>
      <c r="N832" s="48"/>
      <c r="O832" s="48"/>
    </row>
    <row r="833" spans="2:15" x14ac:dyDescent="0.2">
      <c r="B833" s="47"/>
      <c r="C833" s="47"/>
      <c r="D833" s="78"/>
      <c r="E833" s="47"/>
      <c r="F833" s="47"/>
      <c r="G833" s="47"/>
      <c r="H833" s="47"/>
      <c r="I833" s="48"/>
      <c r="J833" s="47"/>
      <c r="K833" s="47"/>
      <c r="L833" s="47"/>
      <c r="M833" s="47"/>
      <c r="N833" s="48"/>
      <c r="O833" s="48"/>
    </row>
    <row r="834" spans="2:15" x14ac:dyDescent="0.2">
      <c r="B834" s="47"/>
      <c r="C834" s="47"/>
      <c r="D834" s="78"/>
      <c r="E834" s="47"/>
      <c r="F834" s="47"/>
      <c r="G834" s="47"/>
      <c r="H834" s="47"/>
      <c r="I834" s="48"/>
      <c r="J834" s="47"/>
      <c r="K834" s="47"/>
      <c r="L834" s="47"/>
      <c r="M834" s="47"/>
      <c r="N834" s="48"/>
      <c r="O834" s="48"/>
    </row>
    <row r="835" spans="2:15" x14ac:dyDescent="0.2">
      <c r="B835" s="47"/>
      <c r="C835" s="47"/>
      <c r="D835" s="78"/>
      <c r="E835" s="47"/>
      <c r="F835" s="47"/>
      <c r="G835" s="47"/>
      <c r="H835" s="47"/>
      <c r="I835" s="48"/>
      <c r="J835" s="47"/>
      <c r="K835" s="47"/>
      <c r="L835" s="47"/>
      <c r="M835" s="47"/>
      <c r="N835" s="48"/>
      <c r="O835" s="48"/>
    </row>
    <row r="836" spans="2:15" x14ac:dyDescent="0.2">
      <c r="B836" s="47"/>
      <c r="C836" s="47"/>
      <c r="D836" s="78"/>
      <c r="E836" s="47"/>
      <c r="F836" s="47"/>
      <c r="G836" s="47"/>
      <c r="H836" s="47"/>
      <c r="I836" s="48"/>
      <c r="J836" s="47"/>
      <c r="K836" s="47"/>
      <c r="L836" s="47"/>
      <c r="M836" s="47"/>
      <c r="N836" s="48"/>
      <c r="O836" s="48"/>
    </row>
    <row r="837" spans="2:15" x14ac:dyDescent="0.2">
      <c r="B837" s="47"/>
      <c r="C837" s="47"/>
      <c r="D837" s="78"/>
      <c r="E837" s="47"/>
      <c r="F837" s="47"/>
      <c r="G837" s="47"/>
      <c r="H837" s="47"/>
      <c r="I837" s="48"/>
      <c r="J837" s="47"/>
      <c r="K837" s="47"/>
      <c r="L837" s="47"/>
      <c r="M837" s="47"/>
      <c r="N837" s="48"/>
      <c r="O837" s="48"/>
    </row>
    <row r="838" spans="2:15" x14ac:dyDescent="0.2">
      <c r="B838" s="47"/>
      <c r="C838" s="47"/>
      <c r="D838" s="78"/>
      <c r="E838" s="47"/>
      <c r="F838" s="47"/>
      <c r="G838" s="47"/>
      <c r="H838" s="47"/>
      <c r="I838" s="48"/>
      <c r="J838" s="47"/>
      <c r="K838" s="47"/>
      <c r="L838" s="47"/>
      <c r="M838" s="47"/>
      <c r="N838" s="48"/>
      <c r="O838" s="48"/>
    </row>
    <row r="839" spans="2:15" x14ac:dyDescent="0.2">
      <c r="B839" s="47"/>
      <c r="C839" s="47"/>
      <c r="D839" s="78"/>
      <c r="E839" s="47"/>
      <c r="F839" s="47"/>
      <c r="G839" s="47"/>
      <c r="H839" s="47"/>
      <c r="I839" s="48"/>
      <c r="J839" s="47"/>
      <c r="K839" s="47"/>
      <c r="L839" s="47"/>
      <c r="M839" s="47"/>
      <c r="N839" s="48"/>
      <c r="O839" s="48"/>
    </row>
    <row r="840" spans="2:15" x14ac:dyDescent="0.2">
      <c r="B840" s="47"/>
      <c r="C840" s="47"/>
      <c r="D840" s="78"/>
      <c r="E840" s="47"/>
      <c r="F840" s="47"/>
      <c r="G840" s="47"/>
      <c r="H840" s="47"/>
      <c r="I840" s="48"/>
      <c r="J840" s="47"/>
      <c r="K840" s="47"/>
      <c r="L840" s="47"/>
      <c r="M840" s="47"/>
      <c r="N840" s="48"/>
      <c r="O840" s="48"/>
    </row>
    <row r="841" spans="2:15" x14ac:dyDescent="0.2">
      <c r="B841" s="47"/>
      <c r="C841" s="47"/>
      <c r="D841" s="78"/>
      <c r="E841" s="47"/>
      <c r="F841" s="47"/>
      <c r="G841" s="47"/>
      <c r="H841" s="47"/>
      <c r="I841" s="48"/>
      <c r="J841" s="47"/>
      <c r="K841" s="47"/>
      <c r="L841" s="47"/>
      <c r="M841" s="47"/>
      <c r="N841" s="48"/>
      <c r="O841" s="48"/>
    </row>
    <row r="842" spans="2:15" x14ac:dyDescent="0.2">
      <c r="B842" s="47"/>
      <c r="C842" s="47"/>
      <c r="D842" s="78"/>
      <c r="E842" s="47"/>
      <c r="F842" s="47"/>
      <c r="G842" s="47"/>
      <c r="H842" s="47"/>
      <c r="I842" s="48"/>
      <c r="J842" s="47"/>
      <c r="K842" s="47"/>
      <c r="L842" s="47"/>
      <c r="M842" s="47"/>
      <c r="N842" s="48"/>
      <c r="O842" s="48"/>
    </row>
    <row r="843" spans="2:15" x14ac:dyDescent="0.2">
      <c r="B843" s="47"/>
      <c r="C843" s="47"/>
      <c r="D843" s="78"/>
      <c r="E843" s="47"/>
      <c r="F843" s="47"/>
      <c r="G843" s="47"/>
      <c r="H843" s="47"/>
      <c r="I843" s="48"/>
      <c r="J843" s="47"/>
      <c r="K843" s="47"/>
      <c r="L843" s="47"/>
      <c r="M843" s="47"/>
      <c r="N843" s="48"/>
      <c r="O843" s="48"/>
    </row>
    <row r="844" spans="2:15" x14ac:dyDescent="0.2">
      <c r="B844" s="47"/>
      <c r="C844" s="47"/>
      <c r="D844" s="78"/>
      <c r="E844" s="47"/>
      <c r="F844" s="47"/>
      <c r="G844" s="47"/>
      <c r="H844" s="47"/>
      <c r="I844" s="48"/>
      <c r="J844" s="47"/>
      <c r="K844" s="47"/>
      <c r="L844" s="47"/>
      <c r="M844" s="47"/>
      <c r="N844" s="48"/>
      <c r="O844" s="48"/>
    </row>
    <row r="845" spans="2:15" x14ac:dyDescent="0.2">
      <c r="B845" s="47"/>
      <c r="C845" s="47"/>
      <c r="D845" s="78"/>
      <c r="E845" s="47"/>
      <c r="F845" s="47"/>
      <c r="G845" s="47"/>
      <c r="H845" s="47"/>
      <c r="I845" s="48"/>
      <c r="J845" s="47"/>
      <c r="K845" s="47"/>
      <c r="L845" s="47"/>
      <c r="M845" s="47"/>
      <c r="N845" s="48"/>
      <c r="O845" s="48"/>
    </row>
    <row r="846" spans="2:15" x14ac:dyDescent="0.2">
      <c r="B846" s="47"/>
      <c r="C846" s="47"/>
      <c r="D846" s="78"/>
      <c r="E846" s="47"/>
      <c r="F846" s="47"/>
      <c r="G846" s="47"/>
      <c r="H846" s="47"/>
      <c r="I846" s="48"/>
      <c r="J846" s="47"/>
      <c r="K846" s="47"/>
      <c r="L846" s="47"/>
      <c r="M846" s="47"/>
      <c r="N846" s="48"/>
      <c r="O846" s="48"/>
    </row>
    <row r="847" spans="2:15" x14ac:dyDescent="0.2">
      <c r="B847" s="47"/>
      <c r="C847" s="47"/>
      <c r="D847" s="78"/>
      <c r="E847" s="47"/>
      <c r="F847" s="47"/>
      <c r="G847" s="47"/>
      <c r="H847" s="47"/>
      <c r="I847" s="48"/>
      <c r="J847" s="47"/>
      <c r="K847" s="47"/>
      <c r="L847" s="47"/>
      <c r="M847" s="47"/>
      <c r="N847" s="48"/>
      <c r="O847" s="48"/>
    </row>
    <row r="848" spans="2:15" x14ac:dyDescent="0.2">
      <c r="B848" s="47"/>
      <c r="C848" s="47"/>
      <c r="D848" s="78"/>
      <c r="E848" s="47"/>
      <c r="F848" s="47"/>
      <c r="G848" s="47"/>
      <c r="H848" s="47"/>
      <c r="I848" s="48"/>
      <c r="J848" s="47"/>
      <c r="K848" s="47"/>
      <c r="L848" s="47"/>
      <c r="M848" s="47"/>
      <c r="N848" s="48"/>
      <c r="O848" s="48"/>
    </row>
    <row r="849" spans="2:15" x14ac:dyDescent="0.2">
      <c r="B849" s="47"/>
      <c r="C849" s="47"/>
      <c r="D849" s="78"/>
      <c r="E849" s="47"/>
      <c r="F849" s="47"/>
      <c r="G849" s="47"/>
      <c r="H849" s="47"/>
      <c r="I849" s="48"/>
      <c r="J849" s="47"/>
      <c r="K849" s="47"/>
      <c r="L849" s="47"/>
      <c r="M849" s="47"/>
      <c r="N849" s="48"/>
      <c r="O849" s="48"/>
    </row>
    <row r="850" spans="2:15" x14ac:dyDescent="0.2">
      <c r="B850" s="47"/>
      <c r="C850" s="47"/>
      <c r="D850" s="78"/>
      <c r="E850" s="47"/>
      <c r="F850" s="47"/>
      <c r="G850" s="47"/>
      <c r="H850" s="47"/>
      <c r="I850" s="48"/>
      <c r="J850" s="47"/>
      <c r="K850" s="47"/>
      <c r="L850" s="47"/>
      <c r="M850" s="47"/>
      <c r="N850" s="48"/>
      <c r="O850" s="48"/>
    </row>
    <row r="851" spans="2:15" x14ac:dyDescent="0.2">
      <c r="B851" s="47"/>
      <c r="C851" s="47"/>
      <c r="D851" s="78"/>
      <c r="E851" s="47"/>
      <c r="F851" s="47"/>
      <c r="G851" s="47"/>
      <c r="H851" s="47"/>
      <c r="I851" s="48"/>
      <c r="J851" s="47"/>
      <c r="K851" s="47"/>
      <c r="L851" s="47"/>
      <c r="M851" s="47"/>
      <c r="N851" s="48"/>
      <c r="O851" s="48"/>
    </row>
    <row r="852" spans="2:15" x14ac:dyDescent="0.2">
      <c r="B852" s="47"/>
      <c r="C852" s="47"/>
      <c r="D852" s="78"/>
      <c r="E852" s="47"/>
      <c r="F852" s="47"/>
      <c r="G852" s="47"/>
      <c r="H852" s="47"/>
      <c r="I852" s="48"/>
      <c r="J852" s="47"/>
      <c r="K852" s="47"/>
      <c r="L852" s="47"/>
      <c r="M852" s="47"/>
      <c r="N852" s="48"/>
      <c r="O852" s="48"/>
    </row>
    <row r="853" spans="2:15" x14ac:dyDescent="0.2">
      <c r="B853" s="47"/>
      <c r="C853" s="47"/>
      <c r="D853" s="78"/>
      <c r="E853" s="47"/>
      <c r="F853" s="47"/>
      <c r="G853" s="47"/>
      <c r="H853" s="47"/>
      <c r="I853" s="48"/>
      <c r="J853" s="47"/>
      <c r="K853" s="47"/>
      <c r="L853" s="47"/>
      <c r="M853" s="47"/>
      <c r="N853" s="48"/>
      <c r="O853" s="48"/>
    </row>
    <row r="854" spans="2:15" x14ac:dyDescent="0.2">
      <c r="B854" s="47"/>
      <c r="C854" s="47"/>
      <c r="D854" s="78"/>
      <c r="E854" s="47"/>
      <c r="F854" s="47"/>
      <c r="G854" s="47"/>
      <c r="H854" s="47"/>
      <c r="I854" s="48"/>
      <c r="J854" s="47"/>
      <c r="K854" s="47"/>
      <c r="L854" s="47"/>
      <c r="M854" s="47"/>
      <c r="N854" s="48"/>
      <c r="O854" s="48"/>
    </row>
    <row r="855" spans="2:15" x14ac:dyDescent="0.2">
      <c r="B855" s="47"/>
      <c r="C855" s="47"/>
      <c r="D855" s="78"/>
      <c r="E855" s="47"/>
      <c r="F855" s="47"/>
      <c r="G855" s="47"/>
      <c r="H855" s="47"/>
      <c r="I855" s="48"/>
      <c r="J855" s="47"/>
      <c r="K855" s="47"/>
      <c r="L855" s="47"/>
      <c r="M855" s="47"/>
      <c r="N855" s="48"/>
      <c r="O855" s="48"/>
    </row>
    <row r="856" spans="2:15" x14ac:dyDescent="0.2">
      <c r="B856" s="47"/>
      <c r="C856" s="47"/>
      <c r="D856" s="78"/>
      <c r="E856" s="47"/>
      <c r="F856" s="47"/>
      <c r="G856" s="47"/>
      <c r="H856" s="47"/>
      <c r="I856" s="48"/>
      <c r="J856" s="47"/>
      <c r="K856" s="47"/>
      <c r="L856" s="47"/>
      <c r="M856" s="47"/>
      <c r="N856" s="48"/>
      <c r="O856" s="48"/>
    </row>
    <row r="857" spans="2:15" x14ac:dyDescent="0.2">
      <c r="B857" s="47"/>
      <c r="C857" s="47"/>
      <c r="D857" s="78"/>
      <c r="E857" s="47"/>
      <c r="F857" s="47"/>
      <c r="G857" s="47"/>
      <c r="H857" s="47"/>
      <c r="I857" s="48"/>
      <c r="J857" s="47"/>
      <c r="K857" s="47"/>
      <c r="L857" s="47"/>
      <c r="M857" s="47"/>
      <c r="N857" s="48"/>
      <c r="O857" s="48"/>
    </row>
    <row r="858" spans="2:15" x14ac:dyDescent="0.2">
      <c r="B858" s="47"/>
      <c r="C858" s="47"/>
      <c r="D858" s="78"/>
      <c r="E858" s="47"/>
      <c r="F858" s="47"/>
      <c r="G858" s="47"/>
      <c r="H858" s="47"/>
      <c r="I858" s="48"/>
      <c r="J858" s="47"/>
      <c r="K858" s="47"/>
      <c r="L858" s="47"/>
      <c r="M858" s="47"/>
      <c r="N858" s="48"/>
      <c r="O858" s="48"/>
    </row>
    <row r="859" spans="2:15" x14ac:dyDescent="0.2">
      <c r="B859" s="47"/>
      <c r="C859" s="47"/>
      <c r="D859" s="78"/>
      <c r="E859" s="47"/>
      <c r="F859" s="47"/>
      <c r="G859" s="47"/>
      <c r="H859" s="47"/>
      <c r="I859" s="48"/>
      <c r="J859" s="47"/>
      <c r="K859" s="47"/>
      <c r="L859" s="47"/>
      <c r="M859" s="47"/>
      <c r="N859" s="48"/>
      <c r="O859" s="48"/>
    </row>
    <row r="860" spans="2:15" x14ac:dyDescent="0.2">
      <c r="B860" s="47"/>
      <c r="C860" s="47"/>
      <c r="D860" s="78"/>
      <c r="E860" s="47"/>
      <c r="F860" s="47"/>
      <c r="G860" s="47"/>
      <c r="H860" s="47"/>
      <c r="I860" s="48"/>
      <c r="J860" s="47"/>
      <c r="K860" s="47"/>
      <c r="L860" s="47"/>
      <c r="M860" s="47"/>
      <c r="N860" s="48"/>
      <c r="O860" s="48"/>
    </row>
    <row r="861" spans="2:15" x14ac:dyDescent="0.2">
      <c r="B861" s="47"/>
      <c r="C861" s="47"/>
      <c r="D861" s="78"/>
      <c r="E861" s="47"/>
      <c r="F861" s="47"/>
      <c r="G861" s="47"/>
      <c r="H861" s="47"/>
      <c r="I861" s="48"/>
      <c r="J861" s="47"/>
      <c r="K861" s="47"/>
      <c r="L861" s="47"/>
      <c r="M861" s="47"/>
      <c r="N861" s="48"/>
      <c r="O861" s="48"/>
    </row>
    <row r="862" spans="2:15" x14ac:dyDescent="0.2">
      <c r="B862" s="47"/>
      <c r="C862" s="47"/>
      <c r="D862" s="78"/>
      <c r="E862" s="47"/>
      <c r="F862" s="47"/>
      <c r="G862" s="47"/>
      <c r="H862" s="47"/>
      <c r="I862" s="48"/>
      <c r="J862" s="47"/>
      <c r="K862" s="47"/>
      <c r="L862" s="47"/>
      <c r="M862" s="47"/>
      <c r="N862" s="48"/>
      <c r="O862" s="48"/>
    </row>
    <row r="863" spans="2:15" x14ac:dyDescent="0.2">
      <c r="B863" s="47"/>
      <c r="C863" s="47"/>
      <c r="D863" s="78"/>
      <c r="E863" s="47"/>
      <c r="F863" s="47"/>
      <c r="G863" s="47"/>
      <c r="H863" s="47"/>
      <c r="I863" s="48"/>
      <c r="J863" s="47"/>
      <c r="K863" s="47"/>
      <c r="L863" s="47"/>
      <c r="M863" s="47"/>
      <c r="N863" s="48"/>
      <c r="O863" s="48"/>
    </row>
    <row r="864" spans="2:15" x14ac:dyDescent="0.2">
      <c r="B864" s="47"/>
      <c r="C864" s="47"/>
      <c r="D864" s="78"/>
      <c r="E864" s="47"/>
      <c r="F864" s="47"/>
      <c r="G864" s="47"/>
      <c r="H864" s="47"/>
      <c r="I864" s="48"/>
      <c r="J864" s="47"/>
      <c r="K864" s="47"/>
      <c r="L864" s="47"/>
      <c r="M864" s="47"/>
      <c r="N864" s="48"/>
      <c r="O864" s="48"/>
    </row>
    <row r="865" spans="2:15" x14ac:dyDescent="0.2">
      <c r="B865" s="47"/>
      <c r="C865" s="47"/>
      <c r="D865" s="78"/>
      <c r="E865" s="47"/>
      <c r="F865" s="47"/>
      <c r="G865" s="47"/>
      <c r="H865" s="47"/>
      <c r="I865" s="48"/>
      <c r="J865" s="47"/>
      <c r="K865" s="47"/>
      <c r="L865" s="47"/>
      <c r="M865" s="47"/>
      <c r="N865" s="48"/>
      <c r="O865" s="48"/>
    </row>
    <row r="866" spans="2:15" x14ac:dyDescent="0.2">
      <c r="B866" s="47"/>
      <c r="C866" s="47"/>
      <c r="D866" s="78"/>
      <c r="E866" s="47"/>
      <c r="F866" s="47"/>
      <c r="G866" s="47"/>
      <c r="H866" s="47"/>
      <c r="I866" s="48"/>
      <c r="J866" s="47"/>
      <c r="K866" s="47"/>
      <c r="L866" s="47"/>
      <c r="M866" s="47"/>
      <c r="N866" s="48"/>
      <c r="O866" s="48"/>
    </row>
    <row r="867" spans="2:15" x14ac:dyDescent="0.2">
      <c r="B867" s="47"/>
      <c r="C867" s="47"/>
      <c r="D867" s="78"/>
      <c r="E867" s="47"/>
      <c r="F867" s="47"/>
      <c r="G867" s="47"/>
      <c r="H867" s="47"/>
      <c r="I867" s="48"/>
      <c r="J867" s="47"/>
      <c r="K867" s="47"/>
      <c r="L867" s="47"/>
      <c r="M867" s="47"/>
      <c r="N867" s="48"/>
      <c r="O867" s="48"/>
    </row>
    <row r="868" spans="2:15" x14ac:dyDescent="0.2">
      <c r="B868" s="47"/>
      <c r="C868" s="47"/>
      <c r="D868" s="78"/>
      <c r="E868" s="47"/>
      <c r="F868" s="47"/>
      <c r="G868" s="47"/>
      <c r="H868" s="47"/>
      <c r="I868" s="48"/>
      <c r="J868" s="47"/>
      <c r="K868" s="47"/>
      <c r="L868" s="47"/>
      <c r="M868" s="47"/>
      <c r="N868" s="48"/>
      <c r="O868" s="48"/>
    </row>
    <row r="869" spans="2:15" x14ac:dyDescent="0.2">
      <c r="B869" s="47"/>
      <c r="C869" s="47"/>
      <c r="D869" s="78"/>
      <c r="E869" s="47"/>
      <c r="F869" s="47"/>
      <c r="G869" s="47"/>
      <c r="H869" s="47"/>
      <c r="I869" s="48"/>
      <c r="J869" s="47"/>
      <c r="K869" s="47"/>
      <c r="L869" s="47"/>
      <c r="M869" s="47"/>
      <c r="N869" s="48"/>
      <c r="O869" s="48"/>
    </row>
    <row r="870" spans="2:15" x14ac:dyDescent="0.2">
      <c r="B870" s="47"/>
      <c r="C870" s="47"/>
      <c r="D870" s="78"/>
      <c r="E870" s="47"/>
      <c r="F870" s="47"/>
      <c r="G870" s="47"/>
      <c r="H870" s="47"/>
      <c r="I870" s="48"/>
      <c r="J870" s="47"/>
      <c r="K870" s="47"/>
      <c r="L870" s="47"/>
      <c r="M870" s="47"/>
      <c r="N870" s="48"/>
      <c r="O870" s="48"/>
    </row>
    <row r="871" spans="2:15" x14ac:dyDescent="0.2">
      <c r="B871" s="47"/>
      <c r="C871" s="47"/>
      <c r="D871" s="78"/>
      <c r="E871" s="47"/>
      <c r="F871" s="47"/>
      <c r="G871" s="47"/>
      <c r="H871" s="47"/>
      <c r="I871" s="48"/>
      <c r="J871" s="47"/>
      <c r="K871" s="47"/>
      <c r="L871" s="47"/>
      <c r="M871" s="47"/>
      <c r="N871" s="48"/>
      <c r="O871" s="48"/>
    </row>
    <row r="872" spans="2:15" x14ac:dyDescent="0.2">
      <c r="B872" s="47"/>
      <c r="C872" s="47"/>
      <c r="D872" s="78"/>
      <c r="E872" s="47"/>
      <c r="F872" s="47"/>
      <c r="G872" s="47"/>
      <c r="H872" s="47"/>
      <c r="I872" s="48"/>
      <c r="J872" s="47"/>
      <c r="K872" s="47"/>
      <c r="L872" s="47"/>
      <c r="M872" s="47"/>
      <c r="N872" s="48"/>
      <c r="O872" s="48"/>
    </row>
    <row r="873" spans="2:15" x14ac:dyDescent="0.2">
      <c r="B873" s="47"/>
      <c r="C873" s="47"/>
      <c r="D873" s="78"/>
      <c r="E873" s="47"/>
      <c r="F873" s="47"/>
      <c r="G873" s="47"/>
      <c r="H873" s="47"/>
      <c r="I873" s="48"/>
      <c r="J873" s="47"/>
      <c r="K873" s="47"/>
      <c r="L873" s="47"/>
      <c r="M873" s="47"/>
      <c r="N873" s="48"/>
      <c r="O873" s="48"/>
    </row>
    <row r="874" spans="2:15" x14ac:dyDescent="0.2">
      <c r="B874" s="47"/>
      <c r="C874" s="47"/>
      <c r="D874" s="78"/>
      <c r="E874" s="47"/>
      <c r="F874" s="47"/>
      <c r="G874" s="47"/>
      <c r="H874" s="47"/>
      <c r="I874" s="48"/>
      <c r="J874" s="47"/>
      <c r="K874" s="47"/>
      <c r="L874" s="47"/>
      <c r="M874" s="47"/>
      <c r="N874" s="48"/>
      <c r="O874" s="48"/>
    </row>
    <row r="875" spans="2:15" x14ac:dyDescent="0.2">
      <c r="B875" s="47"/>
      <c r="C875" s="47"/>
      <c r="D875" s="78"/>
      <c r="E875" s="47"/>
      <c r="F875" s="47"/>
      <c r="G875" s="47"/>
      <c r="H875" s="47"/>
      <c r="I875" s="48"/>
      <c r="J875" s="47"/>
      <c r="K875" s="47"/>
      <c r="L875" s="47"/>
      <c r="M875" s="47"/>
      <c r="N875" s="48"/>
      <c r="O875" s="48"/>
    </row>
    <row r="876" spans="2:15" x14ac:dyDescent="0.2">
      <c r="B876" s="47"/>
      <c r="C876" s="47"/>
      <c r="D876" s="78"/>
      <c r="E876" s="47"/>
      <c r="F876" s="47"/>
      <c r="G876" s="47"/>
      <c r="H876" s="47"/>
      <c r="I876" s="48"/>
      <c r="J876" s="47"/>
      <c r="K876" s="47"/>
      <c r="L876" s="47"/>
      <c r="M876" s="47"/>
      <c r="N876" s="48"/>
      <c r="O876" s="48"/>
    </row>
    <row r="877" spans="2:15" x14ac:dyDescent="0.2">
      <c r="B877" s="47"/>
      <c r="C877" s="47"/>
      <c r="D877" s="78"/>
      <c r="E877" s="47"/>
      <c r="F877" s="47"/>
      <c r="G877" s="47"/>
      <c r="H877" s="47"/>
      <c r="I877" s="48"/>
      <c r="J877" s="47"/>
      <c r="K877" s="47"/>
      <c r="L877" s="47"/>
      <c r="M877" s="47"/>
      <c r="N877" s="48"/>
      <c r="O877" s="48"/>
    </row>
    <row r="878" spans="2:15" x14ac:dyDescent="0.2">
      <c r="B878" s="47"/>
      <c r="C878" s="47"/>
      <c r="D878" s="78"/>
      <c r="E878" s="47"/>
      <c r="F878" s="47"/>
      <c r="G878" s="47"/>
      <c r="H878" s="47"/>
      <c r="I878" s="48"/>
      <c r="J878" s="47"/>
      <c r="K878" s="47"/>
      <c r="L878" s="47"/>
      <c r="M878" s="47"/>
      <c r="N878" s="48"/>
      <c r="O878" s="48"/>
    </row>
    <row r="879" spans="2:15" x14ac:dyDescent="0.2">
      <c r="B879" s="47"/>
      <c r="C879" s="47"/>
      <c r="D879" s="78"/>
      <c r="E879" s="47"/>
      <c r="F879" s="47"/>
      <c r="G879" s="47"/>
      <c r="H879" s="47"/>
      <c r="I879" s="48"/>
      <c r="J879" s="47"/>
      <c r="K879" s="47"/>
      <c r="L879" s="47"/>
      <c r="M879" s="47"/>
      <c r="N879" s="48"/>
      <c r="O879" s="48"/>
    </row>
    <row r="880" spans="2:15" x14ac:dyDescent="0.2">
      <c r="B880" s="47"/>
      <c r="C880" s="47"/>
      <c r="D880" s="78"/>
      <c r="E880" s="47"/>
      <c r="F880" s="47"/>
      <c r="G880" s="47"/>
      <c r="H880" s="47"/>
      <c r="I880" s="48"/>
      <c r="J880" s="47"/>
      <c r="K880" s="47"/>
      <c r="L880" s="47"/>
      <c r="M880" s="47"/>
      <c r="N880" s="48"/>
      <c r="O880" s="48"/>
    </row>
    <row r="881" spans="2:15" x14ac:dyDescent="0.2">
      <c r="B881" s="47"/>
      <c r="C881" s="47"/>
      <c r="D881" s="78"/>
      <c r="E881" s="47"/>
      <c r="F881" s="47"/>
      <c r="G881" s="47"/>
      <c r="H881" s="47"/>
      <c r="I881" s="48"/>
      <c r="J881" s="47"/>
      <c r="K881" s="47"/>
      <c r="L881" s="47"/>
      <c r="M881" s="47"/>
      <c r="N881" s="48"/>
      <c r="O881" s="48"/>
    </row>
    <row r="882" spans="2:15" x14ac:dyDescent="0.2">
      <c r="B882" s="47"/>
      <c r="C882" s="47"/>
      <c r="D882" s="78"/>
      <c r="E882" s="47"/>
      <c r="F882" s="47"/>
      <c r="G882" s="47"/>
      <c r="H882" s="47"/>
      <c r="I882" s="48"/>
      <c r="J882" s="47"/>
      <c r="K882" s="47"/>
      <c r="L882" s="47"/>
      <c r="M882" s="47"/>
      <c r="N882" s="48"/>
      <c r="O882" s="48"/>
    </row>
    <row r="883" spans="2:15" x14ac:dyDescent="0.2">
      <c r="B883" s="47"/>
      <c r="C883" s="47"/>
      <c r="D883" s="78"/>
      <c r="E883" s="47"/>
      <c r="F883" s="47"/>
      <c r="G883" s="47"/>
      <c r="H883" s="47"/>
      <c r="I883" s="48"/>
      <c r="J883" s="47"/>
      <c r="K883" s="47"/>
      <c r="L883" s="47"/>
      <c r="M883" s="47"/>
      <c r="N883" s="48"/>
      <c r="O883" s="48"/>
    </row>
    <row r="884" spans="2:15" x14ac:dyDescent="0.2">
      <c r="B884" s="47"/>
      <c r="C884" s="47"/>
      <c r="D884" s="78"/>
      <c r="E884" s="47"/>
      <c r="F884" s="47"/>
      <c r="G884" s="47"/>
      <c r="H884" s="47"/>
      <c r="I884" s="48"/>
      <c r="J884" s="47"/>
      <c r="K884" s="47"/>
      <c r="L884" s="47"/>
      <c r="M884" s="47"/>
      <c r="N884" s="48"/>
      <c r="O884" s="48"/>
    </row>
    <row r="885" spans="2:15" x14ac:dyDescent="0.2">
      <c r="B885" s="47"/>
      <c r="C885" s="47"/>
      <c r="D885" s="78"/>
      <c r="E885" s="47"/>
      <c r="F885" s="47"/>
      <c r="G885" s="47"/>
      <c r="H885" s="47"/>
      <c r="I885" s="48"/>
      <c r="J885" s="47"/>
      <c r="K885" s="47"/>
      <c r="L885" s="47"/>
      <c r="M885" s="47"/>
      <c r="N885" s="48"/>
      <c r="O885" s="48"/>
    </row>
    <row r="886" spans="2:15" x14ac:dyDescent="0.2">
      <c r="B886" s="47"/>
      <c r="C886" s="47"/>
      <c r="D886" s="78"/>
      <c r="E886" s="47"/>
      <c r="F886" s="47"/>
      <c r="G886" s="47"/>
      <c r="H886" s="47"/>
      <c r="I886" s="48"/>
      <c r="J886" s="47"/>
      <c r="K886" s="47"/>
      <c r="L886" s="47"/>
      <c r="M886" s="47"/>
      <c r="N886" s="48"/>
      <c r="O886" s="48"/>
    </row>
    <row r="887" spans="2:15" x14ac:dyDescent="0.2">
      <c r="B887" s="47"/>
      <c r="C887" s="47"/>
      <c r="D887" s="78"/>
      <c r="E887" s="47"/>
      <c r="F887" s="47"/>
      <c r="G887" s="47"/>
      <c r="H887" s="47"/>
      <c r="I887" s="48"/>
      <c r="J887" s="47"/>
      <c r="K887" s="47"/>
      <c r="L887" s="47"/>
      <c r="M887" s="47"/>
      <c r="N887" s="48"/>
      <c r="O887" s="48"/>
    </row>
    <row r="888" spans="2:15" x14ac:dyDescent="0.2">
      <c r="B888" s="47"/>
      <c r="C888" s="47"/>
      <c r="D888" s="78"/>
      <c r="E888" s="47"/>
      <c r="F888" s="47"/>
      <c r="G888" s="47"/>
      <c r="H888" s="47"/>
      <c r="I888" s="48"/>
      <c r="J888" s="47"/>
      <c r="K888" s="47"/>
      <c r="L888" s="47"/>
      <c r="M888" s="47"/>
      <c r="N888" s="48"/>
      <c r="O888" s="48"/>
    </row>
    <row r="889" spans="2:15" x14ac:dyDescent="0.2">
      <c r="B889" s="47"/>
      <c r="C889" s="47"/>
      <c r="D889" s="78"/>
      <c r="E889" s="47"/>
      <c r="F889" s="47"/>
      <c r="G889" s="47"/>
      <c r="H889" s="47"/>
      <c r="I889" s="48"/>
      <c r="J889" s="47"/>
      <c r="K889" s="47"/>
      <c r="L889" s="47"/>
      <c r="M889" s="47"/>
      <c r="N889" s="48"/>
      <c r="O889" s="48"/>
    </row>
    <row r="890" spans="2:15" x14ac:dyDescent="0.2">
      <c r="B890" s="47"/>
      <c r="C890" s="47"/>
      <c r="D890" s="78"/>
      <c r="E890" s="47"/>
      <c r="F890" s="47"/>
      <c r="G890" s="47"/>
      <c r="H890" s="47"/>
      <c r="I890" s="48"/>
      <c r="J890" s="47"/>
      <c r="K890" s="47"/>
      <c r="L890" s="47"/>
      <c r="M890" s="47"/>
      <c r="N890" s="48"/>
      <c r="O890" s="48"/>
    </row>
    <row r="891" spans="2:15" x14ac:dyDescent="0.2">
      <c r="B891" s="47"/>
      <c r="C891" s="47"/>
      <c r="D891" s="78"/>
      <c r="E891" s="47"/>
      <c r="F891" s="47"/>
      <c r="G891" s="47"/>
      <c r="H891" s="47"/>
      <c r="I891" s="48"/>
      <c r="J891" s="47"/>
      <c r="K891" s="47"/>
      <c r="L891" s="47"/>
      <c r="M891" s="47"/>
      <c r="N891" s="48"/>
      <c r="O891" s="48"/>
    </row>
    <row r="892" spans="2:15" x14ac:dyDescent="0.2">
      <c r="B892" s="47"/>
      <c r="C892" s="47"/>
      <c r="D892" s="78"/>
      <c r="E892" s="47"/>
      <c r="F892" s="47"/>
      <c r="G892" s="47"/>
      <c r="H892" s="47"/>
      <c r="I892" s="48"/>
      <c r="J892" s="47"/>
      <c r="K892" s="47"/>
      <c r="L892" s="47"/>
      <c r="M892" s="47"/>
      <c r="N892" s="48"/>
      <c r="O892" s="48"/>
    </row>
    <row r="893" spans="2:15" x14ac:dyDescent="0.2">
      <c r="B893" s="47"/>
      <c r="C893" s="47"/>
      <c r="D893" s="78"/>
      <c r="E893" s="47"/>
      <c r="F893" s="47"/>
      <c r="G893" s="47"/>
      <c r="H893" s="47"/>
      <c r="I893" s="48"/>
      <c r="J893" s="47"/>
      <c r="K893" s="47"/>
      <c r="L893" s="47"/>
      <c r="M893" s="47"/>
      <c r="N893" s="48"/>
      <c r="O893" s="48"/>
    </row>
    <row r="894" spans="2:15" x14ac:dyDescent="0.2">
      <c r="B894" s="47"/>
      <c r="C894" s="47"/>
      <c r="D894" s="78"/>
      <c r="E894" s="47"/>
      <c r="F894" s="47"/>
      <c r="G894" s="47"/>
      <c r="H894" s="47"/>
      <c r="I894" s="48"/>
      <c r="J894" s="47"/>
      <c r="K894" s="47"/>
      <c r="L894" s="47"/>
      <c r="M894" s="47"/>
      <c r="N894" s="48"/>
      <c r="O894" s="48"/>
    </row>
    <row r="895" spans="2:15" x14ac:dyDescent="0.2">
      <c r="B895" s="47"/>
      <c r="C895" s="47"/>
      <c r="D895" s="78"/>
      <c r="E895" s="47"/>
      <c r="F895" s="47"/>
      <c r="G895" s="47"/>
      <c r="H895" s="47"/>
      <c r="I895" s="48"/>
      <c r="J895" s="47"/>
      <c r="K895" s="47"/>
      <c r="L895" s="47"/>
      <c r="M895" s="47"/>
      <c r="N895" s="48"/>
      <c r="O895" s="48"/>
    </row>
    <row r="896" spans="2:15" x14ac:dyDescent="0.2">
      <c r="B896" s="47"/>
      <c r="C896" s="47"/>
      <c r="D896" s="78"/>
      <c r="E896" s="47"/>
      <c r="F896" s="47"/>
      <c r="G896" s="47"/>
      <c r="H896" s="47"/>
      <c r="I896" s="48"/>
      <c r="J896" s="47"/>
      <c r="K896" s="47"/>
      <c r="L896" s="47"/>
      <c r="M896" s="47"/>
      <c r="N896" s="48"/>
      <c r="O896" s="48"/>
    </row>
    <row r="897" spans="2:15" x14ac:dyDescent="0.2">
      <c r="B897" s="47"/>
      <c r="C897" s="47"/>
      <c r="D897" s="78"/>
      <c r="E897" s="47"/>
      <c r="F897" s="47"/>
      <c r="G897" s="47"/>
      <c r="H897" s="47"/>
      <c r="I897" s="48"/>
      <c r="J897" s="47"/>
      <c r="K897" s="47"/>
      <c r="L897" s="47"/>
      <c r="M897" s="47"/>
      <c r="N897" s="48"/>
      <c r="O897" s="48"/>
    </row>
    <row r="898" spans="2:15" x14ac:dyDescent="0.2">
      <c r="B898" s="47"/>
      <c r="C898" s="47"/>
      <c r="D898" s="78"/>
      <c r="E898" s="47"/>
      <c r="F898" s="47"/>
      <c r="G898" s="47"/>
      <c r="H898" s="47"/>
      <c r="I898" s="48"/>
      <c r="J898" s="47"/>
      <c r="K898" s="47"/>
      <c r="L898" s="47"/>
      <c r="M898" s="47"/>
      <c r="N898" s="48"/>
      <c r="O898" s="48"/>
    </row>
    <row r="899" spans="2:15" x14ac:dyDescent="0.2">
      <c r="B899" s="47"/>
      <c r="C899" s="47"/>
      <c r="D899" s="78"/>
      <c r="E899" s="47"/>
      <c r="F899" s="47"/>
      <c r="G899" s="47"/>
      <c r="H899" s="47"/>
      <c r="I899" s="48"/>
      <c r="J899" s="47"/>
      <c r="K899" s="47"/>
      <c r="L899" s="47"/>
      <c r="M899" s="47"/>
      <c r="N899" s="48"/>
      <c r="O899" s="48"/>
    </row>
    <row r="900" spans="2:15" x14ac:dyDescent="0.2">
      <c r="B900" s="47"/>
      <c r="C900" s="47"/>
      <c r="D900" s="78"/>
      <c r="E900" s="47"/>
      <c r="F900" s="47"/>
      <c r="G900" s="47"/>
      <c r="H900" s="47"/>
      <c r="I900" s="48"/>
      <c r="J900" s="47"/>
      <c r="K900" s="47"/>
      <c r="L900" s="47"/>
      <c r="M900" s="47"/>
      <c r="N900" s="48"/>
      <c r="O900" s="48"/>
    </row>
    <row r="901" spans="2:15" x14ac:dyDescent="0.2">
      <c r="B901" s="47"/>
      <c r="C901" s="47"/>
      <c r="D901" s="78"/>
      <c r="E901" s="47"/>
      <c r="F901" s="47"/>
      <c r="G901" s="47"/>
      <c r="H901" s="47"/>
      <c r="I901" s="48"/>
      <c r="J901" s="47"/>
      <c r="K901" s="47"/>
      <c r="L901" s="47"/>
      <c r="M901" s="47"/>
      <c r="N901" s="48"/>
      <c r="O901" s="48"/>
    </row>
    <row r="902" spans="2:15" x14ac:dyDescent="0.2">
      <c r="B902" s="47"/>
      <c r="C902" s="47"/>
      <c r="D902" s="78"/>
      <c r="E902" s="47"/>
      <c r="F902" s="47"/>
      <c r="G902" s="47"/>
      <c r="H902" s="47"/>
      <c r="I902" s="48"/>
      <c r="J902" s="47"/>
      <c r="K902" s="47"/>
      <c r="L902" s="47"/>
      <c r="M902" s="47"/>
      <c r="N902" s="48"/>
      <c r="O902" s="48"/>
    </row>
    <row r="903" spans="2:15" x14ac:dyDescent="0.2">
      <c r="B903" s="47"/>
      <c r="C903" s="47"/>
      <c r="D903" s="78"/>
      <c r="E903" s="47"/>
      <c r="F903" s="47"/>
      <c r="G903" s="47"/>
      <c r="H903" s="47"/>
      <c r="I903" s="48"/>
      <c r="J903" s="47"/>
      <c r="K903" s="47"/>
      <c r="L903" s="47"/>
      <c r="M903" s="47"/>
      <c r="N903" s="48"/>
      <c r="O903" s="48"/>
    </row>
    <row r="904" spans="2:15" x14ac:dyDescent="0.2">
      <c r="B904" s="47"/>
      <c r="C904" s="47"/>
      <c r="D904" s="78"/>
      <c r="E904" s="47"/>
      <c r="F904" s="47"/>
      <c r="G904" s="47"/>
      <c r="H904" s="47"/>
      <c r="I904" s="48"/>
      <c r="J904" s="47"/>
      <c r="K904" s="47"/>
      <c r="L904" s="47"/>
      <c r="M904" s="47"/>
      <c r="N904" s="48"/>
      <c r="O904" s="48"/>
    </row>
    <row r="905" spans="2:15" x14ac:dyDescent="0.2">
      <c r="B905" s="47"/>
      <c r="C905" s="47"/>
      <c r="D905" s="78"/>
      <c r="E905" s="47"/>
      <c r="F905" s="47"/>
      <c r="G905" s="47"/>
      <c r="H905" s="47"/>
      <c r="I905" s="48"/>
      <c r="J905" s="47"/>
      <c r="K905" s="47"/>
      <c r="L905" s="47"/>
      <c r="M905" s="47"/>
      <c r="N905" s="48"/>
      <c r="O905" s="48"/>
    </row>
    <row r="906" spans="2:15" x14ac:dyDescent="0.2">
      <c r="B906" s="47"/>
      <c r="C906" s="47"/>
      <c r="D906" s="78"/>
      <c r="E906" s="47"/>
      <c r="F906" s="47"/>
      <c r="G906" s="47"/>
      <c r="H906" s="47"/>
      <c r="I906" s="48"/>
      <c r="J906" s="47"/>
      <c r="K906" s="47"/>
      <c r="L906" s="47"/>
      <c r="M906" s="47"/>
      <c r="N906" s="48"/>
      <c r="O906" s="48"/>
    </row>
    <row r="907" spans="2:15" x14ac:dyDescent="0.2">
      <c r="B907" s="47"/>
      <c r="C907" s="47"/>
      <c r="D907" s="78"/>
      <c r="E907" s="47"/>
      <c r="F907" s="47"/>
      <c r="G907" s="47"/>
      <c r="H907" s="47"/>
      <c r="I907" s="48"/>
      <c r="J907" s="47"/>
      <c r="K907" s="47"/>
      <c r="L907" s="47"/>
      <c r="M907" s="47"/>
      <c r="N907" s="48"/>
      <c r="O907" s="48"/>
    </row>
    <row r="908" spans="2:15" x14ac:dyDescent="0.2">
      <c r="B908" s="47"/>
      <c r="C908" s="47"/>
      <c r="D908" s="78"/>
      <c r="E908" s="47"/>
      <c r="F908" s="47"/>
      <c r="G908" s="47"/>
      <c r="H908" s="47"/>
      <c r="I908" s="48"/>
      <c r="J908" s="47"/>
      <c r="K908" s="47"/>
      <c r="L908" s="47"/>
      <c r="M908" s="47"/>
      <c r="N908" s="48"/>
      <c r="O908" s="48"/>
    </row>
    <row r="909" spans="2:15" x14ac:dyDescent="0.2">
      <c r="B909" s="47"/>
      <c r="C909" s="47"/>
      <c r="D909" s="78"/>
      <c r="E909" s="47"/>
      <c r="F909" s="47"/>
      <c r="G909" s="47"/>
      <c r="H909" s="47"/>
      <c r="I909" s="48"/>
      <c r="J909" s="47"/>
      <c r="K909" s="47"/>
      <c r="L909" s="47"/>
      <c r="M909" s="47"/>
      <c r="N909" s="48"/>
      <c r="O909" s="48"/>
    </row>
    <row r="910" spans="2:15" x14ac:dyDescent="0.2">
      <c r="B910" s="47"/>
      <c r="C910" s="47"/>
      <c r="D910" s="78"/>
      <c r="E910" s="47"/>
      <c r="F910" s="47"/>
      <c r="G910" s="47"/>
      <c r="H910" s="47"/>
      <c r="I910" s="48"/>
      <c r="J910" s="47"/>
      <c r="K910" s="47"/>
      <c r="L910" s="47"/>
      <c r="M910" s="47"/>
      <c r="N910" s="48"/>
      <c r="O910" s="48"/>
    </row>
    <row r="911" spans="2:15" x14ac:dyDescent="0.2">
      <c r="B911" s="47"/>
      <c r="C911" s="47"/>
      <c r="D911" s="78"/>
      <c r="E911" s="47"/>
      <c r="F911" s="47"/>
      <c r="G911" s="47"/>
      <c r="H911" s="47"/>
      <c r="I911" s="48"/>
      <c r="J911" s="47"/>
      <c r="K911" s="47"/>
      <c r="L911" s="47"/>
      <c r="M911" s="47"/>
      <c r="N911" s="48"/>
      <c r="O911" s="48"/>
    </row>
    <row r="912" spans="2:15" x14ac:dyDescent="0.2">
      <c r="B912" s="47"/>
      <c r="C912" s="47"/>
      <c r="D912" s="78"/>
      <c r="E912" s="47"/>
      <c r="F912" s="47"/>
      <c r="G912" s="47"/>
      <c r="H912" s="47"/>
      <c r="I912" s="48"/>
      <c r="J912" s="47"/>
      <c r="K912" s="47"/>
      <c r="L912" s="47"/>
      <c r="M912" s="47"/>
      <c r="N912" s="48"/>
      <c r="O912" s="48"/>
    </row>
    <row r="913" spans="2:15" x14ac:dyDescent="0.2">
      <c r="B913" s="47"/>
      <c r="C913" s="47"/>
      <c r="D913" s="78"/>
      <c r="E913" s="47"/>
      <c r="F913" s="47"/>
      <c r="G913" s="47"/>
      <c r="H913" s="47"/>
      <c r="I913" s="48"/>
      <c r="J913" s="47"/>
      <c r="K913" s="47"/>
      <c r="L913" s="47"/>
      <c r="M913" s="47"/>
      <c r="N913" s="48"/>
      <c r="O913" s="48"/>
    </row>
    <row r="914" spans="2:15" x14ac:dyDescent="0.2">
      <c r="B914" s="47"/>
      <c r="C914" s="47"/>
      <c r="D914" s="78"/>
      <c r="E914" s="47"/>
      <c r="F914" s="47"/>
      <c r="G914" s="47"/>
      <c r="H914" s="47"/>
      <c r="I914" s="48"/>
      <c r="J914" s="47"/>
      <c r="K914" s="47"/>
      <c r="L914" s="47"/>
      <c r="M914" s="47"/>
      <c r="N914" s="48"/>
      <c r="O914" s="48"/>
    </row>
    <row r="915" spans="2:15" x14ac:dyDescent="0.2">
      <c r="B915" s="47"/>
      <c r="C915" s="47"/>
      <c r="D915" s="78"/>
      <c r="E915" s="47"/>
      <c r="F915" s="47"/>
      <c r="G915" s="47"/>
      <c r="H915" s="47"/>
      <c r="I915" s="48"/>
      <c r="J915" s="47"/>
      <c r="K915" s="47"/>
      <c r="L915" s="47"/>
      <c r="M915" s="47"/>
      <c r="N915" s="48"/>
      <c r="O915" s="48"/>
    </row>
    <row r="916" spans="2:15" x14ac:dyDescent="0.2">
      <c r="B916" s="47"/>
      <c r="C916" s="47"/>
      <c r="D916" s="78"/>
      <c r="E916" s="47"/>
      <c r="F916" s="47"/>
      <c r="G916" s="47"/>
      <c r="H916" s="47"/>
      <c r="I916" s="48"/>
      <c r="J916" s="47"/>
      <c r="K916" s="47"/>
      <c r="L916" s="47"/>
      <c r="M916" s="47"/>
      <c r="N916" s="48"/>
      <c r="O916" s="48"/>
    </row>
    <row r="917" spans="2:15" x14ac:dyDescent="0.2">
      <c r="B917" s="47"/>
      <c r="C917" s="47"/>
      <c r="D917" s="78"/>
      <c r="E917" s="47"/>
      <c r="F917" s="47"/>
      <c r="G917" s="47"/>
      <c r="H917" s="47"/>
      <c r="I917" s="48"/>
      <c r="J917" s="47"/>
      <c r="K917" s="47"/>
      <c r="L917" s="47"/>
      <c r="M917" s="47"/>
      <c r="N917" s="48"/>
      <c r="O917" s="48"/>
    </row>
    <row r="918" spans="2:15" x14ac:dyDescent="0.2">
      <c r="B918" s="47"/>
      <c r="C918" s="47"/>
      <c r="D918" s="78"/>
      <c r="E918" s="47"/>
      <c r="F918" s="47"/>
      <c r="G918" s="47"/>
      <c r="H918" s="47"/>
      <c r="I918" s="48"/>
      <c r="J918" s="47"/>
      <c r="K918" s="47"/>
      <c r="L918" s="47"/>
      <c r="M918" s="47"/>
      <c r="N918" s="48"/>
      <c r="O918" s="48"/>
    </row>
    <row r="919" spans="2:15" x14ac:dyDescent="0.2">
      <c r="B919" s="47"/>
      <c r="C919" s="47"/>
      <c r="D919" s="78"/>
      <c r="E919" s="47"/>
      <c r="F919" s="47"/>
      <c r="G919" s="47"/>
      <c r="H919" s="47"/>
      <c r="I919" s="48"/>
      <c r="J919" s="47"/>
      <c r="K919" s="47"/>
      <c r="L919" s="47"/>
      <c r="M919" s="47"/>
      <c r="N919" s="48"/>
      <c r="O919" s="48"/>
    </row>
    <row r="920" spans="2:15" x14ac:dyDescent="0.2">
      <c r="B920" s="47"/>
      <c r="C920" s="47"/>
      <c r="D920" s="78"/>
      <c r="E920" s="47"/>
      <c r="F920" s="47"/>
      <c r="G920" s="47"/>
      <c r="H920" s="47"/>
      <c r="I920" s="48"/>
      <c r="J920" s="47"/>
      <c r="K920" s="47"/>
      <c r="L920" s="47"/>
      <c r="M920" s="47"/>
      <c r="N920" s="48"/>
      <c r="O920" s="48"/>
    </row>
    <row r="921" spans="2:15" x14ac:dyDescent="0.2">
      <c r="B921" s="47"/>
      <c r="C921" s="47"/>
      <c r="D921" s="78"/>
      <c r="E921" s="47"/>
      <c r="F921" s="47"/>
      <c r="G921" s="47"/>
      <c r="H921" s="47"/>
      <c r="I921" s="48"/>
      <c r="J921" s="47"/>
      <c r="K921" s="47"/>
      <c r="L921" s="47"/>
      <c r="M921" s="47"/>
      <c r="N921" s="48"/>
      <c r="O921" s="48"/>
    </row>
    <row r="922" spans="2:15" x14ac:dyDescent="0.2">
      <c r="B922" s="47"/>
      <c r="C922" s="47"/>
      <c r="D922" s="78"/>
      <c r="E922" s="47"/>
      <c r="F922" s="47"/>
      <c r="G922" s="47"/>
      <c r="H922" s="47"/>
      <c r="I922" s="48"/>
      <c r="J922" s="47"/>
      <c r="K922" s="47"/>
      <c r="L922" s="47"/>
      <c r="M922" s="47"/>
      <c r="N922" s="48"/>
      <c r="O922" s="48"/>
    </row>
    <row r="923" spans="2:15" x14ac:dyDescent="0.2">
      <c r="B923" s="47"/>
      <c r="C923" s="47"/>
      <c r="D923" s="78"/>
      <c r="E923" s="47"/>
      <c r="F923" s="47"/>
      <c r="G923" s="47"/>
      <c r="H923" s="47"/>
      <c r="I923" s="48"/>
      <c r="J923" s="47"/>
      <c r="K923" s="47"/>
      <c r="L923" s="47"/>
      <c r="M923" s="47"/>
      <c r="N923" s="48"/>
      <c r="O923" s="48"/>
    </row>
    <row r="924" spans="2:15" x14ac:dyDescent="0.2">
      <c r="B924" s="47"/>
      <c r="C924" s="47"/>
      <c r="D924" s="78"/>
      <c r="E924" s="47"/>
      <c r="F924" s="47"/>
      <c r="G924" s="47"/>
      <c r="H924" s="47"/>
      <c r="I924" s="48"/>
      <c r="J924" s="47"/>
      <c r="K924" s="47"/>
      <c r="L924" s="47"/>
      <c r="M924" s="47"/>
      <c r="N924" s="48"/>
      <c r="O924" s="48"/>
    </row>
    <row r="925" spans="2:15" x14ac:dyDescent="0.2">
      <c r="B925" s="47"/>
      <c r="C925" s="47"/>
      <c r="D925" s="78"/>
      <c r="E925" s="47"/>
      <c r="F925" s="47"/>
      <c r="G925" s="47"/>
      <c r="H925" s="47"/>
      <c r="I925" s="48"/>
      <c r="J925" s="47"/>
      <c r="K925" s="47"/>
      <c r="L925" s="47"/>
      <c r="M925" s="47"/>
      <c r="N925" s="48"/>
      <c r="O925" s="48"/>
    </row>
    <row r="926" spans="2:15" x14ac:dyDescent="0.2">
      <c r="B926" s="47"/>
      <c r="C926" s="47"/>
      <c r="D926" s="78"/>
      <c r="E926" s="47"/>
      <c r="F926" s="47"/>
      <c r="G926" s="47"/>
      <c r="H926" s="47"/>
      <c r="I926" s="48"/>
      <c r="J926" s="47"/>
      <c r="K926" s="47"/>
      <c r="L926" s="47"/>
      <c r="M926" s="47"/>
      <c r="N926" s="48"/>
      <c r="O926" s="48"/>
    </row>
    <row r="927" spans="2:15" x14ac:dyDescent="0.2">
      <c r="B927" s="47"/>
      <c r="C927" s="47"/>
      <c r="D927" s="78"/>
      <c r="E927" s="47"/>
      <c r="F927" s="47"/>
      <c r="G927" s="47"/>
      <c r="H927" s="47"/>
      <c r="I927" s="48"/>
      <c r="J927" s="47"/>
      <c r="K927" s="47"/>
      <c r="L927" s="47"/>
      <c r="M927" s="47"/>
      <c r="N927" s="48"/>
      <c r="O927" s="48"/>
    </row>
    <row r="928" spans="2:15" x14ac:dyDescent="0.2">
      <c r="B928" s="47"/>
      <c r="C928" s="47"/>
      <c r="D928" s="78"/>
      <c r="E928" s="47"/>
      <c r="F928" s="47"/>
      <c r="G928" s="47"/>
      <c r="H928" s="47"/>
      <c r="I928" s="48"/>
      <c r="J928" s="47"/>
      <c r="K928" s="47"/>
      <c r="L928" s="47"/>
      <c r="M928" s="47"/>
      <c r="N928" s="48"/>
      <c r="O928" s="48"/>
    </row>
    <row r="929" spans="2:15" x14ac:dyDescent="0.2">
      <c r="B929" s="47"/>
      <c r="C929" s="47"/>
      <c r="D929" s="78"/>
      <c r="E929" s="47"/>
      <c r="F929" s="47"/>
      <c r="G929" s="47"/>
      <c r="H929" s="47"/>
      <c r="I929" s="48"/>
      <c r="J929" s="47"/>
      <c r="K929" s="47"/>
      <c r="L929" s="47"/>
      <c r="M929" s="47"/>
      <c r="N929" s="48"/>
      <c r="O929" s="48"/>
    </row>
    <row r="930" spans="2:15" x14ac:dyDescent="0.2">
      <c r="B930" s="47"/>
      <c r="C930" s="47"/>
      <c r="D930" s="78"/>
      <c r="E930" s="47"/>
      <c r="F930" s="47"/>
      <c r="G930" s="47"/>
      <c r="H930" s="47"/>
      <c r="I930" s="48"/>
      <c r="J930" s="47"/>
      <c r="K930" s="47"/>
      <c r="L930" s="47"/>
      <c r="M930" s="47"/>
      <c r="N930" s="48"/>
      <c r="O930" s="48"/>
    </row>
    <row r="931" spans="2:15" x14ac:dyDescent="0.2">
      <c r="B931" s="47"/>
      <c r="C931" s="47"/>
      <c r="D931" s="78"/>
      <c r="E931" s="47"/>
      <c r="F931" s="47"/>
      <c r="G931" s="47"/>
      <c r="H931" s="47"/>
      <c r="I931" s="48"/>
      <c r="J931" s="47"/>
      <c r="K931" s="47"/>
      <c r="L931" s="47"/>
      <c r="M931" s="47"/>
      <c r="N931" s="48"/>
      <c r="O931" s="48"/>
    </row>
    <row r="932" spans="2:15" x14ac:dyDescent="0.2">
      <c r="B932" s="47"/>
      <c r="C932" s="47"/>
      <c r="D932" s="78"/>
      <c r="E932" s="47"/>
      <c r="F932" s="47"/>
      <c r="G932" s="47"/>
      <c r="H932" s="47"/>
      <c r="I932" s="48"/>
      <c r="J932" s="47"/>
      <c r="K932" s="47"/>
      <c r="L932" s="47"/>
      <c r="M932" s="47"/>
      <c r="N932" s="48"/>
      <c r="O932" s="48"/>
    </row>
    <row r="933" spans="2:15" x14ac:dyDescent="0.2">
      <c r="B933" s="47"/>
      <c r="C933" s="47"/>
      <c r="D933" s="78"/>
      <c r="E933" s="47"/>
      <c r="F933" s="47"/>
      <c r="G933" s="47"/>
      <c r="H933" s="47"/>
      <c r="I933" s="48"/>
      <c r="J933" s="47"/>
      <c r="K933" s="47"/>
      <c r="L933" s="47"/>
      <c r="M933" s="47"/>
      <c r="N933" s="48"/>
      <c r="O933" s="48"/>
    </row>
    <row r="934" spans="2:15" x14ac:dyDescent="0.2">
      <c r="B934" s="47"/>
      <c r="C934" s="47"/>
      <c r="D934" s="78"/>
      <c r="E934" s="47"/>
      <c r="F934" s="47"/>
      <c r="G934" s="47"/>
      <c r="H934" s="47"/>
      <c r="I934" s="48"/>
      <c r="J934" s="47"/>
      <c r="K934" s="47"/>
      <c r="L934" s="47"/>
      <c r="M934" s="47"/>
      <c r="N934" s="48"/>
      <c r="O934" s="48"/>
    </row>
    <row r="935" spans="2:15" x14ac:dyDescent="0.2">
      <c r="B935" s="47"/>
      <c r="C935" s="47"/>
      <c r="D935" s="78"/>
      <c r="E935" s="47"/>
      <c r="F935" s="47"/>
      <c r="G935" s="47"/>
      <c r="H935" s="47"/>
      <c r="I935" s="48"/>
      <c r="J935" s="47"/>
      <c r="K935" s="47"/>
      <c r="L935" s="47"/>
      <c r="M935" s="47"/>
      <c r="N935" s="48"/>
      <c r="O935" s="48"/>
    </row>
    <row r="936" spans="2:15" x14ac:dyDescent="0.2">
      <c r="B936" s="47"/>
      <c r="C936" s="47"/>
      <c r="D936" s="78"/>
      <c r="E936" s="47"/>
      <c r="F936" s="47"/>
      <c r="G936" s="47"/>
      <c r="H936" s="47"/>
      <c r="I936" s="48"/>
      <c r="J936" s="47"/>
      <c r="K936" s="47"/>
      <c r="L936" s="47"/>
      <c r="M936" s="47"/>
      <c r="N936" s="48"/>
      <c r="O936" s="48"/>
    </row>
    <row r="937" spans="2:15" x14ac:dyDescent="0.2">
      <c r="B937" s="47"/>
      <c r="C937" s="47"/>
      <c r="D937" s="78"/>
      <c r="E937" s="47"/>
      <c r="F937" s="47"/>
      <c r="G937" s="47"/>
      <c r="H937" s="47"/>
      <c r="I937" s="48"/>
      <c r="J937" s="47"/>
      <c r="K937" s="47"/>
      <c r="L937" s="47"/>
      <c r="M937" s="47"/>
      <c r="N937" s="48"/>
      <c r="O937" s="48"/>
    </row>
    <row r="938" spans="2:15" x14ac:dyDescent="0.2">
      <c r="B938" s="47"/>
      <c r="C938" s="47"/>
      <c r="D938" s="78"/>
      <c r="E938" s="47"/>
      <c r="F938" s="47"/>
      <c r="G938" s="47"/>
      <c r="H938" s="47"/>
      <c r="I938" s="48"/>
      <c r="J938" s="47"/>
      <c r="K938" s="47"/>
      <c r="L938" s="47"/>
      <c r="M938" s="47"/>
      <c r="N938" s="48"/>
      <c r="O938" s="48"/>
    </row>
    <row r="939" spans="2:15" x14ac:dyDescent="0.2">
      <c r="B939" s="47"/>
      <c r="C939" s="47"/>
      <c r="D939" s="78"/>
      <c r="E939" s="47"/>
      <c r="F939" s="47"/>
      <c r="G939" s="47"/>
      <c r="H939" s="47"/>
      <c r="I939" s="48"/>
      <c r="J939" s="47"/>
      <c r="K939" s="47"/>
      <c r="L939" s="47"/>
      <c r="M939" s="47"/>
      <c r="N939" s="48"/>
      <c r="O939" s="48"/>
    </row>
    <row r="940" spans="2:15" x14ac:dyDescent="0.2">
      <c r="B940" s="47"/>
      <c r="C940" s="47"/>
      <c r="D940" s="78"/>
      <c r="E940" s="47"/>
      <c r="F940" s="47"/>
      <c r="G940" s="47"/>
      <c r="H940" s="47"/>
      <c r="I940" s="48"/>
      <c r="J940" s="47"/>
      <c r="K940" s="47"/>
      <c r="L940" s="47"/>
      <c r="M940" s="47"/>
      <c r="N940" s="48"/>
      <c r="O940" s="48"/>
    </row>
    <row r="941" spans="2:15" x14ac:dyDescent="0.2">
      <c r="B941" s="47"/>
      <c r="C941" s="47"/>
      <c r="D941" s="78"/>
      <c r="E941" s="47"/>
      <c r="F941" s="47"/>
      <c r="G941" s="47"/>
      <c r="H941" s="47"/>
      <c r="I941" s="48"/>
      <c r="J941" s="47"/>
      <c r="K941" s="47"/>
      <c r="L941" s="47"/>
      <c r="M941" s="47"/>
      <c r="N941" s="48"/>
      <c r="O941" s="48"/>
    </row>
    <row r="942" spans="2:15" x14ac:dyDescent="0.2">
      <c r="B942" s="47"/>
      <c r="C942" s="47"/>
      <c r="D942" s="78"/>
      <c r="E942" s="47"/>
      <c r="F942" s="47"/>
      <c r="G942" s="47"/>
      <c r="H942" s="47"/>
      <c r="I942" s="48"/>
      <c r="J942" s="47"/>
      <c r="K942" s="47"/>
      <c r="L942" s="47"/>
      <c r="M942" s="47"/>
      <c r="N942" s="48"/>
      <c r="O942" s="48"/>
    </row>
    <row r="943" spans="2:15" x14ac:dyDescent="0.2">
      <c r="B943" s="47"/>
      <c r="C943" s="47"/>
      <c r="D943" s="78"/>
      <c r="E943" s="47"/>
      <c r="F943" s="47"/>
      <c r="G943" s="47"/>
      <c r="H943" s="47"/>
      <c r="I943" s="48"/>
      <c r="J943" s="47"/>
      <c r="K943" s="47"/>
      <c r="L943" s="47"/>
      <c r="M943" s="47"/>
      <c r="N943" s="48"/>
      <c r="O943" s="48"/>
    </row>
    <row r="944" spans="2:15" x14ac:dyDescent="0.2">
      <c r="B944" s="47"/>
      <c r="C944" s="47"/>
      <c r="D944" s="78"/>
      <c r="E944" s="47"/>
      <c r="F944" s="47"/>
      <c r="G944" s="47"/>
      <c r="H944" s="47"/>
      <c r="I944" s="48"/>
      <c r="J944" s="47"/>
      <c r="K944" s="47"/>
      <c r="L944" s="47"/>
      <c r="M944" s="47"/>
      <c r="N944" s="48"/>
      <c r="O944" s="48"/>
    </row>
    <row r="945" spans="2:15" x14ac:dyDescent="0.2">
      <c r="B945" s="47"/>
      <c r="C945" s="47"/>
      <c r="D945" s="78"/>
      <c r="E945" s="47"/>
      <c r="F945" s="47"/>
      <c r="G945" s="47"/>
      <c r="H945" s="47"/>
      <c r="I945" s="48"/>
      <c r="J945" s="47"/>
      <c r="K945" s="47"/>
      <c r="L945" s="47"/>
      <c r="M945" s="47"/>
      <c r="N945" s="48"/>
      <c r="O945" s="48"/>
    </row>
    <row r="946" spans="2:15" x14ac:dyDescent="0.2">
      <c r="B946" s="47"/>
      <c r="C946" s="47"/>
      <c r="D946" s="78"/>
      <c r="E946" s="47"/>
      <c r="F946" s="47"/>
      <c r="G946" s="47"/>
      <c r="H946" s="47"/>
      <c r="I946" s="48"/>
      <c r="J946" s="47"/>
      <c r="K946" s="47"/>
      <c r="L946" s="47"/>
      <c r="M946" s="47"/>
      <c r="N946" s="48"/>
      <c r="O946" s="48"/>
    </row>
    <row r="947" spans="2:15" x14ac:dyDescent="0.2">
      <c r="B947" s="47"/>
      <c r="C947" s="47"/>
      <c r="D947" s="78"/>
      <c r="E947" s="47"/>
      <c r="F947" s="47"/>
      <c r="G947" s="47"/>
      <c r="H947" s="47"/>
      <c r="I947" s="48"/>
      <c r="J947" s="47"/>
      <c r="K947" s="47"/>
      <c r="L947" s="47"/>
      <c r="M947" s="47"/>
      <c r="N947" s="48"/>
      <c r="O947" s="48"/>
    </row>
    <row r="948" spans="2:15" x14ac:dyDescent="0.2">
      <c r="B948" s="47"/>
      <c r="C948" s="47"/>
      <c r="D948" s="78"/>
      <c r="E948" s="47"/>
      <c r="F948" s="47"/>
      <c r="G948" s="47"/>
      <c r="H948" s="47"/>
      <c r="I948" s="48"/>
      <c r="J948" s="47"/>
      <c r="K948" s="47"/>
      <c r="L948" s="47"/>
      <c r="M948" s="47"/>
      <c r="N948" s="48"/>
      <c r="O948" s="48"/>
    </row>
    <row r="949" spans="2:15" x14ac:dyDescent="0.2">
      <c r="B949" s="47"/>
      <c r="C949" s="47"/>
      <c r="D949" s="78"/>
      <c r="E949" s="47"/>
      <c r="F949" s="47"/>
      <c r="G949" s="47"/>
      <c r="H949" s="47"/>
      <c r="I949" s="48"/>
      <c r="J949" s="47"/>
      <c r="K949" s="47"/>
      <c r="L949" s="47"/>
      <c r="M949" s="47"/>
      <c r="N949" s="48"/>
      <c r="O949" s="48"/>
    </row>
    <row r="950" spans="2:15" x14ac:dyDescent="0.2">
      <c r="B950" s="47"/>
      <c r="C950" s="47"/>
      <c r="D950" s="78"/>
      <c r="E950" s="47"/>
      <c r="F950" s="47"/>
      <c r="G950" s="47"/>
      <c r="H950" s="47"/>
      <c r="I950" s="48"/>
      <c r="J950" s="47"/>
      <c r="K950" s="47"/>
      <c r="L950" s="47"/>
      <c r="M950" s="47"/>
      <c r="N950" s="48"/>
      <c r="O950" s="48"/>
    </row>
    <row r="951" spans="2:15" x14ac:dyDescent="0.2">
      <c r="B951" s="47"/>
      <c r="C951" s="47"/>
      <c r="D951" s="78"/>
      <c r="E951" s="47"/>
      <c r="F951" s="47"/>
      <c r="G951" s="47"/>
      <c r="H951" s="47"/>
      <c r="I951" s="48"/>
      <c r="J951" s="47"/>
      <c r="K951" s="47"/>
      <c r="L951" s="47"/>
      <c r="M951" s="47"/>
      <c r="N951" s="48"/>
      <c r="O951" s="48"/>
    </row>
    <row r="952" spans="2:15" x14ac:dyDescent="0.2">
      <c r="B952" s="47"/>
      <c r="C952" s="47"/>
      <c r="D952" s="78"/>
      <c r="E952" s="47"/>
      <c r="F952" s="47"/>
      <c r="G952" s="47"/>
      <c r="H952" s="47"/>
      <c r="I952" s="48"/>
      <c r="J952" s="47"/>
      <c r="K952" s="47"/>
      <c r="L952" s="47"/>
      <c r="M952" s="47"/>
      <c r="N952" s="48"/>
      <c r="O952" s="48"/>
    </row>
    <row r="953" spans="2:15" x14ac:dyDescent="0.2">
      <c r="B953" s="47"/>
      <c r="C953" s="47"/>
      <c r="D953" s="78"/>
      <c r="E953" s="47"/>
      <c r="F953" s="47"/>
      <c r="G953" s="47"/>
      <c r="H953" s="47"/>
      <c r="I953" s="48"/>
      <c r="J953" s="47"/>
      <c r="K953" s="47"/>
      <c r="L953" s="47"/>
      <c r="M953" s="47"/>
      <c r="N953" s="48"/>
      <c r="O953" s="48"/>
    </row>
    <row r="954" spans="2:15" x14ac:dyDescent="0.2">
      <c r="B954" s="47"/>
      <c r="C954" s="47"/>
      <c r="D954" s="78"/>
      <c r="E954" s="47"/>
      <c r="F954" s="47"/>
      <c r="G954" s="47"/>
      <c r="H954" s="47"/>
      <c r="I954" s="48"/>
      <c r="J954" s="47"/>
      <c r="K954" s="47"/>
      <c r="L954" s="47"/>
      <c r="M954" s="47"/>
      <c r="N954" s="48"/>
      <c r="O954" s="48"/>
    </row>
    <row r="955" spans="2:15" x14ac:dyDescent="0.2">
      <c r="B955" s="47"/>
      <c r="C955" s="47"/>
      <c r="D955" s="78"/>
      <c r="E955" s="47"/>
      <c r="F955" s="47"/>
      <c r="G955" s="47"/>
      <c r="H955" s="47"/>
      <c r="I955" s="48"/>
      <c r="J955" s="47"/>
      <c r="K955" s="47"/>
      <c r="L955" s="47"/>
      <c r="M955" s="47"/>
      <c r="N955" s="48"/>
      <c r="O955" s="48"/>
    </row>
    <row r="956" spans="2:15" x14ac:dyDescent="0.2">
      <c r="B956" s="47"/>
      <c r="C956" s="47"/>
      <c r="D956" s="78"/>
      <c r="E956" s="47"/>
      <c r="F956" s="47"/>
      <c r="G956" s="47"/>
      <c r="H956" s="47"/>
      <c r="I956" s="48"/>
      <c r="J956" s="47"/>
      <c r="K956" s="47"/>
      <c r="L956" s="47"/>
      <c r="M956" s="47"/>
      <c r="N956" s="48"/>
      <c r="O956" s="48"/>
    </row>
    <row r="957" spans="2:15" x14ac:dyDescent="0.2">
      <c r="B957" s="47"/>
      <c r="C957" s="47"/>
      <c r="D957" s="78"/>
      <c r="E957" s="47"/>
      <c r="F957" s="47"/>
      <c r="G957" s="47"/>
      <c r="H957" s="47"/>
      <c r="I957" s="48"/>
      <c r="J957" s="47"/>
      <c r="K957" s="47"/>
      <c r="L957" s="47"/>
      <c r="M957" s="47"/>
      <c r="N957" s="48"/>
      <c r="O957" s="48"/>
    </row>
    <row r="958" spans="2:15" x14ac:dyDescent="0.2">
      <c r="B958" s="47"/>
      <c r="C958" s="47"/>
      <c r="D958" s="78"/>
      <c r="E958" s="47"/>
      <c r="F958" s="47"/>
      <c r="G958" s="47"/>
      <c r="H958" s="47"/>
      <c r="I958" s="48"/>
      <c r="J958" s="47"/>
      <c r="K958" s="47"/>
      <c r="L958" s="47"/>
      <c r="M958" s="47"/>
      <c r="N958" s="48"/>
      <c r="O958" s="48"/>
    </row>
    <row r="959" spans="2:15" x14ac:dyDescent="0.2">
      <c r="B959" s="47"/>
      <c r="C959" s="47"/>
      <c r="D959" s="78"/>
      <c r="E959" s="47"/>
      <c r="F959" s="47"/>
      <c r="G959" s="47"/>
      <c r="H959" s="47"/>
      <c r="I959" s="48"/>
      <c r="J959" s="47"/>
      <c r="K959" s="47"/>
      <c r="L959" s="47"/>
      <c r="M959" s="47"/>
      <c r="N959" s="48"/>
      <c r="O959" s="48"/>
    </row>
    <row r="960" spans="2:15" x14ac:dyDescent="0.2">
      <c r="B960" s="47"/>
      <c r="C960" s="47"/>
      <c r="D960" s="78"/>
      <c r="E960" s="47"/>
      <c r="F960" s="47"/>
      <c r="G960" s="47"/>
      <c r="H960" s="47"/>
      <c r="I960" s="48"/>
      <c r="J960" s="47"/>
      <c r="K960" s="47"/>
      <c r="L960" s="47"/>
      <c r="M960" s="47"/>
      <c r="N960" s="48"/>
      <c r="O960" s="48"/>
    </row>
    <row r="961" spans="2:15" x14ac:dyDescent="0.2">
      <c r="B961" s="47"/>
      <c r="C961" s="47"/>
      <c r="D961" s="78"/>
      <c r="E961" s="47"/>
      <c r="F961" s="47"/>
      <c r="G961" s="47"/>
      <c r="H961" s="47"/>
      <c r="I961" s="48"/>
      <c r="J961" s="47"/>
      <c r="K961" s="47"/>
      <c r="L961" s="47"/>
      <c r="M961" s="47"/>
      <c r="N961" s="48"/>
      <c r="O961" s="48"/>
    </row>
    <row r="962" spans="2:15" x14ac:dyDescent="0.2">
      <c r="B962" s="47"/>
      <c r="C962" s="47"/>
      <c r="D962" s="78"/>
      <c r="E962" s="47"/>
      <c r="F962" s="47"/>
      <c r="G962" s="47"/>
      <c r="H962" s="47"/>
      <c r="I962" s="48"/>
      <c r="J962" s="47"/>
      <c r="K962" s="47"/>
      <c r="L962" s="47"/>
      <c r="M962" s="47"/>
      <c r="N962" s="48"/>
      <c r="O962" s="48"/>
    </row>
    <row r="963" spans="2:15" x14ac:dyDescent="0.2">
      <c r="B963" s="47"/>
      <c r="C963" s="47"/>
      <c r="D963" s="78"/>
      <c r="E963" s="47"/>
      <c r="F963" s="47"/>
      <c r="G963" s="47"/>
      <c r="H963" s="47"/>
      <c r="I963" s="48"/>
      <c r="J963" s="47"/>
      <c r="K963" s="47"/>
      <c r="L963" s="47"/>
      <c r="M963" s="47"/>
      <c r="N963" s="48"/>
      <c r="O963" s="48"/>
    </row>
    <row r="964" spans="2:15" x14ac:dyDescent="0.2">
      <c r="B964" s="47"/>
      <c r="C964" s="47"/>
      <c r="D964" s="78"/>
      <c r="E964" s="47"/>
      <c r="F964" s="47"/>
      <c r="G964" s="47"/>
      <c r="H964" s="47"/>
      <c r="I964" s="48"/>
      <c r="J964" s="47"/>
      <c r="K964" s="47"/>
      <c r="L964" s="47"/>
      <c r="M964" s="47"/>
      <c r="N964" s="48"/>
      <c r="O964" s="48"/>
    </row>
    <row r="965" spans="2:15" x14ac:dyDescent="0.2">
      <c r="B965" s="47"/>
      <c r="C965" s="47"/>
      <c r="D965" s="78"/>
      <c r="E965" s="47"/>
      <c r="F965" s="47"/>
      <c r="G965" s="47"/>
      <c r="H965" s="47"/>
      <c r="I965" s="48"/>
      <c r="J965" s="47"/>
      <c r="K965" s="47"/>
      <c r="L965" s="47"/>
      <c r="M965" s="47"/>
      <c r="N965" s="48"/>
      <c r="O965" s="48"/>
    </row>
    <row r="966" spans="2:15" x14ac:dyDescent="0.2">
      <c r="B966" s="47"/>
      <c r="C966" s="47"/>
      <c r="D966" s="78"/>
      <c r="E966" s="47"/>
      <c r="F966" s="47"/>
      <c r="G966" s="47"/>
      <c r="H966" s="47"/>
      <c r="I966" s="48"/>
      <c r="J966" s="47"/>
      <c r="K966" s="47"/>
      <c r="L966" s="47"/>
      <c r="M966" s="47"/>
      <c r="N966" s="48"/>
      <c r="O966" s="48"/>
    </row>
    <row r="967" spans="2:15" x14ac:dyDescent="0.2">
      <c r="B967" s="47"/>
      <c r="C967" s="47"/>
      <c r="D967" s="78"/>
      <c r="E967" s="47"/>
      <c r="F967" s="47"/>
      <c r="G967" s="47"/>
      <c r="H967" s="47"/>
      <c r="I967" s="48"/>
      <c r="J967" s="47"/>
      <c r="K967" s="47"/>
      <c r="L967" s="47"/>
      <c r="M967" s="47"/>
      <c r="N967" s="48"/>
      <c r="O967" s="48"/>
    </row>
    <row r="968" spans="2:15" x14ac:dyDescent="0.2">
      <c r="B968" s="47"/>
      <c r="C968" s="47"/>
      <c r="D968" s="78"/>
      <c r="E968" s="47"/>
      <c r="F968" s="47"/>
      <c r="G968" s="47"/>
      <c r="H968" s="47"/>
      <c r="I968" s="48"/>
      <c r="J968" s="47"/>
      <c r="K968" s="47"/>
      <c r="L968" s="47"/>
      <c r="M968" s="47"/>
      <c r="N968" s="48"/>
      <c r="O968" s="48"/>
    </row>
    <row r="969" spans="2:15" x14ac:dyDescent="0.2">
      <c r="B969" s="47"/>
      <c r="C969" s="47"/>
      <c r="D969" s="78"/>
      <c r="E969" s="47"/>
      <c r="F969" s="47"/>
      <c r="G969" s="47"/>
      <c r="H969" s="47"/>
      <c r="I969" s="48"/>
      <c r="J969" s="47"/>
      <c r="K969" s="47"/>
      <c r="L969" s="47"/>
      <c r="M969" s="47"/>
      <c r="N969" s="48"/>
      <c r="O969" s="48"/>
    </row>
    <row r="970" spans="2:15" x14ac:dyDescent="0.2">
      <c r="B970" s="47"/>
      <c r="C970" s="47"/>
      <c r="D970" s="78"/>
      <c r="E970" s="47"/>
      <c r="F970" s="47"/>
      <c r="G970" s="47"/>
      <c r="H970" s="47"/>
      <c r="I970" s="48"/>
      <c r="J970" s="47"/>
      <c r="K970" s="47"/>
      <c r="L970" s="47"/>
      <c r="M970" s="47"/>
      <c r="N970" s="48"/>
      <c r="O970" s="48"/>
    </row>
    <row r="971" spans="2:15" x14ac:dyDescent="0.2">
      <c r="B971" s="47"/>
      <c r="C971" s="47"/>
      <c r="D971" s="78"/>
      <c r="E971" s="47"/>
      <c r="F971" s="47"/>
      <c r="G971" s="47"/>
      <c r="H971" s="47"/>
      <c r="I971" s="48"/>
      <c r="J971" s="47"/>
      <c r="K971" s="47"/>
      <c r="L971" s="47"/>
      <c r="M971" s="47"/>
      <c r="N971" s="48"/>
      <c r="O971" s="48"/>
    </row>
    <row r="972" spans="2:15" x14ac:dyDescent="0.2">
      <c r="B972" s="47"/>
      <c r="C972" s="47"/>
      <c r="D972" s="78"/>
      <c r="E972" s="47"/>
      <c r="F972" s="47"/>
      <c r="G972" s="47"/>
      <c r="H972" s="47"/>
      <c r="I972" s="48"/>
      <c r="J972" s="47"/>
      <c r="K972" s="47"/>
      <c r="L972" s="47"/>
      <c r="M972" s="47"/>
      <c r="N972" s="48"/>
      <c r="O972" s="48"/>
    </row>
    <row r="973" spans="2:15" x14ac:dyDescent="0.2">
      <c r="B973" s="47"/>
      <c r="C973" s="47"/>
      <c r="D973" s="78"/>
      <c r="E973" s="47"/>
      <c r="F973" s="47"/>
      <c r="G973" s="47"/>
      <c r="H973" s="47"/>
      <c r="I973" s="48"/>
      <c r="J973" s="47"/>
      <c r="K973" s="47"/>
      <c r="L973" s="47"/>
      <c r="M973" s="47"/>
      <c r="N973" s="48"/>
      <c r="O973" s="48"/>
    </row>
    <row r="974" spans="2:15" x14ac:dyDescent="0.2">
      <c r="B974" s="47"/>
      <c r="C974" s="47"/>
      <c r="D974" s="78"/>
      <c r="E974" s="47"/>
      <c r="F974" s="47"/>
      <c r="G974" s="47"/>
      <c r="H974" s="47"/>
      <c r="I974" s="48"/>
      <c r="J974" s="47"/>
      <c r="K974" s="47"/>
      <c r="L974" s="47"/>
      <c r="M974" s="47"/>
      <c r="N974" s="48"/>
      <c r="O974" s="48"/>
    </row>
    <row r="975" spans="2:15" x14ac:dyDescent="0.2">
      <c r="B975" s="47"/>
      <c r="C975" s="47"/>
      <c r="D975" s="78"/>
      <c r="E975" s="47"/>
      <c r="F975" s="47"/>
      <c r="G975" s="47"/>
      <c r="H975" s="47"/>
      <c r="I975" s="48"/>
      <c r="J975" s="47"/>
      <c r="K975" s="47"/>
      <c r="L975" s="47"/>
      <c r="M975" s="47"/>
      <c r="N975" s="48"/>
      <c r="O975" s="48"/>
    </row>
    <row r="976" spans="2:15" x14ac:dyDescent="0.2">
      <c r="B976" s="47"/>
      <c r="C976" s="47"/>
      <c r="D976" s="78"/>
      <c r="E976" s="47"/>
      <c r="F976" s="47"/>
      <c r="G976" s="47"/>
      <c r="H976" s="47"/>
      <c r="I976" s="48"/>
      <c r="J976" s="47"/>
      <c r="K976" s="47"/>
      <c r="L976" s="47"/>
      <c r="M976" s="47"/>
      <c r="N976" s="48"/>
      <c r="O976" s="48"/>
    </row>
    <row r="977" spans="2:15" x14ac:dyDescent="0.2">
      <c r="B977" s="47"/>
      <c r="C977" s="47"/>
      <c r="D977" s="78"/>
      <c r="E977" s="47"/>
      <c r="F977" s="47"/>
      <c r="G977" s="47"/>
      <c r="H977" s="47"/>
      <c r="I977" s="48"/>
      <c r="J977" s="47"/>
      <c r="K977" s="47"/>
      <c r="L977" s="47"/>
      <c r="M977" s="47"/>
      <c r="N977" s="48"/>
      <c r="O977" s="48"/>
    </row>
    <row r="978" spans="2:15" x14ac:dyDescent="0.2">
      <c r="B978" s="47"/>
      <c r="C978" s="47"/>
      <c r="D978" s="78"/>
      <c r="E978" s="47"/>
      <c r="F978" s="47"/>
      <c r="G978" s="47"/>
      <c r="H978" s="47"/>
      <c r="I978" s="48"/>
      <c r="J978" s="47"/>
      <c r="K978" s="47"/>
      <c r="L978" s="47"/>
      <c r="M978" s="47"/>
      <c r="N978" s="48"/>
      <c r="O978" s="48"/>
    </row>
    <row r="979" spans="2:15" x14ac:dyDescent="0.2">
      <c r="B979" s="47"/>
      <c r="C979" s="47"/>
      <c r="D979" s="78"/>
      <c r="E979" s="47"/>
      <c r="F979" s="47"/>
      <c r="G979" s="47"/>
      <c r="H979" s="47"/>
      <c r="I979" s="48"/>
      <c r="J979" s="47"/>
      <c r="K979" s="47"/>
      <c r="L979" s="47"/>
      <c r="M979" s="47"/>
      <c r="N979" s="48"/>
      <c r="O979" s="48"/>
    </row>
    <row r="980" spans="2:15" x14ac:dyDescent="0.2">
      <c r="B980" s="47"/>
      <c r="C980" s="47"/>
      <c r="D980" s="78"/>
      <c r="E980" s="47"/>
      <c r="F980" s="47"/>
      <c r="G980" s="47"/>
      <c r="H980" s="47"/>
      <c r="I980" s="48"/>
      <c r="J980" s="47"/>
      <c r="K980" s="47"/>
      <c r="L980" s="47"/>
      <c r="M980" s="47"/>
      <c r="N980" s="48"/>
      <c r="O980" s="48"/>
    </row>
    <row r="981" spans="2:15" x14ac:dyDescent="0.2">
      <c r="B981" s="47"/>
      <c r="C981" s="47"/>
      <c r="D981" s="78"/>
      <c r="E981" s="47"/>
      <c r="F981" s="47"/>
      <c r="G981" s="47"/>
      <c r="H981" s="47"/>
      <c r="I981" s="48"/>
      <c r="J981" s="47"/>
      <c r="K981" s="47"/>
      <c r="L981" s="47"/>
      <c r="M981" s="47"/>
      <c r="N981" s="48"/>
      <c r="O981" s="48"/>
    </row>
    <row r="982" spans="2:15" x14ac:dyDescent="0.2">
      <c r="B982" s="47"/>
      <c r="C982" s="47"/>
      <c r="D982" s="78"/>
      <c r="E982" s="47"/>
      <c r="F982" s="47"/>
      <c r="G982" s="47"/>
      <c r="H982" s="47"/>
      <c r="I982" s="48"/>
      <c r="J982" s="47"/>
      <c r="K982" s="47"/>
      <c r="L982" s="47"/>
      <c r="M982" s="47"/>
      <c r="N982" s="48"/>
      <c r="O982" s="48"/>
    </row>
    <row r="983" spans="2:15" x14ac:dyDescent="0.2">
      <c r="B983" s="47"/>
      <c r="C983" s="47"/>
      <c r="D983" s="78"/>
      <c r="E983" s="47"/>
      <c r="F983" s="47"/>
      <c r="G983" s="47"/>
      <c r="H983" s="47"/>
      <c r="I983" s="48"/>
      <c r="J983" s="47"/>
      <c r="K983" s="47"/>
      <c r="L983" s="47"/>
      <c r="M983" s="47"/>
      <c r="N983" s="48"/>
      <c r="O983" s="48"/>
    </row>
    <row r="984" spans="2:15" x14ac:dyDescent="0.2">
      <c r="B984" s="47"/>
      <c r="C984" s="47"/>
      <c r="D984" s="78"/>
      <c r="E984" s="47"/>
      <c r="F984" s="47"/>
      <c r="G984" s="47"/>
      <c r="H984" s="47"/>
      <c r="I984" s="48"/>
      <c r="J984" s="47"/>
      <c r="K984" s="47"/>
      <c r="L984" s="47"/>
      <c r="M984" s="47"/>
      <c r="N984" s="48"/>
      <c r="O984" s="48"/>
    </row>
    <row r="985" spans="2:15" x14ac:dyDescent="0.2">
      <c r="B985" s="47"/>
      <c r="C985" s="47"/>
      <c r="D985" s="78"/>
      <c r="E985" s="47"/>
      <c r="F985" s="47"/>
      <c r="G985" s="47"/>
      <c r="H985" s="47"/>
      <c r="I985" s="48"/>
      <c r="J985" s="47"/>
      <c r="K985" s="47"/>
      <c r="L985" s="47"/>
      <c r="M985" s="47"/>
      <c r="N985" s="48"/>
      <c r="O985" s="48"/>
    </row>
    <row r="986" spans="2:15" x14ac:dyDescent="0.2">
      <c r="B986" s="47"/>
      <c r="C986" s="47"/>
      <c r="D986" s="78"/>
      <c r="E986" s="47"/>
      <c r="F986" s="47"/>
      <c r="G986" s="47"/>
      <c r="H986" s="47"/>
      <c r="I986" s="48"/>
      <c r="J986" s="47"/>
      <c r="K986" s="47"/>
      <c r="L986" s="47"/>
      <c r="M986" s="47"/>
      <c r="N986" s="48"/>
      <c r="O986" s="48"/>
    </row>
    <row r="987" spans="2:15" x14ac:dyDescent="0.2">
      <c r="B987" s="47"/>
      <c r="C987" s="47"/>
      <c r="D987" s="78"/>
      <c r="E987" s="47"/>
      <c r="F987" s="47"/>
      <c r="G987" s="47"/>
      <c r="H987" s="47"/>
      <c r="I987" s="48"/>
      <c r="J987" s="47"/>
      <c r="K987" s="47"/>
      <c r="L987" s="47"/>
      <c r="M987" s="47"/>
      <c r="N987" s="48"/>
      <c r="O987" s="48"/>
    </row>
    <row r="988" spans="2:15" x14ac:dyDescent="0.2">
      <c r="B988" s="47"/>
      <c r="C988" s="47"/>
      <c r="D988" s="78"/>
      <c r="E988" s="47"/>
      <c r="F988" s="47"/>
      <c r="G988" s="47"/>
      <c r="H988" s="47"/>
      <c r="I988" s="48"/>
      <c r="J988" s="47"/>
      <c r="K988" s="47"/>
      <c r="L988" s="47"/>
      <c r="M988" s="47"/>
      <c r="N988" s="48"/>
      <c r="O988" s="48"/>
    </row>
    <row r="989" spans="2:15" x14ac:dyDescent="0.2">
      <c r="B989" s="47"/>
      <c r="C989" s="47"/>
      <c r="D989" s="78"/>
      <c r="E989" s="47"/>
      <c r="F989" s="47"/>
      <c r="G989" s="47"/>
      <c r="H989" s="47"/>
      <c r="I989" s="48"/>
      <c r="J989" s="47"/>
      <c r="K989" s="47"/>
      <c r="L989" s="47"/>
      <c r="M989" s="47"/>
      <c r="N989" s="48"/>
      <c r="O989" s="48"/>
    </row>
    <row r="990" spans="2:15" x14ac:dyDescent="0.2">
      <c r="B990" s="47"/>
      <c r="C990" s="47"/>
      <c r="D990" s="78"/>
      <c r="E990" s="47"/>
      <c r="F990" s="47"/>
      <c r="G990" s="47"/>
      <c r="H990" s="47"/>
      <c r="I990" s="48"/>
      <c r="J990" s="47"/>
      <c r="K990" s="47"/>
      <c r="L990" s="47"/>
      <c r="M990" s="47"/>
      <c r="N990" s="48"/>
      <c r="O990" s="48"/>
    </row>
    <row r="991" spans="2:15" x14ac:dyDescent="0.2">
      <c r="B991" s="47"/>
      <c r="C991" s="47"/>
      <c r="D991" s="78"/>
      <c r="E991" s="47"/>
      <c r="F991" s="47"/>
      <c r="G991" s="47"/>
      <c r="H991" s="47"/>
      <c r="I991" s="48"/>
      <c r="J991" s="47"/>
      <c r="K991" s="47"/>
      <c r="L991" s="47"/>
      <c r="M991" s="47"/>
      <c r="N991" s="48"/>
      <c r="O991" s="48"/>
    </row>
    <row r="992" spans="2:15" x14ac:dyDescent="0.2">
      <c r="B992" s="47"/>
      <c r="C992" s="47"/>
      <c r="D992" s="78"/>
      <c r="E992" s="47"/>
      <c r="F992" s="47"/>
      <c r="G992" s="47"/>
      <c r="H992" s="47"/>
      <c r="I992" s="48"/>
      <c r="J992" s="47"/>
      <c r="K992" s="47"/>
      <c r="L992" s="47"/>
      <c r="M992" s="47"/>
      <c r="N992" s="48"/>
      <c r="O992" s="48"/>
    </row>
    <row r="993" spans="2:15" x14ac:dyDescent="0.2">
      <c r="B993" s="47"/>
      <c r="C993" s="47"/>
      <c r="D993" s="78"/>
      <c r="E993" s="47"/>
      <c r="F993" s="47"/>
      <c r="G993" s="47"/>
      <c r="H993" s="47"/>
      <c r="I993" s="48"/>
      <c r="J993" s="47"/>
      <c r="K993" s="47"/>
      <c r="L993" s="47"/>
      <c r="M993" s="47"/>
      <c r="N993" s="48"/>
      <c r="O993" s="48"/>
    </row>
    <row r="994" spans="2:15" x14ac:dyDescent="0.2">
      <c r="B994" s="47"/>
      <c r="C994" s="47"/>
      <c r="D994" s="78"/>
      <c r="E994" s="47"/>
      <c r="F994" s="47"/>
      <c r="G994" s="47"/>
      <c r="H994" s="47"/>
      <c r="I994" s="48"/>
      <c r="J994" s="47"/>
      <c r="K994" s="47"/>
      <c r="L994" s="47"/>
      <c r="M994" s="47"/>
      <c r="N994" s="48"/>
      <c r="O994" s="48"/>
    </row>
    <row r="995" spans="2:15" x14ac:dyDescent="0.2">
      <c r="B995" s="47"/>
      <c r="C995" s="47"/>
      <c r="D995" s="78"/>
      <c r="E995" s="47"/>
      <c r="F995" s="47"/>
      <c r="G995" s="47"/>
      <c r="H995" s="47"/>
      <c r="I995" s="48"/>
      <c r="J995" s="47"/>
      <c r="K995" s="47"/>
      <c r="L995" s="47"/>
      <c r="M995" s="47"/>
      <c r="N995" s="48"/>
      <c r="O995" s="48"/>
    </row>
    <row r="996" spans="2:15" x14ac:dyDescent="0.2">
      <c r="B996" s="47"/>
      <c r="C996" s="47"/>
      <c r="D996" s="78"/>
      <c r="E996" s="47"/>
      <c r="F996" s="47"/>
      <c r="G996" s="47"/>
      <c r="H996" s="47"/>
      <c r="I996" s="48"/>
      <c r="J996" s="47"/>
      <c r="K996" s="47"/>
      <c r="L996" s="47"/>
      <c r="M996" s="47"/>
      <c r="N996" s="48"/>
      <c r="O996" s="48"/>
    </row>
    <row r="997" spans="2:15" x14ac:dyDescent="0.2">
      <c r="B997" s="47"/>
      <c r="C997" s="47"/>
      <c r="D997" s="78"/>
      <c r="E997" s="47"/>
      <c r="F997" s="47"/>
      <c r="G997" s="47"/>
      <c r="H997" s="47"/>
      <c r="I997" s="48"/>
      <c r="J997" s="47"/>
      <c r="K997" s="47"/>
      <c r="L997" s="47"/>
      <c r="M997" s="47"/>
      <c r="N997" s="48"/>
      <c r="O997" s="48"/>
    </row>
    <row r="998" spans="2:15" x14ac:dyDescent="0.2">
      <c r="B998" s="47"/>
      <c r="C998" s="47"/>
      <c r="D998" s="78"/>
      <c r="E998" s="47"/>
      <c r="F998" s="47"/>
      <c r="G998" s="47"/>
      <c r="H998" s="47"/>
      <c r="I998" s="48"/>
      <c r="J998" s="47"/>
      <c r="K998" s="47"/>
      <c r="L998" s="47"/>
      <c r="M998" s="47"/>
      <c r="N998" s="48"/>
      <c r="O998" s="48"/>
    </row>
    <row r="999" spans="2:15" x14ac:dyDescent="0.2">
      <c r="B999" s="47"/>
      <c r="C999" s="47"/>
      <c r="D999" s="78"/>
      <c r="E999" s="47"/>
      <c r="F999" s="47"/>
      <c r="G999" s="47"/>
      <c r="H999" s="47"/>
      <c r="I999" s="48"/>
      <c r="J999" s="47"/>
      <c r="K999" s="47"/>
      <c r="L999" s="47"/>
      <c r="M999" s="47"/>
      <c r="N999" s="48"/>
      <c r="O999" s="48"/>
    </row>
    <row r="1000" spans="2:15" x14ac:dyDescent="0.2">
      <c r="B1000" s="47"/>
      <c r="C1000" s="47"/>
      <c r="D1000" s="78"/>
      <c r="E1000" s="47"/>
      <c r="F1000" s="47"/>
      <c r="G1000" s="47"/>
      <c r="H1000" s="47"/>
      <c r="I1000" s="48"/>
      <c r="J1000" s="47"/>
      <c r="K1000" s="47"/>
      <c r="L1000" s="47"/>
      <c r="M1000" s="47"/>
      <c r="N1000" s="48"/>
      <c r="O1000" s="48"/>
    </row>
    <row r="1001" spans="2:15" x14ac:dyDescent="0.2">
      <c r="B1001" s="47"/>
      <c r="C1001" s="47"/>
      <c r="D1001" s="78"/>
      <c r="E1001" s="47"/>
      <c r="F1001" s="47"/>
      <c r="G1001" s="47"/>
      <c r="H1001" s="47"/>
      <c r="I1001" s="48"/>
      <c r="J1001" s="47"/>
      <c r="K1001" s="47"/>
      <c r="L1001" s="47"/>
      <c r="M1001" s="47"/>
      <c r="N1001" s="48"/>
      <c r="O1001" s="48"/>
    </row>
    <row r="1002" spans="2:15" x14ac:dyDescent="0.2">
      <c r="B1002" s="47"/>
      <c r="C1002" s="47"/>
      <c r="D1002" s="78"/>
      <c r="E1002" s="47"/>
      <c r="F1002" s="47"/>
      <c r="G1002" s="47"/>
      <c r="H1002" s="47"/>
      <c r="I1002" s="48"/>
      <c r="J1002" s="47"/>
      <c r="K1002" s="47"/>
      <c r="L1002" s="47"/>
      <c r="M1002" s="47"/>
      <c r="N1002" s="48"/>
      <c r="O1002" s="48"/>
    </row>
    <row r="1003" spans="2:15" x14ac:dyDescent="0.2">
      <c r="B1003" s="47"/>
      <c r="C1003" s="47"/>
      <c r="D1003" s="78"/>
      <c r="E1003" s="47"/>
      <c r="F1003" s="47"/>
      <c r="G1003" s="47"/>
      <c r="H1003" s="47"/>
      <c r="I1003" s="48"/>
      <c r="J1003" s="47"/>
      <c r="K1003" s="47"/>
      <c r="L1003" s="47"/>
      <c r="M1003" s="47"/>
      <c r="N1003" s="48"/>
      <c r="O1003" s="48"/>
    </row>
    <row r="1004" spans="2:15" x14ac:dyDescent="0.2">
      <c r="B1004" s="47"/>
      <c r="C1004" s="47"/>
      <c r="D1004" s="78"/>
      <c r="E1004" s="47"/>
      <c r="F1004" s="47"/>
      <c r="G1004" s="47"/>
      <c r="H1004" s="47"/>
      <c r="I1004" s="48"/>
      <c r="J1004" s="47"/>
      <c r="K1004" s="47"/>
      <c r="L1004" s="47"/>
      <c r="M1004" s="47"/>
      <c r="N1004" s="48"/>
      <c r="O1004" s="48"/>
    </row>
    <row r="1005" spans="2:15" x14ac:dyDescent="0.2">
      <c r="B1005" s="47"/>
      <c r="C1005" s="47"/>
      <c r="D1005" s="78"/>
      <c r="E1005" s="47"/>
      <c r="F1005" s="47"/>
      <c r="G1005" s="47"/>
      <c r="H1005" s="47"/>
      <c r="I1005" s="48"/>
      <c r="J1005" s="47"/>
      <c r="K1005" s="47"/>
      <c r="L1005" s="47"/>
      <c r="M1005" s="47"/>
      <c r="N1005" s="48"/>
      <c r="O1005" s="48"/>
    </row>
    <row r="1006" spans="2:15" x14ac:dyDescent="0.2">
      <c r="B1006" s="47"/>
      <c r="C1006" s="47"/>
      <c r="D1006" s="78"/>
      <c r="E1006" s="47"/>
      <c r="F1006" s="47"/>
      <c r="G1006" s="47"/>
      <c r="H1006" s="47"/>
      <c r="I1006" s="48"/>
      <c r="J1006" s="47"/>
      <c r="K1006" s="47"/>
      <c r="L1006" s="47"/>
      <c r="M1006" s="47"/>
      <c r="N1006" s="48"/>
      <c r="O1006" s="48"/>
    </row>
    <row r="1007" spans="2:15" x14ac:dyDescent="0.2">
      <c r="B1007" s="47"/>
      <c r="C1007" s="47"/>
      <c r="D1007" s="78"/>
      <c r="E1007" s="47"/>
      <c r="F1007" s="47"/>
      <c r="G1007" s="47"/>
      <c r="H1007" s="47"/>
      <c r="I1007" s="48"/>
      <c r="J1007" s="47"/>
      <c r="K1007" s="47"/>
      <c r="L1007" s="47"/>
      <c r="M1007" s="47"/>
      <c r="N1007" s="48"/>
      <c r="O1007" s="48"/>
    </row>
    <row r="1008" spans="2:15" x14ac:dyDescent="0.2">
      <c r="B1008" s="47"/>
      <c r="C1008" s="47"/>
      <c r="D1008" s="78"/>
      <c r="E1008" s="47"/>
      <c r="F1008" s="47"/>
      <c r="G1008" s="47"/>
      <c r="H1008" s="47"/>
      <c r="I1008" s="48"/>
      <c r="J1008" s="47"/>
      <c r="K1008" s="47"/>
      <c r="L1008" s="47"/>
      <c r="M1008" s="47"/>
      <c r="N1008" s="48"/>
      <c r="O1008" s="48"/>
    </row>
    <row r="1009" spans="2:15" x14ac:dyDescent="0.2">
      <c r="B1009" s="47"/>
      <c r="C1009" s="47"/>
      <c r="D1009" s="78"/>
      <c r="E1009" s="47"/>
      <c r="F1009" s="47"/>
      <c r="G1009" s="47"/>
      <c r="H1009" s="47"/>
      <c r="I1009" s="48"/>
      <c r="J1009" s="47"/>
      <c r="K1009" s="47"/>
      <c r="L1009" s="47"/>
      <c r="M1009" s="47"/>
      <c r="N1009" s="48"/>
      <c r="O1009" s="48"/>
    </row>
    <row r="1010" spans="2:15" x14ac:dyDescent="0.2">
      <c r="B1010" s="47"/>
      <c r="C1010" s="47"/>
      <c r="D1010" s="78"/>
      <c r="E1010" s="47"/>
      <c r="F1010" s="47"/>
      <c r="G1010" s="47"/>
      <c r="H1010" s="47"/>
      <c r="I1010" s="48"/>
      <c r="J1010" s="47"/>
      <c r="K1010" s="47"/>
      <c r="L1010" s="47"/>
      <c r="M1010" s="47"/>
      <c r="N1010" s="48"/>
      <c r="O1010" s="48"/>
    </row>
    <row r="1011" spans="2:15" x14ac:dyDescent="0.2">
      <c r="B1011" s="47"/>
      <c r="C1011" s="47"/>
      <c r="D1011" s="78"/>
      <c r="E1011" s="47"/>
      <c r="F1011" s="47"/>
      <c r="G1011" s="47"/>
      <c r="H1011" s="47"/>
      <c r="I1011" s="48"/>
      <c r="J1011" s="47"/>
      <c r="K1011" s="47"/>
      <c r="L1011" s="47"/>
      <c r="M1011" s="47"/>
      <c r="N1011" s="48"/>
      <c r="O1011" s="48"/>
    </row>
    <row r="1012" spans="2:15" x14ac:dyDescent="0.2">
      <c r="B1012" s="47"/>
      <c r="C1012" s="47"/>
      <c r="D1012" s="78"/>
      <c r="E1012" s="47"/>
      <c r="F1012" s="47"/>
      <c r="G1012" s="47"/>
      <c r="H1012" s="47"/>
      <c r="I1012" s="48"/>
      <c r="J1012" s="47"/>
      <c r="K1012" s="47"/>
      <c r="L1012" s="47"/>
      <c r="M1012" s="47"/>
      <c r="N1012" s="48"/>
      <c r="O1012" s="48"/>
    </row>
    <row r="1013" spans="2:15" x14ac:dyDescent="0.2">
      <c r="B1013" s="47"/>
      <c r="C1013" s="47"/>
      <c r="D1013" s="78"/>
      <c r="E1013" s="47"/>
      <c r="F1013" s="47"/>
      <c r="G1013" s="47"/>
      <c r="H1013" s="47"/>
      <c r="I1013" s="48"/>
      <c r="J1013" s="47"/>
      <c r="K1013" s="47"/>
      <c r="L1013" s="47"/>
      <c r="M1013" s="47"/>
      <c r="N1013" s="48"/>
      <c r="O1013" s="48"/>
    </row>
    <row r="1014" spans="2:15" x14ac:dyDescent="0.2">
      <c r="B1014" s="47"/>
      <c r="C1014" s="47"/>
      <c r="D1014" s="78"/>
      <c r="E1014" s="47"/>
      <c r="F1014" s="47"/>
      <c r="G1014" s="47"/>
      <c r="H1014" s="47"/>
      <c r="I1014" s="48"/>
      <c r="J1014" s="47"/>
      <c r="K1014" s="47"/>
      <c r="L1014" s="47"/>
      <c r="M1014" s="47"/>
      <c r="N1014" s="48"/>
      <c r="O1014" s="48"/>
    </row>
    <row r="1015" spans="2:15" x14ac:dyDescent="0.2">
      <c r="B1015" s="47"/>
      <c r="C1015" s="47"/>
      <c r="D1015" s="78"/>
      <c r="E1015" s="47"/>
      <c r="F1015" s="47"/>
      <c r="G1015" s="47"/>
      <c r="H1015" s="47"/>
      <c r="I1015" s="48"/>
      <c r="J1015" s="47"/>
      <c r="K1015" s="47"/>
      <c r="L1015" s="47"/>
      <c r="M1015" s="47"/>
      <c r="N1015" s="48"/>
      <c r="O1015" s="48"/>
    </row>
    <row r="1016" spans="2:15" x14ac:dyDescent="0.2">
      <c r="B1016" s="47"/>
      <c r="C1016" s="47"/>
      <c r="D1016" s="78"/>
      <c r="E1016" s="47"/>
      <c r="F1016" s="47"/>
      <c r="G1016" s="47"/>
      <c r="H1016" s="47"/>
      <c r="I1016" s="48"/>
      <c r="J1016" s="47"/>
      <c r="K1016" s="47"/>
      <c r="L1016" s="47"/>
      <c r="M1016" s="47"/>
      <c r="N1016" s="48"/>
      <c r="O1016" s="48"/>
    </row>
    <row r="1017" spans="2:15" x14ac:dyDescent="0.2">
      <c r="B1017" s="47"/>
      <c r="C1017" s="47"/>
      <c r="D1017" s="78"/>
      <c r="E1017" s="47"/>
      <c r="F1017" s="47"/>
      <c r="G1017" s="47"/>
      <c r="H1017" s="47"/>
      <c r="I1017" s="48"/>
      <c r="J1017" s="47"/>
      <c r="K1017" s="47"/>
      <c r="L1017" s="47"/>
      <c r="M1017" s="47"/>
      <c r="N1017" s="48"/>
      <c r="O1017" s="48"/>
    </row>
    <row r="1018" spans="2:15" x14ac:dyDescent="0.2">
      <c r="B1018" s="47"/>
      <c r="C1018" s="47"/>
      <c r="D1018" s="78"/>
      <c r="E1018" s="47"/>
      <c r="F1018" s="47"/>
      <c r="G1018" s="47"/>
      <c r="H1018" s="47"/>
      <c r="I1018" s="48"/>
      <c r="J1018" s="47"/>
      <c r="K1018" s="47"/>
      <c r="L1018" s="47"/>
      <c r="M1018" s="47"/>
      <c r="N1018" s="48"/>
      <c r="O1018" s="48"/>
    </row>
    <row r="1019" spans="2:15" x14ac:dyDescent="0.2">
      <c r="B1019" s="47"/>
      <c r="C1019" s="47"/>
      <c r="D1019" s="78"/>
      <c r="E1019" s="47"/>
      <c r="F1019" s="47"/>
      <c r="G1019" s="47"/>
      <c r="H1019" s="47"/>
      <c r="I1019" s="48"/>
      <c r="J1019" s="47"/>
      <c r="K1019" s="47"/>
      <c r="L1019" s="47"/>
      <c r="M1019" s="47"/>
      <c r="N1019" s="48"/>
      <c r="O1019" s="48"/>
    </row>
    <row r="1020" spans="2:15" x14ac:dyDescent="0.2">
      <c r="B1020" s="47"/>
      <c r="C1020" s="47"/>
      <c r="D1020" s="78"/>
      <c r="E1020" s="47"/>
      <c r="F1020" s="47"/>
      <c r="G1020" s="47"/>
      <c r="H1020" s="47"/>
      <c r="I1020" s="48"/>
      <c r="J1020" s="47"/>
      <c r="K1020" s="47"/>
      <c r="L1020" s="47"/>
      <c r="M1020" s="47"/>
      <c r="N1020" s="48"/>
      <c r="O1020" s="48"/>
    </row>
    <row r="1021" spans="2:15" x14ac:dyDescent="0.2">
      <c r="B1021" s="47"/>
      <c r="C1021" s="47"/>
      <c r="D1021" s="78"/>
      <c r="E1021" s="47"/>
      <c r="F1021" s="47"/>
      <c r="G1021" s="47"/>
      <c r="H1021" s="47"/>
      <c r="I1021" s="48"/>
      <c r="J1021" s="47"/>
      <c r="K1021" s="47"/>
      <c r="L1021" s="47"/>
      <c r="M1021" s="47"/>
      <c r="N1021" s="48"/>
      <c r="O1021" s="48"/>
    </row>
    <row r="1022" spans="2:15" x14ac:dyDescent="0.2">
      <c r="B1022" s="47"/>
      <c r="C1022" s="47"/>
      <c r="D1022" s="78"/>
      <c r="E1022" s="47"/>
      <c r="F1022" s="47"/>
      <c r="G1022" s="47"/>
      <c r="H1022" s="47"/>
      <c r="I1022" s="48"/>
      <c r="J1022" s="47"/>
      <c r="K1022" s="47"/>
      <c r="L1022" s="47"/>
      <c r="M1022" s="47"/>
      <c r="N1022" s="48"/>
      <c r="O1022" s="48"/>
    </row>
    <row r="1023" spans="2:15" x14ac:dyDescent="0.2">
      <c r="B1023" s="47"/>
      <c r="C1023" s="47"/>
      <c r="D1023" s="78"/>
      <c r="E1023" s="47"/>
      <c r="F1023" s="47"/>
      <c r="G1023" s="47"/>
      <c r="H1023" s="47"/>
      <c r="I1023" s="48"/>
      <c r="J1023" s="47"/>
      <c r="K1023" s="47"/>
      <c r="L1023" s="47"/>
      <c r="M1023" s="47"/>
      <c r="N1023" s="48"/>
      <c r="O1023" s="48"/>
    </row>
    <row r="1024" spans="2:15" x14ac:dyDescent="0.2">
      <c r="B1024" s="47"/>
      <c r="C1024" s="47"/>
      <c r="D1024" s="78"/>
      <c r="E1024" s="47"/>
      <c r="F1024" s="47"/>
      <c r="G1024" s="47"/>
      <c r="H1024" s="47"/>
      <c r="I1024" s="48"/>
      <c r="J1024" s="47"/>
      <c r="K1024" s="47"/>
      <c r="L1024" s="47"/>
      <c r="M1024" s="47"/>
      <c r="N1024" s="48"/>
      <c r="O1024" s="48"/>
    </row>
    <row r="1025" spans="2:15" x14ac:dyDescent="0.2">
      <c r="B1025" s="47"/>
      <c r="C1025" s="47"/>
      <c r="D1025" s="78"/>
      <c r="E1025" s="47"/>
      <c r="F1025" s="47"/>
      <c r="G1025" s="47"/>
      <c r="H1025" s="47"/>
      <c r="I1025" s="48"/>
      <c r="J1025" s="47"/>
      <c r="K1025" s="47"/>
      <c r="L1025" s="47"/>
      <c r="M1025" s="47"/>
      <c r="N1025" s="48"/>
      <c r="O1025" s="48"/>
    </row>
    <row r="1026" spans="2:15" x14ac:dyDescent="0.2">
      <c r="B1026" s="47"/>
      <c r="C1026" s="47"/>
      <c r="D1026" s="78"/>
      <c r="E1026" s="47"/>
      <c r="F1026" s="47"/>
      <c r="G1026" s="47"/>
      <c r="H1026" s="47"/>
      <c r="I1026" s="48"/>
      <c r="J1026" s="47"/>
      <c r="K1026" s="47"/>
      <c r="L1026" s="47"/>
      <c r="M1026" s="47"/>
      <c r="N1026" s="48"/>
      <c r="O1026" s="48"/>
    </row>
    <row r="1027" spans="2:15" x14ac:dyDescent="0.2">
      <c r="B1027" s="47"/>
      <c r="C1027" s="47"/>
      <c r="D1027" s="78"/>
      <c r="E1027" s="47"/>
      <c r="F1027" s="47"/>
      <c r="G1027" s="47"/>
      <c r="H1027" s="47"/>
      <c r="I1027" s="48"/>
      <c r="J1027" s="47"/>
      <c r="K1027" s="47"/>
      <c r="L1027" s="47"/>
      <c r="M1027" s="47"/>
      <c r="N1027" s="48"/>
      <c r="O1027" s="48"/>
    </row>
    <row r="1028" spans="2:15" x14ac:dyDescent="0.2">
      <c r="B1028" s="47"/>
      <c r="C1028" s="47"/>
      <c r="D1028" s="78"/>
      <c r="E1028" s="47"/>
      <c r="F1028" s="47"/>
      <c r="G1028" s="47"/>
      <c r="H1028" s="47"/>
      <c r="I1028" s="48"/>
      <c r="J1028" s="47"/>
      <c r="K1028" s="47"/>
      <c r="L1028" s="47"/>
      <c r="M1028" s="47"/>
      <c r="N1028" s="48"/>
      <c r="O1028" s="48"/>
    </row>
    <row r="1029" spans="2:15" x14ac:dyDescent="0.2">
      <c r="B1029" s="47"/>
      <c r="C1029" s="47"/>
      <c r="D1029" s="78"/>
      <c r="E1029" s="47"/>
      <c r="F1029" s="47"/>
      <c r="G1029" s="47"/>
      <c r="H1029" s="47"/>
      <c r="I1029" s="48"/>
      <c r="J1029" s="47"/>
      <c r="K1029" s="47"/>
      <c r="L1029" s="47"/>
      <c r="M1029" s="47"/>
      <c r="N1029" s="48"/>
      <c r="O1029" s="48"/>
    </row>
    <row r="1030" spans="2:15" x14ac:dyDescent="0.2">
      <c r="B1030" s="47"/>
      <c r="C1030" s="47"/>
      <c r="D1030" s="78"/>
      <c r="E1030" s="47"/>
      <c r="F1030" s="47"/>
      <c r="G1030" s="47"/>
      <c r="H1030" s="47"/>
      <c r="I1030" s="48"/>
      <c r="J1030" s="47"/>
      <c r="K1030" s="47"/>
      <c r="L1030" s="47"/>
      <c r="M1030" s="47"/>
      <c r="N1030" s="48"/>
      <c r="O1030" s="48"/>
    </row>
    <row r="1031" spans="2:15" x14ac:dyDescent="0.2">
      <c r="B1031" s="47"/>
      <c r="C1031" s="47"/>
      <c r="D1031" s="78"/>
      <c r="E1031" s="47"/>
      <c r="F1031" s="47"/>
      <c r="G1031" s="47"/>
      <c r="H1031" s="47"/>
      <c r="I1031" s="48"/>
      <c r="J1031" s="47"/>
      <c r="K1031" s="47"/>
      <c r="L1031" s="47"/>
      <c r="M1031" s="47"/>
      <c r="N1031" s="48"/>
      <c r="O1031" s="48"/>
    </row>
    <row r="1032" spans="2:15" x14ac:dyDescent="0.2">
      <c r="B1032" s="47"/>
      <c r="C1032" s="47"/>
      <c r="D1032" s="78"/>
      <c r="E1032" s="47"/>
      <c r="F1032" s="47"/>
      <c r="G1032" s="47"/>
      <c r="H1032" s="47"/>
      <c r="I1032" s="48"/>
      <c r="J1032" s="47"/>
      <c r="K1032" s="47"/>
      <c r="L1032" s="47"/>
      <c r="M1032" s="47"/>
      <c r="N1032" s="48"/>
      <c r="O1032" s="48"/>
    </row>
    <row r="1033" spans="2:15" x14ac:dyDescent="0.2">
      <c r="B1033" s="47"/>
      <c r="C1033" s="47"/>
      <c r="D1033" s="78"/>
      <c r="E1033" s="47"/>
      <c r="F1033" s="47"/>
      <c r="G1033" s="47"/>
      <c r="H1033" s="47"/>
      <c r="I1033" s="48"/>
      <c r="J1033" s="47"/>
      <c r="K1033" s="47"/>
      <c r="L1033" s="47"/>
      <c r="M1033" s="47"/>
      <c r="N1033" s="48"/>
      <c r="O1033" s="48"/>
    </row>
    <row r="1034" spans="2:15" x14ac:dyDescent="0.2">
      <c r="B1034" s="47"/>
      <c r="C1034" s="47"/>
      <c r="D1034" s="78"/>
      <c r="E1034" s="47"/>
      <c r="F1034" s="47"/>
      <c r="G1034" s="47"/>
      <c r="H1034" s="47"/>
      <c r="I1034" s="48"/>
      <c r="J1034" s="47"/>
      <c r="K1034" s="47"/>
      <c r="L1034" s="47"/>
      <c r="M1034" s="47"/>
      <c r="N1034" s="48"/>
      <c r="O1034" s="48"/>
    </row>
    <row r="1035" spans="2:15" x14ac:dyDescent="0.2">
      <c r="B1035" s="47"/>
      <c r="C1035" s="47"/>
      <c r="D1035" s="78"/>
      <c r="E1035" s="47"/>
      <c r="F1035" s="47"/>
      <c r="G1035" s="47"/>
      <c r="H1035" s="47"/>
      <c r="I1035" s="48"/>
      <c r="J1035" s="47"/>
      <c r="K1035" s="47"/>
      <c r="L1035" s="47"/>
      <c r="M1035" s="47"/>
      <c r="N1035" s="48"/>
      <c r="O1035" s="48"/>
    </row>
    <row r="1036" spans="2:15" x14ac:dyDescent="0.2">
      <c r="B1036" s="47"/>
      <c r="C1036" s="47"/>
      <c r="D1036" s="78"/>
      <c r="E1036" s="47"/>
      <c r="F1036" s="47"/>
      <c r="G1036" s="47"/>
      <c r="H1036" s="47"/>
      <c r="I1036" s="48"/>
      <c r="J1036" s="47"/>
      <c r="K1036" s="47"/>
      <c r="L1036" s="47"/>
      <c r="M1036" s="47"/>
      <c r="N1036" s="48"/>
      <c r="O1036" s="48"/>
    </row>
    <row r="1037" spans="2:15" x14ac:dyDescent="0.2">
      <c r="B1037" s="47"/>
      <c r="C1037" s="47"/>
      <c r="D1037" s="78"/>
      <c r="E1037" s="47"/>
      <c r="F1037" s="47"/>
      <c r="G1037" s="47"/>
      <c r="H1037" s="47"/>
      <c r="I1037" s="48"/>
      <c r="J1037" s="47"/>
      <c r="K1037" s="47"/>
      <c r="L1037" s="47"/>
      <c r="M1037" s="47"/>
      <c r="N1037" s="48"/>
      <c r="O1037" s="48"/>
    </row>
    <row r="1038" spans="2:15" x14ac:dyDescent="0.2">
      <c r="B1038" s="47"/>
      <c r="C1038" s="47"/>
      <c r="D1038" s="78"/>
      <c r="E1038" s="47"/>
      <c r="F1038" s="47"/>
      <c r="G1038" s="47"/>
      <c r="H1038" s="47"/>
      <c r="I1038" s="48"/>
      <c r="J1038" s="47"/>
      <c r="K1038" s="47"/>
      <c r="L1038" s="47"/>
      <c r="M1038" s="47"/>
      <c r="N1038" s="48"/>
      <c r="O1038" s="48"/>
    </row>
    <row r="1039" spans="2:15" x14ac:dyDescent="0.2">
      <c r="B1039" s="47"/>
      <c r="C1039" s="47"/>
      <c r="D1039" s="78"/>
      <c r="E1039" s="47"/>
      <c r="F1039" s="47"/>
      <c r="G1039" s="47"/>
      <c r="H1039" s="47"/>
      <c r="I1039" s="48"/>
      <c r="J1039" s="47"/>
      <c r="K1039" s="47"/>
      <c r="L1039" s="47"/>
      <c r="M1039" s="47"/>
      <c r="N1039" s="48"/>
      <c r="O1039" s="48"/>
    </row>
    <row r="1040" spans="2:15" x14ac:dyDescent="0.2">
      <c r="B1040" s="47"/>
      <c r="C1040" s="47"/>
      <c r="D1040" s="78"/>
      <c r="E1040" s="47"/>
      <c r="F1040" s="47"/>
      <c r="G1040" s="47"/>
      <c r="H1040" s="47"/>
      <c r="I1040" s="48"/>
      <c r="J1040" s="47"/>
      <c r="K1040" s="47"/>
      <c r="L1040" s="47"/>
      <c r="M1040" s="47"/>
      <c r="N1040" s="48"/>
      <c r="O1040" s="48"/>
    </row>
    <row r="1041" spans="2:15" x14ac:dyDescent="0.2">
      <c r="B1041" s="47"/>
      <c r="C1041" s="47"/>
      <c r="D1041" s="78"/>
      <c r="E1041" s="47"/>
      <c r="F1041" s="47"/>
      <c r="G1041" s="47"/>
      <c r="H1041" s="47"/>
      <c r="I1041" s="48"/>
      <c r="J1041" s="47"/>
      <c r="K1041" s="47"/>
      <c r="L1041" s="47"/>
      <c r="M1041" s="47"/>
      <c r="N1041" s="48"/>
      <c r="O1041" s="48"/>
    </row>
    <row r="1042" spans="2:15" x14ac:dyDescent="0.2">
      <c r="B1042" s="47"/>
      <c r="C1042" s="47"/>
      <c r="D1042" s="78"/>
      <c r="E1042" s="47"/>
      <c r="F1042" s="47"/>
      <c r="G1042" s="47"/>
      <c r="H1042" s="47"/>
      <c r="I1042" s="48"/>
      <c r="J1042" s="47"/>
      <c r="K1042" s="47"/>
      <c r="L1042" s="47"/>
      <c r="M1042" s="47"/>
      <c r="N1042" s="48"/>
      <c r="O1042" s="48"/>
    </row>
    <row r="1043" spans="2:15" x14ac:dyDescent="0.2">
      <c r="B1043" s="47"/>
      <c r="C1043" s="47"/>
      <c r="D1043" s="78"/>
      <c r="E1043" s="47"/>
      <c r="F1043" s="47"/>
      <c r="G1043" s="47"/>
      <c r="H1043" s="47"/>
      <c r="I1043" s="48"/>
      <c r="J1043" s="47"/>
      <c r="K1043" s="47"/>
      <c r="L1043" s="47"/>
      <c r="M1043" s="47"/>
      <c r="N1043" s="48"/>
      <c r="O1043" s="48"/>
    </row>
    <row r="1044" spans="2:15" x14ac:dyDescent="0.2">
      <c r="B1044" s="47"/>
      <c r="C1044" s="47"/>
      <c r="D1044" s="78"/>
      <c r="E1044" s="47"/>
      <c r="F1044" s="47"/>
      <c r="G1044" s="47"/>
      <c r="H1044" s="47"/>
      <c r="I1044" s="48"/>
      <c r="J1044" s="47"/>
      <c r="K1044" s="47"/>
      <c r="L1044" s="47"/>
      <c r="M1044" s="47"/>
      <c r="N1044" s="48"/>
      <c r="O1044" s="48"/>
    </row>
    <row r="1045" spans="2:15" x14ac:dyDescent="0.2">
      <c r="B1045" s="47"/>
      <c r="C1045" s="47"/>
      <c r="D1045" s="78"/>
      <c r="E1045" s="47"/>
      <c r="F1045" s="47"/>
      <c r="G1045" s="47"/>
      <c r="H1045" s="47"/>
      <c r="I1045" s="48"/>
      <c r="J1045" s="47"/>
      <c r="K1045" s="47"/>
      <c r="L1045" s="47"/>
      <c r="M1045" s="47"/>
      <c r="N1045" s="48"/>
      <c r="O1045" s="48"/>
    </row>
    <row r="1046" spans="2:15" x14ac:dyDescent="0.2">
      <c r="B1046" s="47"/>
      <c r="C1046" s="47"/>
      <c r="D1046" s="78"/>
      <c r="E1046" s="47"/>
      <c r="F1046" s="47"/>
      <c r="G1046" s="47"/>
      <c r="H1046" s="47"/>
      <c r="I1046" s="48"/>
      <c r="J1046" s="47"/>
      <c r="K1046" s="47"/>
      <c r="L1046" s="47"/>
      <c r="M1046" s="47"/>
      <c r="N1046" s="48"/>
      <c r="O1046" s="48"/>
    </row>
    <row r="1047" spans="2:15" x14ac:dyDescent="0.2">
      <c r="B1047" s="47"/>
      <c r="C1047" s="47"/>
      <c r="D1047" s="78"/>
      <c r="E1047" s="47"/>
      <c r="F1047" s="47"/>
      <c r="G1047" s="47"/>
      <c r="H1047" s="47"/>
      <c r="I1047" s="48"/>
      <c r="J1047" s="47"/>
      <c r="K1047" s="47"/>
      <c r="L1047" s="47"/>
      <c r="M1047" s="47"/>
      <c r="N1047" s="48"/>
      <c r="O1047" s="48"/>
    </row>
    <row r="1048" spans="2:15" x14ac:dyDescent="0.2">
      <c r="B1048" s="47"/>
      <c r="C1048" s="47"/>
      <c r="D1048" s="78"/>
      <c r="E1048" s="47"/>
      <c r="F1048" s="47"/>
      <c r="G1048" s="47"/>
      <c r="H1048" s="47"/>
      <c r="I1048" s="48"/>
      <c r="J1048" s="47"/>
      <c r="K1048" s="47"/>
      <c r="L1048" s="47"/>
      <c r="M1048" s="47"/>
      <c r="N1048" s="48"/>
      <c r="O1048" s="48"/>
    </row>
    <row r="1049" spans="2:15" x14ac:dyDescent="0.2">
      <c r="B1049" s="47"/>
      <c r="C1049" s="47"/>
      <c r="D1049" s="78"/>
      <c r="E1049" s="47"/>
      <c r="F1049" s="47"/>
      <c r="G1049" s="47"/>
      <c r="H1049" s="47"/>
      <c r="I1049" s="48"/>
      <c r="J1049" s="47"/>
      <c r="K1049" s="47"/>
      <c r="L1049" s="47"/>
      <c r="M1049" s="47"/>
      <c r="N1049" s="48"/>
      <c r="O1049" s="48"/>
    </row>
    <row r="1050" spans="2:15" x14ac:dyDescent="0.2">
      <c r="B1050" s="47"/>
      <c r="C1050" s="47"/>
      <c r="D1050" s="78"/>
      <c r="E1050" s="47"/>
      <c r="F1050" s="47"/>
      <c r="G1050" s="47"/>
      <c r="H1050" s="47"/>
      <c r="I1050" s="48"/>
      <c r="J1050" s="47"/>
      <c r="K1050" s="47"/>
      <c r="L1050" s="47"/>
      <c r="M1050" s="47"/>
      <c r="N1050" s="48"/>
      <c r="O1050" s="48"/>
    </row>
    <row r="1051" spans="2:15" x14ac:dyDescent="0.2">
      <c r="B1051" s="47"/>
      <c r="C1051" s="47"/>
      <c r="D1051" s="78"/>
      <c r="E1051" s="47"/>
      <c r="F1051" s="47"/>
      <c r="G1051" s="47"/>
      <c r="H1051" s="47"/>
      <c r="I1051" s="48"/>
      <c r="J1051" s="47"/>
      <c r="K1051" s="47"/>
      <c r="L1051" s="47"/>
      <c r="M1051" s="47"/>
      <c r="N1051" s="48"/>
      <c r="O1051" s="48"/>
    </row>
    <row r="1052" spans="2:15" x14ac:dyDescent="0.2">
      <c r="B1052" s="47"/>
      <c r="C1052" s="47"/>
      <c r="D1052" s="78"/>
      <c r="E1052" s="47"/>
      <c r="F1052" s="47"/>
      <c r="G1052" s="47"/>
      <c r="H1052" s="47"/>
      <c r="I1052" s="48"/>
      <c r="J1052" s="47"/>
      <c r="K1052" s="47"/>
      <c r="L1052" s="47"/>
      <c r="M1052" s="47"/>
      <c r="N1052" s="48"/>
      <c r="O1052" s="48"/>
    </row>
    <row r="1053" spans="2:15" x14ac:dyDescent="0.2">
      <c r="B1053" s="47"/>
      <c r="C1053" s="47"/>
      <c r="D1053" s="78"/>
      <c r="E1053" s="47"/>
      <c r="F1053" s="47"/>
      <c r="G1053" s="47"/>
      <c r="H1053" s="47"/>
      <c r="I1053" s="48"/>
      <c r="J1053" s="47"/>
      <c r="K1053" s="47"/>
      <c r="L1053" s="47"/>
      <c r="M1053" s="47"/>
      <c r="N1053" s="48"/>
      <c r="O1053" s="48"/>
    </row>
    <row r="1054" spans="2:15" x14ac:dyDescent="0.2">
      <c r="B1054" s="47"/>
      <c r="C1054" s="47"/>
      <c r="D1054" s="78"/>
      <c r="E1054" s="47"/>
      <c r="F1054" s="47"/>
      <c r="G1054" s="47"/>
      <c r="H1054" s="47"/>
      <c r="I1054" s="48"/>
      <c r="J1054" s="47"/>
      <c r="K1054" s="47"/>
      <c r="L1054" s="47"/>
      <c r="M1054" s="47"/>
      <c r="N1054" s="48"/>
      <c r="O1054" s="48"/>
    </row>
    <row r="1055" spans="2:15" x14ac:dyDescent="0.2">
      <c r="B1055" s="47"/>
      <c r="C1055" s="47"/>
      <c r="D1055" s="78"/>
      <c r="E1055" s="47"/>
      <c r="F1055" s="47"/>
      <c r="G1055" s="47"/>
      <c r="H1055" s="47"/>
      <c r="I1055" s="48"/>
      <c r="J1055" s="47"/>
      <c r="K1055" s="47"/>
      <c r="L1055" s="47"/>
      <c r="M1055" s="47"/>
      <c r="N1055" s="48"/>
      <c r="O1055" s="48"/>
    </row>
    <row r="1056" spans="2:15" x14ac:dyDescent="0.2">
      <c r="B1056" s="47"/>
      <c r="C1056" s="47"/>
      <c r="D1056" s="78"/>
      <c r="E1056" s="47"/>
      <c r="F1056" s="47"/>
      <c r="G1056" s="47"/>
      <c r="H1056" s="47"/>
      <c r="I1056" s="48"/>
      <c r="J1056" s="47"/>
      <c r="K1056" s="47"/>
      <c r="L1056" s="47"/>
      <c r="M1056" s="47"/>
      <c r="N1056" s="48"/>
      <c r="O1056" s="48"/>
    </row>
    <row r="1057" spans="2:15" x14ac:dyDescent="0.2">
      <c r="B1057" s="47"/>
      <c r="C1057" s="47"/>
      <c r="D1057" s="78"/>
      <c r="E1057" s="47"/>
      <c r="F1057" s="47"/>
      <c r="G1057" s="47"/>
      <c r="H1057" s="47"/>
      <c r="I1057" s="48"/>
      <c r="J1057" s="47"/>
      <c r="K1057" s="47"/>
      <c r="L1057" s="47"/>
      <c r="M1057" s="47"/>
      <c r="N1057" s="48"/>
      <c r="O1057" s="48"/>
    </row>
    <row r="1058" spans="2:15" x14ac:dyDescent="0.2">
      <c r="B1058" s="47"/>
      <c r="C1058" s="47"/>
      <c r="D1058" s="78"/>
      <c r="E1058" s="47"/>
      <c r="F1058" s="47"/>
      <c r="G1058" s="47"/>
      <c r="H1058" s="47"/>
      <c r="I1058" s="48"/>
      <c r="J1058" s="47"/>
      <c r="K1058" s="47"/>
      <c r="L1058" s="47"/>
      <c r="M1058" s="47"/>
      <c r="N1058" s="48"/>
      <c r="O1058" s="48"/>
    </row>
    <row r="1059" spans="2:15" x14ac:dyDescent="0.2">
      <c r="B1059" s="47"/>
      <c r="C1059" s="47"/>
      <c r="D1059" s="78"/>
      <c r="E1059" s="47"/>
      <c r="F1059" s="47"/>
      <c r="G1059" s="47"/>
      <c r="H1059" s="47"/>
      <c r="I1059" s="48"/>
      <c r="J1059" s="47"/>
      <c r="K1059" s="47"/>
      <c r="L1059" s="47"/>
      <c r="M1059" s="47"/>
      <c r="N1059" s="48"/>
      <c r="O1059" s="48"/>
    </row>
    <row r="1060" spans="2:15" x14ac:dyDescent="0.2">
      <c r="B1060" s="47"/>
      <c r="C1060" s="47"/>
      <c r="D1060" s="78"/>
      <c r="E1060" s="47"/>
      <c r="F1060" s="47"/>
      <c r="G1060" s="47"/>
      <c r="H1060" s="47"/>
      <c r="I1060" s="48"/>
      <c r="J1060" s="47"/>
      <c r="K1060" s="47"/>
      <c r="L1060" s="47"/>
      <c r="M1060" s="47"/>
      <c r="N1060" s="48"/>
      <c r="O1060" s="48"/>
    </row>
    <row r="1061" spans="2:15" x14ac:dyDescent="0.2">
      <c r="B1061" s="47"/>
      <c r="C1061" s="47"/>
      <c r="D1061" s="78"/>
      <c r="E1061" s="47"/>
      <c r="F1061" s="47"/>
      <c r="G1061" s="47"/>
      <c r="H1061" s="47"/>
      <c r="I1061" s="48"/>
      <c r="J1061" s="47"/>
      <c r="K1061" s="47"/>
      <c r="L1061" s="47"/>
      <c r="M1061" s="47"/>
      <c r="N1061" s="48"/>
      <c r="O1061" s="48"/>
    </row>
    <row r="1062" spans="2:15" x14ac:dyDescent="0.2">
      <c r="B1062" s="47"/>
      <c r="C1062" s="47"/>
      <c r="D1062" s="78"/>
      <c r="E1062" s="47"/>
      <c r="F1062" s="47"/>
      <c r="G1062" s="47"/>
      <c r="H1062" s="47"/>
      <c r="I1062" s="48"/>
      <c r="J1062" s="47"/>
      <c r="K1062" s="47"/>
      <c r="L1062" s="47"/>
      <c r="M1062" s="47"/>
      <c r="N1062" s="48"/>
      <c r="O1062" s="48"/>
    </row>
    <row r="1063" spans="2:15" x14ac:dyDescent="0.2">
      <c r="B1063" s="47"/>
      <c r="C1063" s="47"/>
      <c r="D1063" s="78"/>
      <c r="E1063" s="47"/>
      <c r="F1063" s="47"/>
      <c r="G1063" s="47"/>
      <c r="H1063" s="47"/>
      <c r="I1063" s="48"/>
      <c r="J1063" s="47"/>
      <c r="K1063" s="47"/>
      <c r="L1063" s="47"/>
      <c r="M1063" s="47"/>
      <c r="N1063" s="48"/>
      <c r="O1063" s="48"/>
    </row>
    <row r="1064" spans="2:15" x14ac:dyDescent="0.2">
      <c r="B1064" s="47"/>
      <c r="C1064" s="47"/>
      <c r="D1064" s="78"/>
      <c r="E1064" s="47"/>
      <c r="F1064" s="47"/>
      <c r="G1064" s="47"/>
      <c r="H1064" s="47"/>
      <c r="I1064" s="48"/>
      <c r="J1064" s="47"/>
      <c r="K1064" s="47"/>
      <c r="L1064" s="47"/>
      <c r="M1064" s="47"/>
      <c r="N1064" s="48"/>
      <c r="O1064" s="48"/>
    </row>
    <row r="1065" spans="2:15" x14ac:dyDescent="0.2">
      <c r="B1065" s="47"/>
      <c r="C1065" s="47"/>
      <c r="D1065" s="78"/>
      <c r="E1065" s="47"/>
      <c r="F1065" s="47"/>
      <c r="G1065" s="47"/>
      <c r="H1065" s="47"/>
      <c r="I1065" s="48"/>
      <c r="J1065" s="47"/>
      <c r="K1065" s="47"/>
      <c r="L1065" s="47"/>
      <c r="M1065" s="47"/>
      <c r="N1065" s="48"/>
      <c r="O1065" s="48"/>
    </row>
    <row r="1066" spans="2:15" x14ac:dyDescent="0.2">
      <c r="B1066" s="47"/>
      <c r="C1066" s="47"/>
      <c r="D1066" s="78"/>
      <c r="E1066" s="47"/>
      <c r="F1066" s="47"/>
      <c r="G1066" s="47"/>
      <c r="H1066" s="47"/>
      <c r="I1066" s="48"/>
      <c r="J1066" s="47"/>
      <c r="K1066" s="47"/>
      <c r="L1066" s="47"/>
      <c r="M1066" s="47"/>
      <c r="N1066" s="48"/>
      <c r="O1066" s="48"/>
    </row>
    <row r="1067" spans="2:15" x14ac:dyDescent="0.2">
      <c r="B1067" s="47"/>
      <c r="C1067" s="47"/>
      <c r="D1067" s="78"/>
      <c r="E1067" s="47"/>
      <c r="F1067" s="47"/>
      <c r="G1067" s="47"/>
      <c r="H1067" s="47"/>
      <c r="I1067" s="48"/>
      <c r="J1067" s="47"/>
      <c r="K1067" s="47"/>
      <c r="L1067" s="47"/>
      <c r="M1067" s="47"/>
      <c r="N1067" s="48"/>
      <c r="O1067" s="48"/>
    </row>
    <row r="1068" spans="2:15" x14ac:dyDescent="0.2">
      <c r="B1068" s="47"/>
      <c r="C1068" s="47"/>
      <c r="D1068" s="78"/>
      <c r="E1068" s="47"/>
      <c r="F1068" s="47"/>
      <c r="G1068" s="47"/>
      <c r="H1068" s="47"/>
      <c r="I1068" s="48"/>
      <c r="J1068" s="47"/>
      <c r="K1068" s="47"/>
      <c r="L1068" s="47"/>
      <c r="M1068" s="47"/>
      <c r="N1068" s="48"/>
      <c r="O1068" s="48"/>
    </row>
    <row r="1069" spans="2:15" x14ac:dyDescent="0.2">
      <c r="B1069" s="47"/>
      <c r="C1069" s="47"/>
      <c r="D1069" s="78"/>
      <c r="E1069" s="47"/>
      <c r="F1069" s="47"/>
      <c r="G1069" s="47"/>
      <c r="H1069" s="47"/>
      <c r="I1069" s="48"/>
      <c r="J1069" s="47"/>
      <c r="K1069" s="47"/>
      <c r="L1069" s="47"/>
      <c r="M1069" s="47"/>
      <c r="N1069" s="48"/>
      <c r="O1069" s="48"/>
    </row>
    <row r="1070" spans="2:15" x14ac:dyDescent="0.2">
      <c r="B1070" s="47"/>
      <c r="C1070" s="47"/>
      <c r="D1070" s="78"/>
      <c r="E1070" s="47"/>
      <c r="F1070" s="47"/>
      <c r="G1070" s="47"/>
      <c r="H1070" s="47"/>
      <c r="I1070" s="48"/>
      <c r="J1070" s="47"/>
      <c r="K1070" s="47"/>
      <c r="L1070" s="47"/>
      <c r="M1070" s="47"/>
      <c r="N1070" s="48"/>
      <c r="O1070" s="48"/>
    </row>
    <row r="1071" spans="2:15" x14ac:dyDescent="0.2">
      <c r="B1071" s="47"/>
      <c r="C1071" s="47"/>
      <c r="D1071" s="78"/>
      <c r="E1071" s="47"/>
      <c r="F1071" s="47"/>
      <c r="G1071" s="47"/>
      <c r="H1071" s="47"/>
      <c r="I1071" s="48"/>
      <c r="J1071" s="47"/>
      <c r="K1071" s="47"/>
      <c r="L1071" s="47"/>
      <c r="M1071" s="47"/>
      <c r="N1071" s="48"/>
      <c r="O1071" s="48"/>
    </row>
    <row r="1072" spans="2:15" x14ac:dyDescent="0.2">
      <c r="B1072" s="47"/>
      <c r="C1072" s="47"/>
      <c r="D1072" s="78"/>
      <c r="E1072" s="47"/>
      <c r="F1072" s="47"/>
      <c r="G1072" s="47"/>
      <c r="H1072" s="47"/>
      <c r="I1072" s="48"/>
      <c r="J1072" s="47"/>
      <c r="K1072" s="47"/>
      <c r="L1072" s="47"/>
      <c r="M1072" s="47"/>
      <c r="N1072" s="48"/>
      <c r="O1072" s="48"/>
    </row>
    <row r="1073" spans="2:15" x14ac:dyDescent="0.2">
      <c r="B1073" s="47"/>
      <c r="C1073" s="47"/>
      <c r="D1073" s="78"/>
      <c r="E1073" s="47"/>
      <c r="F1073" s="47"/>
      <c r="G1073" s="47"/>
      <c r="H1073" s="47"/>
      <c r="I1073" s="48"/>
      <c r="J1073" s="47"/>
      <c r="K1073" s="47"/>
      <c r="L1073" s="47"/>
      <c r="M1073" s="47"/>
      <c r="N1073" s="48"/>
      <c r="O1073" s="48"/>
    </row>
    <row r="1074" spans="2:15" x14ac:dyDescent="0.2">
      <c r="B1074" s="47"/>
      <c r="C1074" s="47"/>
      <c r="D1074" s="78"/>
      <c r="E1074" s="47"/>
      <c r="F1074" s="47"/>
      <c r="G1074" s="47"/>
      <c r="H1074" s="47"/>
      <c r="I1074" s="48"/>
      <c r="J1074" s="47"/>
      <c r="K1074" s="47"/>
      <c r="L1074" s="47"/>
      <c r="M1074" s="47"/>
      <c r="N1074" s="48"/>
      <c r="O1074" s="48"/>
    </row>
    <row r="1075" spans="2:15" x14ac:dyDescent="0.2">
      <c r="B1075" s="47"/>
      <c r="C1075" s="47"/>
      <c r="D1075" s="78"/>
      <c r="E1075" s="47"/>
      <c r="F1075" s="47"/>
      <c r="G1075" s="47"/>
      <c r="H1075" s="47"/>
      <c r="I1075" s="48"/>
      <c r="J1075" s="47"/>
      <c r="K1075" s="47"/>
      <c r="L1075" s="47"/>
      <c r="M1075" s="47"/>
      <c r="N1075" s="48"/>
      <c r="O1075" s="48"/>
    </row>
    <row r="1076" spans="2:15" x14ac:dyDescent="0.2">
      <c r="B1076" s="47"/>
      <c r="C1076" s="47"/>
      <c r="D1076" s="78"/>
      <c r="E1076" s="47"/>
      <c r="F1076" s="47"/>
      <c r="G1076" s="47"/>
      <c r="H1076" s="47"/>
      <c r="I1076" s="48"/>
      <c r="J1076" s="47"/>
      <c r="K1076" s="47"/>
      <c r="L1076" s="47"/>
      <c r="M1076" s="47"/>
      <c r="N1076" s="48"/>
      <c r="O1076" s="48"/>
    </row>
    <row r="1077" spans="2:15" x14ac:dyDescent="0.2">
      <c r="B1077" s="47"/>
      <c r="C1077" s="47"/>
      <c r="D1077" s="78"/>
      <c r="E1077" s="47"/>
      <c r="F1077" s="47"/>
      <c r="G1077" s="47"/>
      <c r="H1077" s="47"/>
      <c r="I1077" s="48"/>
      <c r="J1077" s="47"/>
      <c r="K1077" s="47"/>
      <c r="L1077" s="47"/>
      <c r="M1077" s="47"/>
      <c r="N1077" s="48"/>
      <c r="O1077" s="48"/>
    </row>
    <row r="1078" spans="2:15" x14ac:dyDescent="0.2">
      <c r="B1078" s="47"/>
      <c r="C1078" s="47"/>
      <c r="D1078" s="78"/>
      <c r="E1078" s="47"/>
      <c r="F1078" s="47"/>
      <c r="G1078" s="47"/>
      <c r="H1078" s="47"/>
      <c r="I1078" s="48"/>
      <c r="J1078" s="47"/>
      <c r="K1078" s="47"/>
      <c r="L1078" s="47"/>
      <c r="M1078" s="47"/>
      <c r="N1078" s="48"/>
      <c r="O1078" s="48"/>
    </row>
    <row r="1079" spans="2:15" x14ac:dyDescent="0.2">
      <c r="B1079" s="47"/>
      <c r="C1079" s="47"/>
      <c r="D1079" s="78"/>
      <c r="E1079" s="47"/>
      <c r="F1079" s="47"/>
      <c r="G1079" s="47"/>
      <c r="H1079" s="47"/>
      <c r="I1079" s="48"/>
      <c r="J1079" s="47"/>
      <c r="K1079" s="47"/>
      <c r="L1079" s="47"/>
      <c r="M1079" s="47"/>
      <c r="N1079" s="48"/>
      <c r="O1079" s="48"/>
    </row>
    <row r="1080" spans="2:15" x14ac:dyDescent="0.2">
      <c r="B1080" s="47"/>
      <c r="C1080" s="47"/>
      <c r="D1080" s="78"/>
      <c r="E1080" s="47"/>
      <c r="F1080" s="47"/>
      <c r="G1080" s="47"/>
      <c r="H1080" s="47"/>
      <c r="I1080" s="48"/>
      <c r="J1080" s="47"/>
      <c r="K1080" s="47"/>
      <c r="L1080" s="47"/>
      <c r="M1080" s="47"/>
      <c r="N1080" s="48"/>
      <c r="O1080" s="48"/>
    </row>
    <row r="1081" spans="2:15" x14ac:dyDescent="0.2">
      <c r="B1081" s="47"/>
      <c r="C1081" s="47"/>
      <c r="D1081" s="78"/>
      <c r="E1081" s="47"/>
      <c r="F1081" s="47"/>
      <c r="G1081" s="47"/>
      <c r="H1081" s="47"/>
      <c r="I1081" s="48"/>
      <c r="J1081" s="47"/>
      <c r="K1081" s="47"/>
      <c r="L1081" s="47"/>
      <c r="M1081" s="47"/>
      <c r="N1081" s="48"/>
      <c r="O1081" s="48"/>
    </row>
    <row r="1082" spans="2:15" x14ac:dyDescent="0.2">
      <c r="B1082" s="47"/>
      <c r="C1082" s="47"/>
      <c r="D1082" s="78"/>
      <c r="E1082" s="47"/>
      <c r="F1082" s="47"/>
      <c r="G1082" s="47"/>
      <c r="H1082" s="47"/>
      <c r="I1082" s="48"/>
      <c r="J1082" s="47"/>
      <c r="K1082" s="47"/>
      <c r="L1082" s="47"/>
      <c r="M1082" s="47"/>
      <c r="N1082" s="48"/>
      <c r="O1082" s="48"/>
    </row>
    <row r="1083" spans="2:15" x14ac:dyDescent="0.2">
      <c r="B1083" s="47"/>
      <c r="C1083" s="47"/>
      <c r="D1083" s="78"/>
      <c r="E1083" s="47"/>
      <c r="F1083" s="47"/>
      <c r="G1083" s="47"/>
      <c r="H1083" s="47"/>
      <c r="I1083" s="48"/>
      <c r="J1083" s="47"/>
      <c r="K1083" s="47"/>
      <c r="L1083" s="47"/>
      <c r="M1083" s="47"/>
      <c r="N1083" s="48"/>
      <c r="O1083" s="48"/>
    </row>
    <row r="1084" spans="2:15" x14ac:dyDescent="0.2">
      <c r="B1084" s="47"/>
      <c r="C1084" s="47"/>
      <c r="D1084" s="78"/>
      <c r="E1084" s="47"/>
      <c r="F1084" s="47"/>
      <c r="G1084" s="47"/>
      <c r="H1084" s="47"/>
      <c r="I1084" s="48"/>
      <c r="J1084" s="47"/>
      <c r="K1084" s="47"/>
      <c r="L1084" s="47"/>
      <c r="M1084" s="47"/>
      <c r="N1084" s="48"/>
      <c r="O1084" s="48"/>
    </row>
    <row r="1085" spans="2:15" x14ac:dyDescent="0.2">
      <c r="B1085" s="47"/>
      <c r="C1085" s="47"/>
      <c r="D1085" s="78"/>
      <c r="E1085" s="47"/>
      <c r="F1085" s="47"/>
      <c r="G1085" s="47"/>
      <c r="H1085" s="47"/>
      <c r="I1085" s="48"/>
      <c r="J1085" s="47"/>
      <c r="K1085" s="47"/>
      <c r="L1085" s="47"/>
      <c r="M1085" s="47"/>
      <c r="N1085" s="48"/>
      <c r="O1085" s="48"/>
    </row>
    <row r="1086" spans="2:15" x14ac:dyDescent="0.2">
      <c r="B1086" s="47"/>
      <c r="C1086" s="47"/>
      <c r="D1086" s="78"/>
      <c r="E1086" s="47"/>
      <c r="F1086" s="47"/>
      <c r="G1086" s="47"/>
      <c r="H1086" s="47"/>
      <c r="I1086" s="48"/>
      <c r="J1086" s="47"/>
      <c r="K1086" s="47"/>
      <c r="L1086" s="47"/>
      <c r="M1086" s="47"/>
      <c r="N1086" s="48"/>
      <c r="O1086" s="48"/>
    </row>
    <row r="1087" spans="2:15" x14ac:dyDescent="0.2">
      <c r="B1087" s="47"/>
      <c r="C1087" s="47"/>
      <c r="D1087" s="78"/>
      <c r="E1087" s="47"/>
      <c r="F1087" s="47"/>
      <c r="G1087" s="47"/>
      <c r="H1087" s="47"/>
      <c r="I1087" s="48"/>
      <c r="J1087" s="47"/>
      <c r="K1087" s="47"/>
      <c r="L1087" s="47"/>
      <c r="M1087" s="47"/>
      <c r="N1087" s="48"/>
      <c r="O1087" s="48"/>
    </row>
    <row r="1088" spans="2:15" x14ac:dyDescent="0.2">
      <c r="B1088" s="47"/>
      <c r="C1088" s="47"/>
      <c r="D1088" s="78"/>
      <c r="E1088" s="47"/>
      <c r="F1088" s="47"/>
      <c r="G1088" s="47"/>
      <c r="H1088" s="47"/>
      <c r="I1088" s="48"/>
      <c r="J1088" s="47"/>
      <c r="K1088" s="47"/>
      <c r="L1088" s="47"/>
      <c r="M1088" s="47"/>
      <c r="N1088" s="48"/>
      <c r="O1088" s="48"/>
    </row>
    <row r="1089" spans="2:15" x14ac:dyDescent="0.2">
      <c r="B1089" s="47"/>
      <c r="C1089" s="47"/>
      <c r="D1089" s="78"/>
      <c r="E1089" s="47"/>
      <c r="F1089" s="47"/>
      <c r="G1089" s="47"/>
      <c r="H1089" s="47"/>
      <c r="I1089" s="48"/>
      <c r="J1089" s="47"/>
      <c r="K1089" s="47"/>
      <c r="L1089" s="47"/>
      <c r="M1089" s="47"/>
      <c r="N1089" s="48"/>
      <c r="O1089" s="48"/>
    </row>
    <row r="1090" spans="2:15" x14ac:dyDescent="0.2">
      <c r="B1090" s="47"/>
      <c r="C1090" s="47"/>
      <c r="D1090" s="78"/>
      <c r="E1090" s="47"/>
      <c r="F1090" s="47"/>
      <c r="G1090" s="47"/>
      <c r="H1090" s="47"/>
      <c r="I1090" s="48"/>
      <c r="J1090" s="47"/>
      <c r="K1090" s="47"/>
      <c r="L1090" s="47"/>
      <c r="M1090" s="47"/>
      <c r="N1090" s="48"/>
      <c r="O1090" s="48"/>
    </row>
    <row r="1091" spans="2:15" x14ac:dyDescent="0.2">
      <c r="B1091" s="47"/>
      <c r="C1091" s="47"/>
      <c r="D1091" s="78"/>
      <c r="E1091" s="47"/>
      <c r="F1091" s="47"/>
      <c r="G1091" s="47"/>
      <c r="H1091" s="47"/>
      <c r="I1091" s="48"/>
      <c r="J1091" s="47"/>
      <c r="K1091" s="47"/>
      <c r="L1091" s="47"/>
      <c r="M1091" s="47"/>
      <c r="N1091" s="48"/>
      <c r="O1091" s="48"/>
    </row>
    <row r="1092" spans="2:15" x14ac:dyDescent="0.2">
      <c r="B1092" s="47"/>
      <c r="C1092" s="47"/>
      <c r="D1092" s="78"/>
      <c r="E1092" s="47"/>
      <c r="F1092" s="47"/>
      <c r="G1092" s="47"/>
      <c r="H1092" s="47"/>
      <c r="I1092" s="48"/>
      <c r="J1092" s="47"/>
      <c r="K1092" s="47"/>
      <c r="L1092" s="47"/>
      <c r="M1092" s="47"/>
      <c r="N1092" s="48"/>
      <c r="O1092" s="48"/>
    </row>
    <row r="1093" spans="2:15" x14ac:dyDescent="0.2">
      <c r="B1093" s="47"/>
      <c r="C1093" s="47"/>
      <c r="D1093" s="78"/>
      <c r="E1093" s="47"/>
      <c r="F1093" s="47"/>
      <c r="G1093" s="47"/>
      <c r="H1093" s="47"/>
      <c r="I1093" s="48"/>
      <c r="J1093" s="47"/>
      <c r="K1093" s="47"/>
      <c r="L1093" s="47"/>
      <c r="M1093" s="47"/>
      <c r="N1093" s="48"/>
      <c r="O1093" s="48"/>
    </row>
    <row r="1094" spans="2:15" x14ac:dyDescent="0.2">
      <c r="B1094" s="47"/>
      <c r="C1094" s="47"/>
      <c r="D1094" s="78"/>
      <c r="E1094" s="47"/>
      <c r="F1094" s="47"/>
      <c r="G1094" s="47"/>
      <c r="H1094" s="47"/>
      <c r="I1094" s="48"/>
      <c r="J1094" s="47"/>
      <c r="K1094" s="47"/>
      <c r="L1094" s="47"/>
      <c r="M1094" s="47"/>
      <c r="N1094" s="48"/>
      <c r="O1094" s="48"/>
    </row>
    <row r="1095" spans="2:15" x14ac:dyDescent="0.2">
      <c r="B1095" s="47"/>
      <c r="C1095" s="47"/>
      <c r="D1095" s="78"/>
      <c r="E1095" s="47"/>
      <c r="F1095" s="47"/>
      <c r="G1095" s="47"/>
      <c r="H1095" s="47"/>
      <c r="I1095" s="48"/>
      <c r="J1095" s="47"/>
      <c r="K1095" s="47"/>
      <c r="L1095" s="47"/>
      <c r="M1095" s="47"/>
      <c r="N1095" s="48"/>
      <c r="O1095" s="48"/>
    </row>
    <row r="1096" spans="2:15" x14ac:dyDescent="0.2">
      <c r="B1096" s="47"/>
      <c r="C1096" s="47"/>
      <c r="D1096" s="78"/>
      <c r="E1096" s="47"/>
      <c r="F1096" s="47"/>
      <c r="G1096" s="47"/>
      <c r="H1096" s="47"/>
      <c r="I1096" s="48"/>
      <c r="J1096" s="47"/>
      <c r="K1096" s="47"/>
      <c r="L1096" s="47"/>
      <c r="M1096" s="47"/>
      <c r="N1096" s="48"/>
      <c r="O1096" s="48"/>
    </row>
    <row r="1097" spans="2:15" x14ac:dyDescent="0.2">
      <c r="B1097" s="47"/>
      <c r="C1097" s="47"/>
      <c r="D1097" s="78"/>
      <c r="E1097" s="47"/>
      <c r="F1097" s="47"/>
      <c r="G1097" s="47"/>
      <c r="H1097" s="47"/>
      <c r="I1097" s="48"/>
      <c r="J1097" s="47"/>
      <c r="K1097" s="47"/>
      <c r="L1097" s="47"/>
      <c r="M1097" s="47"/>
      <c r="N1097" s="48"/>
      <c r="O1097" s="48"/>
    </row>
    <row r="1098" spans="2:15" x14ac:dyDescent="0.2">
      <c r="B1098" s="47"/>
      <c r="C1098" s="47"/>
      <c r="D1098" s="78"/>
      <c r="E1098" s="47"/>
      <c r="F1098" s="47"/>
      <c r="G1098" s="47"/>
      <c r="H1098" s="47"/>
      <c r="I1098" s="48"/>
      <c r="J1098" s="47"/>
      <c r="K1098" s="47"/>
      <c r="L1098" s="47"/>
      <c r="M1098" s="47"/>
      <c r="N1098" s="48"/>
      <c r="O1098" s="48"/>
    </row>
    <row r="1099" spans="2:15" x14ac:dyDescent="0.2">
      <c r="B1099" s="47"/>
      <c r="C1099" s="47"/>
      <c r="D1099" s="78"/>
      <c r="E1099" s="47"/>
      <c r="F1099" s="47"/>
      <c r="G1099" s="47"/>
      <c r="H1099" s="47"/>
      <c r="I1099" s="48"/>
      <c r="J1099" s="47"/>
      <c r="K1099" s="47"/>
      <c r="L1099" s="47"/>
      <c r="M1099" s="47"/>
      <c r="N1099" s="48"/>
      <c r="O1099" s="48"/>
    </row>
    <row r="1100" spans="2:15" x14ac:dyDescent="0.2">
      <c r="B1100" s="47"/>
      <c r="C1100" s="47"/>
      <c r="D1100" s="78"/>
      <c r="E1100" s="47"/>
      <c r="F1100" s="47"/>
      <c r="G1100" s="47"/>
      <c r="H1100" s="47"/>
      <c r="I1100" s="48"/>
      <c r="J1100" s="47"/>
      <c r="K1100" s="47"/>
      <c r="L1100" s="47"/>
      <c r="M1100" s="47"/>
      <c r="N1100" s="48"/>
      <c r="O1100" s="48"/>
    </row>
    <row r="1101" spans="2:15" x14ac:dyDescent="0.2">
      <c r="B1101" s="47"/>
      <c r="C1101" s="47"/>
      <c r="D1101" s="78"/>
      <c r="E1101" s="47"/>
      <c r="F1101" s="47"/>
      <c r="G1101" s="47"/>
      <c r="H1101" s="47"/>
      <c r="I1101" s="48"/>
      <c r="J1101" s="47"/>
      <c r="K1101" s="47"/>
      <c r="L1101" s="47"/>
      <c r="M1101" s="47"/>
      <c r="N1101" s="48"/>
      <c r="O1101" s="48"/>
    </row>
    <row r="1102" spans="2:15" x14ac:dyDescent="0.2">
      <c r="B1102" s="47"/>
      <c r="C1102" s="47"/>
      <c r="D1102" s="78"/>
      <c r="E1102" s="47"/>
      <c r="F1102" s="47"/>
      <c r="G1102" s="47"/>
      <c r="H1102" s="47"/>
      <c r="I1102" s="48"/>
      <c r="J1102" s="47"/>
      <c r="K1102" s="47"/>
      <c r="L1102" s="47"/>
      <c r="M1102" s="47"/>
      <c r="N1102" s="48"/>
      <c r="O1102" s="48"/>
    </row>
    <row r="1103" spans="2:15" x14ac:dyDescent="0.2">
      <c r="B1103" s="47"/>
      <c r="C1103" s="47"/>
      <c r="D1103" s="78"/>
      <c r="E1103" s="47"/>
      <c r="F1103" s="47"/>
      <c r="G1103" s="47"/>
      <c r="H1103" s="47"/>
      <c r="I1103" s="48"/>
      <c r="J1103" s="47"/>
      <c r="K1103" s="47"/>
      <c r="L1103" s="47"/>
      <c r="M1103" s="47"/>
      <c r="N1103" s="48"/>
      <c r="O1103" s="48"/>
    </row>
    <row r="1104" spans="2:15" x14ac:dyDescent="0.2">
      <c r="B1104" s="47"/>
      <c r="C1104" s="47"/>
      <c r="D1104" s="78"/>
      <c r="E1104" s="47"/>
      <c r="F1104" s="47"/>
      <c r="G1104" s="47"/>
      <c r="H1104" s="47"/>
      <c r="I1104" s="48"/>
      <c r="J1104" s="47"/>
      <c r="K1104" s="47"/>
      <c r="L1104" s="47"/>
      <c r="M1104" s="47"/>
      <c r="N1104" s="48"/>
      <c r="O1104" s="48"/>
    </row>
    <row r="1105" spans="2:15" x14ac:dyDescent="0.2">
      <c r="B1105" s="47"/>
      <c r="C1105" s="47"/>
      <c r="D1105" s="78"/>
      <c r="E1105" s="47"/>
      <c r="F1105" s="47"/>
      <c r="G1105" s="47"/>
      <c r="H1105" s="47"/>
      <c r="I1105" s="48"/>
      <c r="J1105" s="47"/>
      <c r="K1105" s="47"/>
      <c r="L1105" s="47"/>
      <c r="M1105" s="47"/>
      <c r="N1105" s="48"/>
      <c r="O1105" s="48"/>
    </row>
    <row r="1106" spans="2:15" x14ac:dyDescent="0.2">
      <c r="B1106" s="47"/>
      <c r="C1106" s="47"/>
      <c r="D1106" s="78"/>
      <c r="E1106" s="47"/>
      <c r="F1106" s="47"/>
      <c r="G1106" s="47"/>
      <c r="H1106" s="47"/>
      <c r="I1106" s="48"/>
      <c r="J1106" s="47"/>
      <c r="K1106" s="47"/>
      <c r="L1106" s="47"/>
      <c r="M1106" s="47"/>
      <c r="N1106" s="48"/>
      <c r="O1106" s="48"/>
    </row>
    <row r="1107" spans="2:15" x14ac:dyDescent="0.2">
      <c r="B1107" s="47"/>
      <c r="C1107" s="47"/>
      <c r="D1107" s="78"/>
      <c r="E1107" s="47"/>
      <c r="F1107" s="47"/>
      <c r="G1107" s="47"/>
      <c r="H1107" s="47"/>
      <c r="I1107" s="48"/>
      <c r="J1107" s="47"/>
      <c r="K1107" s="47"/>
      <c r="L1107" s="47"/>
      <c r="M1107" s="47"/>
      <c r="N1107" s="48"/>
      <c r="O1107" s="48"/>
    </row>
    <row r="1108" spans="2:15" x14ac:dyDescent="0.2">
      <c r="B1108" s="47"/>
      <c r="C1108" s="47"/>
      <c r="D1108" s="78"/>
      <c r="E1108" s="47"/>
      <c r="F1108" s="47"/>
      <c r="G1108" s="47"/>
      <c r="H1108" s="47"/>
      <c r="I1108" s="48"/>
      <c r="J1108" s="47"/>
      <c r="K1108" s="47"/>
      <c r="L1108" s="47"/>
      <c r="M1108" s="47"/>
      <c r="N1108" s="48"/>
      <c r="O1108" s="48"/>
    </row>
    <row r="1109" spans="2:15" x14ac:dyDescent="0.2">
      <c r="B1109" s="47"/>
      <c r="C1109" s="47"/>
      <c r="D1109" s="78"/>
      <c r="E1109" s="47"/>
      <c r="F1109" s="47"/>
      <c r="G1109" s="47"/>
      <c r="H1109" s="47"/>
      <c r="I1109" s="48"/>
      <c r="J1109" s="47"/>
      <c r="K1109" s="47"/>
      <c r="L1109" s="47"/>
      <c r="M1109" s="47"/>
      <c r="N1109" s="48"/>
      <c r="O1109" s="48"/>
    </row>
    <row r="1110" spans="2:15" x14ac:dyDescent="0.2">
      <c r="B1110" s="47"/>
      <c r="C1110" s="47"/>
      <c r="D1110" s="78"/>
      <c r="E1110" s="47"/>
      <c r="F1110" s="47"/>
      <c r="G1110" s="47"/>
      <c r="H1110" s="47"/>
      <c r="I1110" s="48"/>
      <c r="J1110" s="47"/>
      <c r="K1110" s="47"/>
      <c r="L1110" s="47"/>
      <c r="M1110" s="47"/>
      <c r="N1110" s="48"/>
      <c r="O1110" s="48"/>
    </row>
    <row r="1111" spans="2:15" x14ac:dyDescent="0.2">
      <c r="B1111" s="47"/>
      <c r="C1111" s="47"/>
      <c r="D1111" s="78"/>
      <c r="E1111" s="47"/>
      <c r="F1111" s="47"/>
      <c r="G1111" s="47"/>
      <c r="H1111" s="47"/>
      <c r="I1111" s="48"/>
      <c r="J1111" s="47"/>
      <c r="K1111" s="47"/>
      <c r="L1111" s="47"/>
      <c r="M1111" s="47"/>
      <c r="N1111" s="48"/>
      <c r="O1111" s="48"/>
    </row>
    <row r="1112" spans="2:15" x14ac:dyDescent="0.2">
      <c r="B1112" s="47"/>
      <c r="C1112" s="47"/>
      <c r="D1112" s="78"/>
      <c r="E1112" s="47"/>
      <c r="F1112" s="47"/>
      <c r="G1112" s="47"/>
      <c r="H1112" s="47"/>
      <c r="I1112" s="48"/>
      <c r="J1112" s="47"/>
      <c r="K1112" s="47"/>
      <c r="L1112" s="47"/>
      <c r="M1112" s="47"/>
      <c r="N1112" s="48"/>
      <c r="O1112" s="48"/>
    </row>
    <row r="1113" spans="2:15" x14ac:dyDescent="0.2">
      <c r="B1113" s="47"/>
      <c r="C1113" s="47"/>
      <c r="D1113" s="78"/>
      <c r="E1113" s="47"/>
      <c r="F1113" s="47"/>
      <c r="G1113" s="47"/>
      <c r="H1113" s="47"/>
      <c r="I1113" s="48"/>
      <c r="J1113" s="47"/>
      <c r="K1113" s="47"/>
      <c r="L1113" s="47"/>
      <c r="M1113" s="47"/>
      <c r="N1113" s="48"/>
      <c r="O1113" s="48"/>
    </row>
    <row r="1114" spans="2:15" x14ac:dyDescent="0.2">
      <c r="B1114" s="47"/>
      <c r="C1114" s="47"/>
      <c r="D1114" s="78"/>
      <c r="E1114" s="47"/>
      <c r="F1114" s="47"/>
      <c r="G1114" s="47"/>
      <c r="H1114" s="47"/>
      <c r="I1114" s="48"/>
      <c r="J1114" s="47"/>
      <c r="K1114" s="47"/>
      <c r="L1114" s="47"/>
      <c r="M1114" s="47"/>
      <c r="N1114" s="48"/>
      <c r="O1114" s="48"/>
    </row>
    <row r="1115" spans="2:15" x14ac:dyDescent="0.2">
      <c r="B1115" s="47"/>
      <c r="C1115" s="47"/>
      <c r="D1115" s="78"/>
      <c r="E1115" s="47"/>
      <c r="F1115" s="47"/>
      <c r="G1115" s="47"/>
      <c r="H1115" s="47"/>
      <c r="I1115" s="48"/>
      <c r="J1115" s="47"/>
      <c r="K1115" s="47"/>
      <c r="L1115" s="47"/>
      <c r="M1115" s="47"/>
      <c r="N1115" s="48"/>
      <c r="O1115" s="48"/>
    </row>
    <row r="1116" spans="2:15" x14ac:dyDescent="0.2">
      <c r="B1116" s="47"/>
      <c r="C1116" s="47"/>
      <c r="D1116" s="78"/>
      <c r="E1116" s="47"/>
      <c r="F1116" s="47"/>
      <c r="G1116" s="47"/>
      <c r="H1116" s="47"/>
      <c r="I1116" s="48"/>
      <c r="J1116" s="47"/>
      <c r="K1116" s="47"/>
      <c r="L1116" s="47"/>
      <c r="M1116" s="47"/>
      <c r="N1116" s="48"/>
      <c r="O1116" s="48"/>
    </row>
    <row r="1117" spans="2:15" x14ac:dyDescent="0.2">
      <c r="B1117" s="47"/>
      <c r="C1117" s="47"/>
      <c r="D1117" s="78"/>
      <c r="E1117" s="47"/>
      <c r="F1117" s="47"/>
      <c r="G1117" s="47"/>
      <c r="H1117" s="47"/>
      <c r="I1117" s="48"/>
      <c r="J1117" s="47"/>
      <c r="K1117" s="47"/>
      <c r="L1117" s="47"/>
      <c r="M1117" s="47"/>
      <c r="N1117" s="48"/>
      <c r="O1117" s="48"/>
    </row>
    <row r="1118" spans="2:15" x14ac:dyDescent="0.2">
      <c r="B1118" s="47"/>
      <c r="C1118" s="47"/>
      <c r="D1118" s="78"/>
      <c r="E1118" s="47"/>
      <c r="F1118" s="47"/>
      <c r="G1118" s="47"/>
      <c r="H1118" s="47"/>
      <c r="I1118" s="48"/>
      <c r="J1118" s="47"/>
      <c r="K1118" s="47"/>
      <c r="L1118" s="47"/>
      <c r="M1118" s="47"/>
      <c r="N1118" s="48"/>
      <c r="O1118" s="48"/>
    </row>
    <row r="1119" spans="2:15" x14ac:dyDescent="0.2">
      <c r="B1119" s="47"/>
      <c r="C1119" s="47"/>
      <c r="D1119" s="78"/>
      <c r="E1119" s="47"/>
      <c r="F1119" s="47"/>
      <c r="G1119" s="47"/>
      <c r="H1119" s="47"/>
      <c r="I1119" s="48"/>
      <c r="J1119" s="47"/>
      <c r="K1119" s="47"/>
      <c r="L1119" s="47"/>
      <c r="M1119" s="47"/>
      <c r="N1119" s="48"/>
      <c r="O1119" s="48"/>
    </row>
    <row r="1120" spans="2:15" x14ac:dyDescent="0.2">
      <c r="B1120" s="47"/>
      <c r="C1120" s="47"/>
      <c r="D1120" s="78"/>
      <c r="E1120" s="47"/>
      <c r="F1120" s="47"/>
      <c r="G1120" s="47"/>
      <c r="H1120" s="47"/>
      <c r="I1120" s="48"/>
      <c r="J1120" s="47"/>
      <c r="K1120" s="47"/>
      <c r="L1120" s="47"/>
      <c r="M1120" s="47"/>
      <c r="N1120" s="48"/>
      <c r="O1120" s="48"/>
    </row>
    <row r="1121" spans="2:15" x14ac:dyDescent="0.2">
      <c r="B1121" s="47"/>
      <c r="C1121" s="47"/>
      <c r="D1121" s="78"/>
      <c r="E1121" s="47"/>
      <c r="F1121" s="47"/>
      <c r="G1121" s="47"/>
      <c r="H1121" s="47"/>
      <c r="I1121" s="48"/>
      <c r="J1121" s="47"/>
      <c r="K1121" s="47"/>
      <c r="L1121" s="47"/>
      <c r="M1121" s="47"/>
      <c r="N1121" s="48"/>
      <c r="O1121" s="48"/>
    </row>
    <row r="1122" spans="2:15" x14ac:dyDescent="0.2">
      <c r="B1122" s="47"/>
      <c r="C1122" s="47"/>
      <c r="D1122" s="78"/>
      <c r="E1122" s="47"/>
      <c r="F1122" s="47"/>
      <c r="G1122" s="47"/>
      <c r="H1122" s="47"/>
      <c r="I1122" s="48"/>
      <c r="J1122" s="47"/>
      <c r="K1122" s="47"/>
      <c r="L1122" s="47"/>
      <c r="M1122" s="47"/>
      <c r="N1122" s="48"/>
      <c r="O1122" s="48"/>
    </row>
    <row r="1123" spans="2:15" x14ac:dyDescent="0.2">
      <c r="B1123" s="47"/>
      <c r="C1123" s="47"/>
      <c r="D1123" s="78"/>
      <c r="E1123" s="47"/>
      <c r="F1123" s="47"/>
      <c r="G1123" s="47"/>
      <c r="H1123" s="47"/>
      <c r="I1123" s="48"/>
      <c r="J1123" s="47"/>
      <c r="K1123" s="47"/>
      <c r="L1123" s="47"/>
      <c r="M1123" s="47"/>
      <c r="N1123" s="48"/>
      <c r="O1123" s="48"/>
    </row>
    <row r="1124" spans="2:15" x14ac:dyDescent="0.2">
      <c r="B1124" s="47"/>
      <c r="C1124" s="47"/>
      <c r="D1124" s="78"/>
      <c r="E1124" s="47"/>
      <c r="F1124" s="47"/>
      <c r="G1124" s="47"/>
      <c r="H1124" s="47"/>
      <c r="I1124" s="48"/>
      <c r="J1124" s="47"/>
      <c r="K1124" s="47"/>
      <c r="L1124" s="47"/>
      <c r="M1124" s="47"/>
      <c r="N1124" s="48"/>
      <c r="O1124" s="48"/>
    </row>
    <row r="1125" spans="2:15" x14ac:dyDescent="0.2">
      <c r="B1125" s="47"/>
      <c r="C1125" s="47"/>
      <c r="D1125" s="78"/>
      <c r="E1125" s="47"/>
      <c r="F1125" s="47"/>
      <c r="G1125" s="47"/>
      <c r="H1125" s="47"/>
      <c r="I1125" s="48"/>
      <c r="J1125" s="47"/>
      <c r="K1125" s="47"/>
      <c r="L1125" s="47"/>
      <c r="M1125" s="47"/>
      <c r="N1125" s="48"/>
      <c r="O1125" s="48"/>
    </row>
    <row r="1126" spans="2:15" x14ac:dyDescent="0.2">
      <c r="B1126" s="47"/>
      <c r="C1126" s="47"/>
      <c r="D1126" s="78"/>
      <c r="E1126" s="47"/>
      <c r="F1126" s="47"/>
      <c r="G1126" s="47"/>
      <c r="H1126" s="47"/>
      <c r="I1126" s="48"/>
      <c r="J1126" s="47"/>
      <c r="K1126" s="47"/>
      <c r="L1126" s="47"/>
      <c r="M1126" s="47"/>
      <c r="N1126" s="48"/>
      <c r="O1126" s="48"/>
    </row>
    <row r="1127" spans="2:15" x14ac:dyDescent="0.2">
      <c r="B1127" s="47"/>
      <c r="C1127" s="47"/>
      <c r="D1127" s="78"/>
      <c r="E1127" s="47"/>
      <c r="F1127" s="47"/>
      <c r="G1127" s="47"/>
      <c r="H1127" s="47"/>
      <c r="I1127" s="48"/>
      <c r="J1127" s="47"/>
      <c r="K1127" s="47"/>
      <c r="L1127" s="47"/>
      <c r="M1127" s="47"/>
      <c r="N1127" s="48"/>
      <c r="O1127" s="48"/>
    </row>
    <row r="1128" spans="2:15" x14ac:dyDescent="0.2">
      <c r="B1128" s="47"/>
      <c r="C1128" s="47"/>
      <c r="D1128" s="78"/>
      <c r="E1128" s="47"/>
      <c r="F1128" s="47"/>
      <c r="G1128" s="47"/>
      <c r="H1128" s="47"/>
      <c r="I1128" s="48"/>
      <c r="J1128" s="47"/>
      <c r="K1128" s="47"/>
      <c r="L1128" s="47"/>
      <c r="M1128" s="47"/>
      <c r="N1128" s="48"/>
      <c r="O1128" s="48"/>
    </row>
    <row r="1129" spans="2:15" x14ac:dyDescent="0.2">
      <c r="B1129" s="47"/>
      <c r="C1129" s="47"/>
      <c r="D1129" s="78"/>
      <c r="E1129" s="47"/>
      <c r="F1129" s="47"/>
      <c r="G1129" s="47"/>
      <c r="H1129" s="47"/>
      <c r="I1129" s="48"/>
      <c r="J1129" s="47"/>
      <c r="K1129" s="47"/>
      <c r="L1129" s="47"/>
      <c r="M1129" s="47"/>
      <c r="N1129" s="48"/>
      <c r="O1129" s="48"/>
    </row>
    <row r="1130" spans="2:15" x14ac:dyDescent="0.2">
      <c r="B1130" s="47"/>
      <c r="C1130" s="47"/>
      <c r="D1130" s="78"/>
      <c r="E1130" s="47"/>
      <c r="F1130" s="47"/>
      <c r="G1130" s="47"/>
      <c r="H1130" s="47"/>
      <c r="I1130" s="48"/>
      <c r="J1130" s="47"/>
      <c r="K1130" s="47"/>
      <c r="L1130" s="47"/>
      <c r="M1130" s="47"/>
      <c r="N1130" s="48"/>
      <c r="O1130" s="48"/>
    </row>
    <row r="1131" spans="2:15" x14ac:dyDescent="0.2">
      <c r="B1131" s="47"/>
      <c r="C1131" s="47"/>
      <c r="D1131" s="78"/>
      <c r="E1131" s="47"/>
      <c r="F1131" s="47"/>
      <c r="G1131" s="47"/>
      <c r="H1131" s="47"/>
      <c r="I1131" s="48"/>
      <c r="J1131" s="47"/>
      <c r="K1131" s="47"/>
      <c r="L1131" s="47"/>
      <c r="M1131" s="47"/>
      <c r="N1131" s="48"/>
      <c r="O1131" s="48"/>
    </row>
    <row r="1132" spans="2:15" x14ac:dyDescent="0.2">
      <c r="B1132" s="47"/>
      <c r="C1132" s="47"/>
      <c r="D1132" s="78"/>
      <c r="E1132" s="47"/>
      <c r="F1132" s="47"/>
      <c r="G1132" s="47"/>
      <c r="H1132" s="47"/>
      <c r="I1132" s="48"/>
      <c r="J1132" s="47"/>
      <c r="K1132" s="47"/>
      <c r="L1132" s="47"/>
      <c r="M1132" s="47"/>
      <c r="N1132" s="48"/>
      <c r="O1132" s="48"/>
    </row>
    <row r="1133" spans="2:15" x14ac:dyDescent="0.2">
      <c r="B1133" s="47"/>
      <c r="C1133" s="47"/>
      <c r="D1133" s="78"/>
      <c r="E1133" s="47"/>
      <c r="F1133" s="47"/>
      <c r="G1133" s="47"/>
      <c r="H1133" s="47"/>
      <c r="I1133" s="48"/>
      <c r="J1133" s="47"/>
      <c r="K1133" s="47"/>
      <c r="L1133" s="47"/>
      <c r="M1133" s="47"/>
      <c r="N1133" s="48"/>
      <c r="O1133" s="48"/>
    </row>
    <row r="1134" spans="2:15" x14ac:dyDescent="0.2">
      <c r="B1134" s="47"/>
      <c r="C1134" s="47"/>
      <c r="D1134" s="78"/>
      <c r="E1134" s="47"/>
      <c r="F1134" s="47"/>
      <c r="G1134" s="47"/>
      <c r="H1134" s="47"/>
      <c r="I1134" s="48"/>
      <c r="J1134" s="47"/>
      <c r="K1134" s="47"/>
      <c r="L1134" s="47"/>
      <c r="M1134" s="47"/>
      <c r="N1134" s="48"/>
      <c r="O1134" s="48"/>
    </row>
    <row r="1135" spans="2:15" x14ac:dyDescent="0.2">
      <c r="B1135" s="47"/>
      <c r="C1135" s="47"/>
      <c r="D1135" s="78"/>
      <c r="E1135" s="47"/>
      <c r="F1135" s="47"/>
      <c r="G1135" s="47"/>
      <c r="H1135" s="47"/>
      <c r="I1135" s="48"/>
      <c r="J1135" s="47"/>
      <c r="K1135" s="47"/>
      <c r="L1135" s="47"/>
      <c r="M1135" s="47"/>
      <c r="N1135" s="48"/>
      <c r="O1135" s="48"/>
    </row>
    <row r="1136" spans="2:15" x14ac:dyDescent="0.2">
      <c r="B1136" s="47"/>
      <c r="C1136" s="47"/>
      <c r="D1136" s="78"/>
      <c r="E1136" s="47"/>
      <c r="F1136" s="47"/>
      <c r="G1136" s="47"/>
      <c r="H1136" s="47"/>
      <c r="I1136" s="48"/>
      <c r="J1136" s="47"/>
      <c r="K1136" s="47"/>
      <c r="L1136" s="47"/>
      <c r="M1136" s="47"/>
      <c r="N1136" s="48"/>
      <c r="O1136" s="48"/>
    </row>
    <row r="1137" spans="2:15" x14ac:dyDescent="0.2">
      <c r="B1137" s="47"/>
      <c r="C1137" s="47"/>
      <c r="D1137" s="78"/>
      <c r="E1137" s="47"/>
      <c r="F1137" s="47"/>
      <c r="G1137" s="47"/>
      <c r="H1137" s="47"/>
      <c r="I1137" s="48"/>
      <c r="J1137" s="47"/>
      <c r="K1137" s="47"/>
      <c r="L1137" s="47"/>
      <c r="M1137" s="47"/>
      <c r="N1137" s="48"/>
      <c r="O1137" s="48"/>
    </row>
    <row r="1138" spans="2:15" x14ac:dyDescent="0.2">
      <c r="B1138" s="47"/>
      <c r="C1138" s="47"/>
      <c r="D1138" s="78"/>
      <c r="E1138" s="47"/>
      <c r="F1138" s="47"/>
      <c r="G1138" s="47"/>
      <c r="H1138" s="47"/>
      <c r="I1138" s="48"/>
      <c r="J1138" s="47"/>
      <c r="K1138" s="47"/>
      <c r="L1138" s="47"/>
      <c r="M1138" s="47"/>
      <c r="N1138" s="48"/>
      <c r="O1138" s="48"/>
    </row>
    <row r="1139" spans="2:15" x14ac:dyDescent="0.2">
      <c r="B1139" s="47"/>
      <c r="C1139" s="47"/>
      <c r="D1139" s="78"/>
      <c r="E1139" s="47"/>
      <c r="F1139" s="47"/>
      <c r="G1139" s="47"/>
      <c r="H1139" s="47"/>
      <c r="I1139" s="48"/>
      <c r="J1139" s="47"/>
      <c r="K1139" s="47"/>
      <c r="L1139" s="47"/>
      <c r="M1139" s="47"/>
      <c r="N1139" s="48"/>
      <c r="O1139" s="48"/>
    </row>
    <row r="1140" spans="2:15" x14ac:dyDescent="0.2">
      <c r="B1140" s="47"/>
      <c r="C1140" s="47"/>
      <c r="D1140" s="78"/>
      <c r="E1140" s="47"/>
      <c r="F1140" s="47"/>
      <c r="G1140" s="47"/>
      <c r="H1140" s="47"/>
      <c r="I1140" s="48"/>
      <c r="J1140" s="47"/>
      <c r="K1140" s="47"/>
      <c r="L1140" s="47"/>
      <c r="M1140" s="47"/>
      <c r="N1140" s="48"/>
      <c r="O1140" s="48"/>
    </row>
    <row r="1141" spans="2:15" x14ac:dyDescent="0.2">
      <c r="B1141" s="47"/>
      <c r="C1141" s="47"/>
      <c r="D1141" s="78"/>
      <c r="E1141" s="47"/>
      <c r="F1141" s="47"/>
      <c r="G1141" s="47"/>
      <c r="H1141" s="47"/>
      <c r="I1141" s="48"/>
      <c r="J1141" s="47"/>
      <c r="K1141" s="47"/>
      <c r="L1141" s="47"/>
      <c r="M1141" s="47"/>
      <c r="N1141" s="48"/>
      <c r="O1141" s="48"/>
    </row>
    <row r="1142" spans="2:15" x14ac:dyDescent="0.2">
      <c r="B1142" s="47"/>
      <c r="C1142" s="47"/>
      <c r="D1142" s="78"/>
      <c r="E1142" s="47"/>
      <c r="F1142" s="47"/>
      <c r="G1142" s="47"/>
      <c r="H1142" s="47"/>
      <c r="I1142" s="48"/>
      <c r="J1142" s="47"/>
      <c r="K1142" s="47"/>
      <c r="L1142" s="47"/>
      <c r="M1142" s="47"/>
      <c r="N1142" s="48"/>
      <c r="O1142" s="48"/>
    </row>
    <row r="1143" spans="2:15" x14ac:dyDescent="0.2">
      <c r="B1143" s="47"/>
      <c r="C1143" s="47"/>
      <c r="D1143" s="78"/>
      <c r="E1143" s="47"/>
      <c r="F1143" s="47"/>
      <c r="G1143" s="47"/>
      <c r="H1143" s="47"/>
      <c r="I1143" s="48"/>
      <c r="J1143" s="47"/>
      <c r="K1143" s="47"/>
      <c r="L1143" s="47"/>
      <c r="M1143" s="47"/>
      <c r="N1143" s="48"/>
      <c r="O1143" s="48"/>
    </row>
    <row r="1144" spans="2:15" x14ac:dyDescent="0.2">
      <c r="B1144" s="47"/>
      <c r="C1144" s="47"/>
      <c r="D1144" s="78"/>
      <c r="E1144" s="47"/>
      <c r="F1144" s="47"/>
      <c r="G1144" s="47"/>
      <c r="H1144" s="47"/>
      <c r="I1144" s="48"/>
      <c r="J1144" s="47"/>
      <c r="K1144" s="47"/>
      <c r="L1144" s="47"/>
      <c r="M1144" s="47"/>
      <c r="N1144" s="48"/>
      <c r="O1144" s="48"/>
    </row>
    <row r="1145" spans="2:15" x14ac:dyDescent="0.2">
      <c r="B1145" s="47"/>
      <c r="C1145" s="47"/>
      <c r="D1145" s="78"/>
      <c r="E1145" s="47"/>
      <c r="F1145" s="47"/>
      <c r="G1145" s="47"/>
      <c r="H1145" s="47"/>
      <c r="I1145" s="48"/>
      <c r="J1145" s="47"/>
      <c r="K1145" s="47"/>
      <c r="L1145" s="47"/>
      <c r="M1145" s="47"/>
      <c r="N1145" s="48"/>
      <c r="O1145" s="48"/>
    </row>
    <row r="1146" spans="2:15" x14ac:dyDescent="0.2">
      <c r="B1146" s="47"/>
      <c r="C1146" s="47"/>
      <c r="D1146" s="78"/>
      <c r="E1146" s="47"/>
      <c r="F1146" s="47"/>
      <c r="G1146" s="47"/>
      <c r="H1146" s="47"/>
      <c r="I1146" s="48"/>
      <c r="J1146" s="47"/>
      <c r="K1146" s="47"/>
      <c r="L1146" s="47"/>
      <c r="M1146" s="47"/>
      <c r="N1146" s="48"/>
      <c r="O1146" s="48"/>
    </row>
    <row r="1147" spans="2:15" x14ac:dyDescent="0.2">
      <c r="B1147" s="47"/>
      <c r="C1147" s="47"/>
      <c r="D1147" s="78"/>
      <c r="E1147" s="47"/>
      <c r="F1147" s="47"/>
      <c r="G1147" s="47"/>
      <c r="H1147" s="47"/>
      <c r="I1147" s="48"/>
      <c r="J1147" s="47"/>
      <c r="K1147" s="47"/>
      <c r="L1147" s="47"/>
      <c r="M1147" s="47"/>
      <c r="N1147" s="48"/>
      <c r="O1147" s="48"/>
    </row>
    <row r="1148" spans="2:15" x14ac:dyDescent="0.2">
      <c r="B1148" s="47"/>
      <c r="C1148" s="47"/>
      <c r="D1148" s="78"/>
      <c r="E1148" s="47"/>
      <c r="F1148" s="47"/>
      <c r="G1148" s="47"/>
      <c r="H1148" s="47"/>
      <c r="I1148" s="48"/>
      <c r="J1148" s="47"/>
      <c r="K1148" s="47"/>
      <c r="L1148" s="47"/>
      <c r="M1148" s="47"/>
      <c r="N1148" s="48"/>
      <c r="O1148" s="48"/>
    </row>
    <row r="1149" spans="2:15" x14ac:dyDescent="0.2">
      <c r="B1149" s="47"/>
      <c r="C1149" s="47"/>
      <c r="D1149" s="78"/>
      <c r="E1149" s="47"/>
      <c r="F1149" s="47"/>
      <c r="G1149" s="47"/>
      <c r="H1149" s="47"/>
      <c r="I1149" s="48"/>
      <c r="J1149" s="47"/>
      <c r="K1149" s="47"/>
      <c r="L1149" s="47"/>
      <c r="M1149" s="47"/>
      <c r="N1149" s="48"/>
      <c r="O1149" s="48"/>
    </row>
    <row r="1150" spans="2:15" x14ac:dyDescent="0.2">
      <c r="B1150" s="47"/>
      <c r="C1150" s="47"/>
      <c r="D1150" s="78"/>
      <c r="E1150" s="47"/>
      <c r="F1150" s="47"/>
      <c r="G1150" s="47"/>
      <c r="H1150" s="47"/>
      <c r="I1150" s="48"/>
      <c r="J1150" s="47"/>
      <c r="K1150" s="47"/>
      <c r="L1150" s="47"/>
      <c r="M1150" s="47"/>
      <c r="N1150" s="48"/>
      <c r="O1150" s="48"/>
    </row>
    <row r="1151" spans="2:15" x14ac:dyDescent="0.2">
      <c r="B1151" s="47"/>
      <c r="C1151" s="47"/>
      <c r="D1151" s="78"/>
      <c r="E1151" s="47"/>
      <c r="F1151" s="47"/>
      <c r="G1151" s="47"/>
      <c r="H1151" s="47"/>
      <c r="I1151" s="48"/>
      <c r="J1151" s="47"/>
      <c r="K1151" s="47"/>
      <c r="L1151" s="47"/>
      <c r="M1151" s="47"/>
      <c r="N1151" s="48"/>
      <c r="O1151" s="48"/>
    </row>
    <row r="1152" spans="2:15" x14ac:dyDescent="0.2">
      <c r="B1152" s="47"/>
      <c r="C1152" s="47"/>
      <c r="D1152" s="78"/>
      <c r="E1152" s="47"/>
      <c r="F1152" s="47"/>
      <c r="G1152" s="47"/>
      <c r="H1152" s="47"/>
      <c r="I1152" s="48"/>
      <c r="J1152" s="47"/>
      <c r="K1152" s="47"/>
      <c r="L1152" s="47"/>
      <c r="M1152" s="47"/>
      <c r="N1152" s="48"/>
      <c r="O1152" s="48"/>
    </row>
    <row r="1153" spans="2:15" x14ac:dyDescent="0.2">
      <c r="B1153" s="47"/>
      <c r="C1153" s="47"/>
      <c r="D1153" s="78"/>
      <c r="E1153" s="47"/>
      <c r="F1153" s="47"/>
      <c r="G1153" s="47"/>
      <c r="H1153" s="47"/>
      <c r="I1153" s="48"/>
      <c r="J1153" s="47"/>
      <c r="K1153" s="47"/>
      <c r="L1153" s="47"/>
      <c r="M1153" s="47"/>
      <c r="N1153" s="48"/>
      <c r="O1153" s="48"/>
    </row>
    <row r="1154" spans="2:15" x14ac:dyDescent="0.2">
      <c r="B1154" s="47"/>
      <c r="C1154" s="47"/>
      <c r="D1154" s="78"/>
      <c r="E1154" s="47"/>
      <c r="F1154" s="47"/>
      <c r="G1154" s="47"/>
      <c r="H1154" s="47"/>
      <c r="I1154" s="48"/>
      <c r="J1154" s="47"/>
      <c r="K1154" s="47"/>
      <c r="L1154" s="47"/>
      <c r="M1154" s="47"/>
      <c r="N1154" s="48"/>
      <c r="O1154" s="48"/>
    </row>
    <row r="1155" spans="2:15" x14ac:dyDescent="0.2">
      <c r="B1155" s="47"/>
      <c r="C1155" s="47"/>
      <c r="D1155" s="78"/>
      <c r="E1155" s="47"/>
      <c r="F1155" s="47"/>
      <c r="G1155" s="47"/>
      <c r="H1155" s="47"/>
      <c r="I1155" s="48"/>
      <c r="J1155" s="47"/>
      <c r="K1155" s="47"/>
      <c r="L1155" s="47"/>
      <c r="M1155" s="47"/>
      <c r="N1155" s="48"/>
      <c r="O1155" s="48"/>
    </row>
    <row r="1156" spans="2:15" x14ac:dyDescent="0.2">
      <c r="B1156" s="47"/>
      <c r="C1156" s="47"/>
      <c r="D1156" s="78"/>
      <c r="E1156" s="47"/>
      <c r="F1156" s="47"/>
      <c r="G1156" s="47"/>
      <c r="H1156" s="47"/>
      <c r="I1156" s="48"/>
      <c r="J1156" s="47"/>
      <c r="K1156" s="47"/>
      <c r="L1156" s="47"/>
      <c r="M1156" s="47"/>
      <c r="N1156" s="48"/>
      <c r="O1156" s="48"/>
    </row>
    <row r="1157" spans="2:15" x14ac:dyDescent="0.2">
      <c r="B1157" s="47"/>
      <c r="C1157" s="47"/>
      <c r="D1157" s="78"/>
      <c r="E1157" s="47"/>
      <c r="F1157" s="47"/>
      <c r="G1157" s="47"/>
      <c r="H1157" s="47"/>
      <c r="I1157" s="48"/>
      <c r="J1157" s="47"/>
      <c r="K1157" s="47"/>
      <c r="L1157" s="47"/>
      <c r="M1157" s="47"/>
      <c r="N1157" s="48"/>
      <c r="O1157" s="48"/>
    </row>
    <row r="1158" spans="2:15" x14ac:dyDescent="0.2">
      <c r="B1158" s="47"/>
      <c r="C1158" s="47"/>
      <c r="D1158" s="78"/>
      <c r="E1158" s="47"/>
      <c r="F1158" s="47"/>
      <c r="G1158" s="47"/>
      <c r="H1158" s="47"/>
      <c r="I1158" s="48"/>
      <c r="J1158" s="47"/>
      <c r="K1158" s="47"/>
      <c r="L1158" s="47"/>
      <c r="M1158" s="47"/>
      <c r="N1158" s="48"/>
      <c r="O1158" s="48"/>
    </row>
    <row r="1159" spans="2:15" x14ac:dyDescent="0.2">
      <c r="B1159" s="47"/>
      <c r="C1159" s="47"/>
      <c r="D1159" s="78"/>
      <c r="E1159" s="47"/>
      <c r="F1159" s="47"/>
      <c r="G1159" s="47"/>
      <c r="H1159" s="47"/>
      <c r="I1159" s="48"/>
      <c r="J1159" s="47"/>
      <c r="K1159" s="47"/>
      <c r="L1159" s="47"/>
      <c r="M1159" s="47"/>
      <c r="N1159" s="48"/>
      <c r="O1159" s="48"/>
    </row>
    <row r="1160" spans="2:15" x14ac:dyDescent="0.2">
      <c r="B1160" s="47"/>
      <c r="C1160" s="47"/>
      <c r="D1160" s="78"/>
      <c r="E1160" s="47"/>
      <c r="F1160" s="47"/>
      <c r="G1160" s="47"/>
      <c r="H1160" s="47"/>
      <c r="I1160" s="48"/>
      <c r="J1160" s="47"/>
      <c r="K1160" s="47"/>
      <c r="L1160" s="47"/>
      <c r="M1160" s="47"/>
      <c r="N1160" s="48"/>
      <c r="O1160" s="48"/>
    </row>
    <row r="1161" spans="2:15" x14ac:dyDescent="0.2">
      <c r="B1161" s="47"/>
      <c r="C1161" s="47"/>
      <c r="D1161" s="78"/>
      <c r="E1161" s="47"/>
      <c r="F1161" s="47"/>
      <c r="G1161" s="47"/>
      <c r="H1161" s="47"/>
      <c r="I1161" s="48"/>
      <c r="J1161" s="47"/>
      <c r="K1161" s="47"/>
      <c r="L1161" s="47"/>
      <c r="M1161" s="47"/>
      <c r="N1161" s="48"/>
      <c r="O1161" s="48"/>
    </row>
    <row r="1162" spans="2:15" x14ac:dyDescent="0.2">
      <c r="B1162" s="47"/>
      <c r="C1162" s="47"/>
      <c r="D1162" s="78"/>
      <c r="E1162" s="47"/>
      <c r="F1162" s="47"/>
      <c r="G1162" s="47"/>
      <c r="H1162" s="47"/>
      <c r="I1162" s="48"/>
      <c r="J1162" s="47"/>
      <c r="K1162" s="47"/>
      <c r="L1162" s="47"/>
      <c r="M1162" s="47"/>
      <c r="N1162" s="48"/>
      <c r="O1162" s="48"/>
    </row>
    <row r="1163" spans="2:15" x14ac:dyDescent="0.2">
      <c r="B1163" s="47"/>
      <c r="C1163" s="47"/>
      <c r="D1163" s="78"/>
      <c r="E1163" s="47"/>
      <c r="F1163" s="47"/>
      <c r="G1163" s="47"/>
      <c r="H1163" s="47"/>
      <c r="I1163" s="48"/>
      <c r="J1163" s="47"/>
      <c r="K1163" s="47"/>
      <c r="L1163" s="47"/>
      <c r="M1163" s="47"/>
      <c r="N1163" s="48"/>
      <c r="O1163" s="48"/>
    </row>
    <row r="1164" spans="2:15" x14ac:dyDescent="0.2">
      <c r="B1164" s="47"/>
      <c r="C1164" s="47"/>
      <c r="D1164" s="78"/>
      <c r="E1164" s="47"/>
      <c r="F1164" s="47"/>
      <c r="G1164" s="47"/>
      <c r="H1164" s="47"/>
      <c r="I1164" s="48"/>
      <c r="J1164" s="47"/>
      <c r="K1164" s="47"/>
      <c r="L1164" s="47"/>
      <c r="M1164" s="47"/>
      <c r="N1164" s="48"/>
      <c r="O1164" s="48"/>
    </row>
    <row r="1165" spans="2:15" x14ac:dyDescent="0.2">
      <c r="B1165" s="47"/>
      <c r="C1165" s="47"/>
      <c r="D1165" s="78"/>
      <c r="E1165" s="47"/>
      <c r="F1165" s="47"/>
      <c r="G1165" s="47"/>
      <c r="H1165" s="47"/>
      <c r="I1165" s="48"/>
      <c r="J1165" s="47"/>
      <c r="K1165" s="47"/>
      <c r="L1165" s="47"/>
      <c r="M1165" s="47"/>
      <c r="N1165" s="48"/>
      <c r="O1165" s="48"/>
    </row>
    <row r="1166" spans="2:15" x14ac:dyDescent="0.2">
      <c r="B1166" s="47"/>
      <c r="C1166" s="47"/>
      <c r="D1166" s="78"/>
      <c r="E1166" s="47"/>
      <c r="F1166" s="47"/>
      <c r="G1166" s="47"/>
      <c r="H1166" s="47"/>
      <c r="I1166" s="48"/>
      <c r="J1166" s="47"/>
      <c r="K1166" s="47"/>
      <c r="L1166" s="47"/>
      <c r="M1166" s="47"/>
      <c r="N1166" s="48"/>
      <c r="O1166" s="48"/>
    </row>
    <row r="1167" spans="2:15" x14ac:dyDescent="0.2">
      <c r="B1167" s="47"/>
      <c r="C1167" s="47"/>
      <c r="D1167" s="78"/>
      <c r="E1167" s="47"/>
      <c r="F1167" s="47"/>
      <c r="G1167" s="47"/>
      <c r="H1167" s="47"/>
      <c r="I1167" s="48"/>
      <c r="J1167" s="47"/>
      <c r="K1167" s="47"/>
      <c r="L1167" s="47"/>
      <c r="M1167" s="47"/>
      <c r="N1167" s="48"/>
      <c r="O1167" s="48"/>
    </row>
    <row r="1168" spans="2:15" x14ac:dyDescent="0.2">
      <c r="B1168" s="47"/>
      <c r="C1168" s="47"/>
      <c r="D1168" s="78"/>
      <c r="E1168" s="47"/>
      <c r="F1168" s="47"/>
      <c r="G1168" s="47"/>
      <c r="H1168" s="47"/>
      <c r="I1168" s="48"/>
      <c r="J1168" s="47"/>
      <c r="K1168" s="47"/>
      <c r="L1168" s="47"/>
      <c r="M1168" s="47"/>
      <c r="N1168" s="48"/>
      <c r="O1168" s="48"/>
    </row>
    <row r="1169" spans="2:15" x14ac:dyDescent="0.2">
      <c r="B1169" s="47"/>
      <c r="C1169" s="47"/>
      <c r="D1169" s="78"/>
      <c r="E1169" s="47"/>
      <c r="F1169" s="47"/>
      <c r="G1169" s="47"/>
      <c r="H1169" s="47"/>
      <c r="I1169" s="48"/>
      <c r="J1169" s="47"/>
      <c r="K1169" s="47"/>
      <c r="L1169" s="47"/>
      <c r="M1169" s="47"/>
      <c r="N1169" s="48"/>
      <c r="O1169" s="48"/>
    </row>
    <row r="1170" spans="2:15" x14ac:dyDescent="0.2">
      <c r="B1170" s="47"/>
      <c r="C1170" s="47"/>
      <c r="D1170" s="78"/>
      <c r="E1170" s="47"/>
      <c r="F1170" s="47"/>
      <c r="G1170" s="47"/>
      <c r="H1170" s="47"/>
      <c r="I1170" s="48"/>
      <c r="J1170" s="47"/>
      <c r="K1170" s="47"/>
      <c r="L1170" s="47"/>
      <c r="M1170" s="47"/>
      <c r="N1170" s="48"/>
      <c r="O1170" s="48"/>
    </row>
    <row r="1171" spans="2:15" x14ac:dyDescent="0.2">
      <c r="B1171" s="47"/>
      <c r="C1171" s="47"/>
      <c r="D1171" s="78"/>
      <c r="E1171" s="47"/>
      <c r="F1171" s="47"/>
      <c r="G1171" s="47"/>
      <c r="H1171" s="47"/>
      <c r="I1171" s="48"/>
      <c r="J1171" s="47"/>
      <c r="K1171" s="47"/>
      <c r="L1171" s="47"/>
      <c r="M1171" s="47"/>
      <c r="N1171" s="48"/>
      <c r="O1171" s="48"/>
    </row>
    <row r="1172" spans="2:15" x14ac:dyDescent="0.2">
      <c r="B1172" s="47"/>
      <c r="C1172" s="47"/>
      <c r="D1172" s="78"/>
      <c r="E1172" s="47"/>
      <c r="F1172" s="47"/>
      <c r="G1172" s="47"/>
      <c r="H1172" s="47"/>
      <c r="I1172" s="48"/>
      <c r="J1172" s="47"/>
      <c r="K1172" s="47"/>
      <c r="L1172" s="47"/>
      <c r="M1172" s="47"/>
      <c r="N1172" s="48"/>
      <c r="O1172" s="48"/>
    </row>
    <row r="1173" spans="2:15" x14ac:dyDescent="0.2">
      <c r="B1173" s="47"/>
      <c r="C1173" s="47"/>
      <c r="D1173" s="78"/>
      <c r="E1173" s="47"/>
      <c r="F1173" s="47"/>
      <c r="G1173" s="47"/>
      <c r="H1173" s="47"/>
      <c r="I1173" s="48"/>
      <c r="J1173" s="47"/>
      <c r="K1173" s="47"/>
      <c r="L1173" s="47"/>
      <c r="M1173" s="47"/>
      <c r="N1173" s="48"/>
      <c r="O1173" s="48"/>
    </row>
    <row r="1174" spans="2:15" x14ac:dyDescent="0.2">
      <c r="B1174" s="47"/>
      <c r="C1174" s="47"/>
      <c r="D1174" s="78"/>
      <c r="E1174" s="47"/>
      <c r="F1174" s="47"/>
      <c r="G1174" s="47"/>
      <c r="H1174" s="47"/>
      <c r="I1174" s="48"/>
      <c r="J1174" s="47"/>
      <c r="K1174" s="47"/>
      <c r="L1174" s="47"/>
      <c r="M1174" s="47"/>
      <c r="N1174" s="48"/>
      <c r="O1174" s="48"/>
    </row>
    <row r="1175" spans="2:15" x14ac:dyDescent="0.2">
      <c r="B1175" s="47"/>
      <c r="C1175" s="47"/>
      <c r="D1175" s="78"/>
      <c r="E1175" s="47"/>
      <c r="F1175" s="47"/>
      <c r="G1175" s="47"/>
      <c r="H1175" s="47"/>
      <c r="I1175" s="48"/>
      <c r="J1175" s="47"/>
      <c r="K1175" s="47"/>
      <c r="L1175" s="47"/>
      <c r="M1175" s="47"/>
      <c r="N1175" s="48"/>
      <c r="O1175" s="48"/>
    </row>
    <row r="1176" spans="2:15" x14ac:dyDescent="0.2">
      <c r="B1176" s="47"/>
      <c r="C1176" s="47"/>
      <c r="D1176" s="78"/>
      <c r="E1176" s="47"/>
      <c r="F1176" s="47"/>
      <c r="G1176" s="47"/>
      <c r="H1176" s="47"/>
      <c r="I1176" s="48"/>
      <c r="J1176" s="47"/>
      <c r="K1176" s="47"/>
      <c r="L1176" s="47"/>
      <c r="M1176" s="47"/>
      <c r="N1176" s="48"/>
      <c r="O1176" s="48"/>
    </row>
    <row r="1177" spans="2:15" x14ac:dyDescent="0.2">
      <c r="B1177" s="47"/>
      <c r="C1177" s="47"/>
      <c r="D1177" s="78"/>
      <c r="E1177" s="47"/>
      <c r="F1177" s="47"/>
      <c r="G1177" s="47"/>
      <c r="H1177" s="47"/>
      <c r="I1177" s="48"/>
      <c r="J1177" s="47"/>
      <c r="K1177" s="47"/>
      <c r="L1177" s="47"/>
      <c r="M1177" s="47"/>
      <c r="N1177" s="48"/>
      <c r="O1177" s="48"/>
    </row>
    <row r="1178" spans="2:15" x14ac:dyDescent="0.2">
      <c r="B1178" s="47"/>
      <c r="C1178" s="47"/>
      <c r="D1178" s="78"/>
      <c r="E1178" s="47"/>
      <c r="F1178" s="47"/>
      <c r="G1178" s="47"/>
      <c r="H1178" s="47"/>
      <c r="I1178" s="48"/>
      <c r="J1178" s="47"/>
      <c r="K1178" s="47"/>
      <c r="L1178" s="47"/>
      <c r="M1178" s="47"/>
      <c r="N1178" s="48"/>
      <c r="O1178" s="48"/>
    </row>
    <row r="1179" spans="2:15" x14ac:dyDescent="0.2">
      <c r="B1179" s="47"/>
      <c r="C1179" s="47"/>
      <c r="D1179" s="78"/>
      <c r="E1179" s="47"/>
      <c r="F1179" s="47"/>
      <c r="G1179" s="47"/>
      <c r="H1179" s="47"/>
      <c r="I1179" s="48"/>
      <c r="J1179" s="47"/>
      <c r="K1179" s="47"/>
      <c r="L1179" s="47"/>
      <c r="M1179" s="47"/>
      <c r="N1179" s="48"/>
      <c r="O1179" s="48"/>
    </row>
    <row r="1180" spans="2:15" x14ac:dyDescent="0.2">
      <c r="B1180" s="47"/>
      <c r="C1180" s="47"/>
      <c r="D1180" s="78"/>
      <c r="E1180" s="47"/>
      <c r="F1180" s="47"/>
      <c r="G1180" s="47"/>
      <c r="H1180" s="47"/>
      <c r="I1180" s="48"/>
      <c r="J1180" s="47"/>
      <c r="K1180" s="47"/>
      <c r="L1180" s="47"/>
      <c r="M1180" s="47"/>
      <c r="N1180" s="48"/>
      <c r="O1180" s="48"/>
    </row>
    <row r="1181" spans="2:15" x14ac:dyDescent="0.2">
      <c r="B1181" s="47"/>
      <c r="C1181" s="47"/>
      <c r="D1181" s="78"/>
      <c r="E1181" s="47"/>
      <c r="F1181" s="47"/>
      <c r="G1181" s="47"/>
      <c r="H1181" s="47"/>
      <c r="I1181" s="48"/>
      <c r="J1181" s="47"/>
      <c r="K1181" s="47"/>
      <c r="L1181" s="47"/>
      <c r="M1181" s="47"/>
      <c r="N1181" s="48"/>
      <c r="O1181" s="48"/>
    </row>
    <row r="1182" spans="2:15" x14ac:dyDescent="0.2">
      <c r="B1182" s="47"/>
      <c r="C1182" s="47"/>
      <c r="D1182" s="78"/>
      <c r="E1182" s="47"/>
      <c r="F1182" s="47"/>
      <c r="G1182" s="47"/>
      <c r="H1182" s="47"/>
      <c r="I1182" s="48"/>
      <c r="J1182" s="47"/>
      <c r="K1182" s="47"/>
      <c r="L1182" s="47"/>
      <c r="M1182" s="47"/>
      <c r="N1182" s="48"/>
      <c r="O1182" s="48"/>
    </row>
    <row r="1183" spans="2:15" x14ac:dyDescent="0.2">
      <c r="B1183" s="47"/>
      <c r="C1183" s="47"/>
      <c r="D1183" s="78"/>
      <c r="E1183" s="47"/>
      <c r="F1183" s="47"/>
      <c r="G1183" s="47"/>
      <c r="H1183" s="47"/>
      <c r="I1183" s="48"/>
      <c r="J1183" s="47"/>
      <c r="K1183" s="47"/>
      <c r="L1183" s="47"/>
      <c r="M1183" s="47"/>
      <c r="N1183" s="48"/>
      <c r="O1183" s="48"/>
    </row>
    <row r="1184" spans="2:15" x14ac:dyDescent="0.2">
      <c r="B1184" s="47"/>
      <c r="C1184" s="47"/>
      <c r="D1184" s="78"/>
      <c r="E1184" s="47"/>
      <c r="F1184" s="47"/>
      <c r="G1184" s="47"/>
      <c r="H1184" s="47"/>
      <c r="I1184" s="48"/>
      <c r="J1184" s="47"/>
      <c r="K1184" s="47"/>
      <c r="L1184" s="47"/>
      <c r="M1184" s="47"/>
      <c r="N1184" s="48"/>
      <c r="O1184" s="48"/>
    </row>
    <row r="1185" spans="2:15" x14ac:dyDescent="0.2">
      <c r="B1185" s="47"/>
      <c r="C1185" s="47"/>
      <c r="D1185" s="78"/>
      <c r="E1185" s="47"/>
      <c r="F1185" s="47"/>
      <c r="G1185" s="47"/>
      <c r="H1185" s="47"/>
      <c r="I1185" s="48"/>
      <c r="J1185" s="47"/>
      <c r="K1185" s="47"/>
      <c r="L1185" s="47"/>
      <c r="M1185" s="47"/>
      <c r="N1185" s="48"/>
      <c r="O1185" s="48"/>
    </row>
    <row r="1186" spans="2:15" x14ac:dyDescent="0.2">
      <c r="B1186" s="47"/>
      <c r="C1186" s="47"/>
      <c r="D1186" s="78"/>
      <c r="E1186" s="47"/>
      <c r="F1186" s="47"/>
      <c r="G1186" s="47"/>
      <c r="H1186" s="47"/>
      <c r="I1186" s="48"/>
      <c r="J1186" s="47"/>
      <c r="K1186" s="47"/>
      <c r="L1186" s="47"/>
      <c r="M1186" s="47"/>
      <c r="N1186" s="48"/>
      <c r="O1186" s="48"/>
    </row>
    <row r="1187" spans="2:15" x14ac:dyDescent="0.2">
      <c r="B1187" s="47"/>
      <c r="C1187" s="47"/>
      <c r="D1187" s="78"/>
      <c r="E1187" s="47"/>
      <c r="F1187" s="47"/>
      <c r="G1187" s="47"/>
      <c r="H1187" s="47"/>
      <c r="I1187" s="48"/>
      <c r="J1187" s="47"/>
      <c r="K1187" s="47"/>
      <c r="L1187" s="47"/>
      <c r="M1187" s="47"/>
      <c r="N1187" s="48"/>
      <c r="O1187" s="48"/>
    </row>
    <row r="1188" spans="2:15" x14ac:dyDescent="0.2">
      <c r="B1188" s="47"/>
      <c r="C1188" s="47"/>
      <c r="D1188" s="78"/>
      <c r="E1188" s="47"/>
      <c r="F1188" s="47"/>
      <c r="G1188" s="47"/>
      <c r="H1188" s="47"/>
      <c r="I1188" s="48"/>
      <c r="J1188" s="47"/>
      <c r="K1188" s="47"/>
      <c r="L1188" s="47"/>
      <c r="M1188" s="47"/>
      <c r="N1188" s="48"/>
      <c r="O1188" s="48"/>
    </row>
    <row r="1189" spans="2:15" x14ac:dyDescent="0.2">
      <c r="B1189" s="47"/>
      <c r="C1189" s="47"/>
      <c r="D1189" s="78"/>
      <c r="E1189" s="47"/>
      <c r="F1189" s="47"/>
      <c r="G1189" s="47"/>
      <c r="H1189" s="47"/>
      <c r="I1189" s="48"/>
      <c r="J1189" s="47"/>
      <c r="K1189" s="47"/>
      <c r="L1189" s="47"/>
      <c r="M1189" s="47"/>
      <c r="N1189" s="48"/>
      <c r="O1189" s="48"/>
    </row>
    <row r="1190" spans="2:15" x14ac:dyDescent="0.2">
      <c r="B1190" s="47"/>
      <c r="C1190" s="47"/>
      <c r="D1190" s="78"/>
      <c r="E1190" s="47"/>
      <c r="F1190" s="47"/>
      <c r="G1190" s="47"/>
      <c r="H1190" s="47"/>
      <c r="I1190" s="48"/>
      <c r="J1190" s="47"/>
      <c r="K1190" s="47"/>
      <c r="L1190" s="47"/>
      <c r="M1190" s="47"/>
      <c r="N1190" s="48"/>
      <c r="O1190" s="48"/>
    </row>
    <row r="1191" spans="2:15" x14ac:dyDescent="0.2">
      <c r="B1191" s="47"/>
      <c r="C1191" s="47"/>
      <c r="D1191" s="78"/>
      <c r="E1191" s="47"/>
      <c r="F1191" s="47"/>
      <c r="G1191" s="47"/>
      <c r="H1191" s="47"/>
      <c r="I1191" s="48"/>
      <c r="J1191" s="47"/>
      <c r="K1191" s="47"/>
      <c r="L1191" s="47"/>
      <c r="M1191" s="47"/>
      <c r="N1191" s="48"/>
      <c r="O1191" s="48"/>
    </row>
    <row r="1192" spans="2:15" x14ac:dyDescent="0.2">
      <c r="B1192" s="47"/>
      <c r="C1192" s="47"/>
      <c r="D1192" s="78"/>
      <c r="E1192" s="47"/>
      <c r="F1192" s="47"/>
      <c r="G1192" s="47"/>
      <c r="H1192" s="47"/>
      <c r="I1192" s="48"/>
      <c r="J1192" s="47"/>
      <c r="K1192" s="47"/>
      <c r="L1192" s="47"/>
      <c r="M1192" s="47"/>
      <c r="N1192" s="48"/>
      <c r="O1192" s="48"/>
    </row>
    <row r="1193" spans="2:15" x14ac:dyDescent="0.2">
      <c r="B1193" s="47"/>
      <c r="C1193" s="47"/>
      <c r="D1193" s="78"/>
      <c r="E1193" s="47"/>
      <c r="F1193" s="47"/>
      <c r="G1193" s="47"/>
      <c r="H1193" s="47"/>
      <c r="I1193" s="48"/>
      <c r="J1193" s="47"/>
      <c r="K1193" s="47"/>
      <c r="L1193" s="47"/>
      <c r="M1193" s="47"/>
      <c r="N1193" s="48"/>
      <c r="O1193" s="48"/>
    </row>
    <row r="1194" spans="2:15" x14ac:dyDescent="0.2">
      <c r="B1194" s="47"/>
      <c r="C1194" s="47"/>
      <c r="D1194" s="78"/>
      <c r="E1194" s="47"/>
      <c r="F1194" s="47"/>
      <c r="G1194" s="47"/>
      <c r="H1194" s="47"/>
      <c r="I1194" s="48"/>
      <c r="J1194" s="47"/>
      <c r="K1194" s="47"/>
      <c r="L1194" s="47"/>
      <c r="M1194" s="47"/>
      <c r="N1194" s="48"/>
      <c r="O1194" s="48"/>
    </row>
    <row r="1195" spans="2:15" x14ac:dyDescent="0.2">
      <c r="B1195" s="47"/>
      <c r="C1195" s="47"/>
      <c r="D1195" s="78"/>
      <c r="E1195" s="47"/>
      <c r="F1195" s="47"/>
      <c r="G1195" s="47"/>
      <c r="H1195" s="47"/>
      <c r="I1195" s="48"/>
      <c r="J1195" s="47"/>
      <c r="K1195" s="47"/>
      <c r="L1195" s="47"/>
      <c r="M1195" s="47"/>
      <c r="N1195" s="48"/>
      <c r="O1195" s="48"/>
    </row>
    <row r="1196" spans="2:15" x14ac:dyDescent="0.2">
      <c r="B1196" s="47"/>
      <c r="C1196" s="47"/>
      <c r="D1196" s="78"/>
      <c r="E1196" s="47"/>
      <c r="F1196" s="47"/>
      <c r="G1196" s="47"/>
      <c r="H1196" s="47"/>
      <c r="I1196" s="48"/>
      <c r="J1196" s="47"/>
      <c r="K1196" s="47"/>
      <c r="L1196" s="47"/>
      <c r="M1196" s="47"/>
      <c r="N1196" s="48"/>
      <c r="O1196" s="48"/>
    </row>
    <row r="1197" spans="2:15" x14ac:dyDescent="0.2">
      <c r="B1197" s="47"/>
      <c r="C1197" s="47"/>
      <c r="D1197" s="78"/>
      <c r="E1197" s="47"/>
      <c r="F1197" s="47"/>
      <c r="G1197" s="47"/>
      <c r="H1197" s="47"/>
      <c r="I1197" s="48"/>
      <c r="J1197" s="47"/>
      <c r="K1197" s="47"/>
      <c r="L1197" s="47"/>
      <c r="M1197" s="47"/>
      <c r="N1197" s="48"/>
      <c r="O1197" s="48"/>
    </row>
    <row r="1198" spans="2:15" x14ac:dyDescent="0.2">
      <c r="B1198" s="47"/>
      <c r="C1198" s="47"/>
      <c r="D1198" s="78"/>
      <c r="E1198" s="47"/>
      <c r="F1198" s="47"/>
      <c r="G1198" s="47"/>
      <c r="H1198" s="47"/>
      <c r="I1198" s="48"/>
      <c r="J1198" s="47"/>
      <c r="K1198" s="47"/>
      <c r="L1198" s="47"/>
      <c r="M1198" s="47"/>
      <c r="N1198" s="48"/>
      <c r="O1198" s="48"/>
    </row>
    <row r="1199" spans="2:15" x14ac:dyDescent="0.2">
      <c r="B1199" s="47"/>
      <c r="C1199" s="47"/>
      <c r="D1199" s="78"/>
      <c r="E1199" s="47"/>
      <c r="F1199" s="47"/>
      <c r="G1199" s="47"/>
      <c r="H1199" s="47"/>
      <c r="I1199" s="48"/>
      <c r="J1199" s="47"/>
      <c r="K1199" s="47"/>
      <c r="L1199" s="47"/>
      <c r="M1199" s="47"/>
      <c r="N1199" s="48"/>
      <c r="O1199" s="48"/>
    </row>
    <row r="1200" spans="2:15" x14ac:dyDescent="0.2">
      <c r="B1200" s="47"/>
      <c r="C1200" s="47"/>
      <c r="D1200" s="78"/>
      <c r="E1200" s="47"/>
      <c r="F1200" s="47"/>
      <c r="G1200" s="47"/>
      <c r="H1200" s="47"/>
      <c r="I1200" s="48"/>
      <c r="J1200" s="47"/>
      <c r="K1200" s="47"/>
      <c r="L1200" s="47"/>
      <c r="M1200" s="47"/>
      <c r="N1200" s="48"/>
      <c r="O1200" s="48"/>
    </row>
    <row r="1201" spans="2:15" x14ac:dyDescent="0.2">
      <c r="B1201" s="47"/>
      <c r="C1201" s="47"/>
      <c r="D1201" s="78"/>
      <c r="E1201" s="47"/>
      <c r="F1201" s="47"/>
      <c r="G1201" s="47"/>
      <c r="H1201" s="47"/>
      <c r="I1201" s="48"/>
      <c r="J1201" s="47"/>
      <c r="K1201" s="47"/>
      <c r="L1201" s="47"/>
      <c r="M1201" s="47"/>
      <c r="N1201" s="48"/>
      <c r="O1201" s="48"/>
    </row>
    <row r="1202" spans="2:15" x14ac:dyDescent="0.2">
      <c r="B1202" s="47"/>
      <c r="C1202" s="47"/>
      <c r="D1202" s="78"/>
      <c r="E1202" s="47"/>
      <c r="F1202" s="47"/>
      <c r="G1202" s="47"/>
      <c r="H1202" s="47"/>
      <c r="I1202" s="48"/>
      <c r="J1202" s="47"/>
      <c r="K1202" s="47"/>
      <c r="L1202" s="47"/>
      <c r="M1202" s="47"/>
      <c r="N1202" s="48"/>
      <c r="O1202" s="48"/>
    </row>
    <row r="1203" spans="2:15" x14ac:dyDescent="0.2">
      <c r="B1203" s="47"/>
      <c r="C1203" s="47"/>
      <c r="D1203" s="78"/>
      <c r="E1203" s="47"/>
      <c r="F1203" s="47"/>
      <c r="G1203" s="47"/>
      <c r="H1203" s="47"/>
      <c r="I1203" s="48"/>
      <c r="J1203" s="47"/>
      <c r="K1203" s="47"/>
      <c r="L1203" s="47"/>
      <c r="M1203" s="47"/>
      <c r="N1203" s="48"/>
      <c r="O1203" s="48"/>
    </row>
    <row r="1204" spans="2:15" x14ac:dyDescent="0.2">
      <c r="B1204" s="47"/>
      <c r="C1204" s="47"/>
      <c r="D1204" s="78"/>
      <c r="E1204" s="47"/>
      <c r="F1204" s="47"/>
      <c r="G1204" s="47"/>
      <c r="H1204" s="47"/>
      <c r="I1204" s="48"/>
      <c r="J1204" s="47"/>
      <c r="K1204" s="47"/>
      <c r="L1204" s="47"/>
      <c r="M1204" s="47"/>
      <c r="N1204" s="48"/>
      <c r="O1204" s="48"/>
    </row>
    <row r="1205" spans="2:15" x14ac:dyDescent="0.2">
      <c r="B1205" s="47"/>
      <c r="C1205" s="47"/>
      <c r="D1205" s="78"/>
      <c r="E1205" s="47"/>
      <c r="F1205" s="47"/>
      <c r="G1205" s="47"/>
      <c r="H1205" s="47"/>
      <c r="I1205" s="48"/>
      <c r="J1205" s="47"/>
      <c r="K1205" s="47"/>
      <c r="L1205" s="47"/>
      <c r="M1205" s="47"/>
      <c r="N1205" s="48"/>
      <c r="O1205" s="48"/>
    </row>
    <row r="1206" spans="2:15" x14ac:dyDescent="0.2">
      <c r="B1206" s="47"/>
      <c r="C1206" s="47"/>
      <c r="D1206" s="78"/>
      <c r="E1206" s="47"/>
      <c r="F1206" s="47"/>
      <c r="G1206" s="47"/>
      <c r="H1206" s="47"/>
      <c r="I1206" s="48"/>
      <c r="J1206" s="47"/>
      <c r="K1206" s="47"/>
      <c r="L1206" s="47"/>
      <c r="M1206" s="47"/>
      <c r="N1206" s="48"/>
      <c r="O1206" s="48"/>
    </row>
    <row r="1207" spans="2:15" x14ac:dyDescent="0.2">
      <c r="B1207" s="47"/>
      <c r="C1207" s="47"/>
      <c r="D1207" s="78"/>
      <c r="E1207" s="47"/>
      <c r="F1207" s="47"/>
      <c r="G1207" s="47"/>
      <c r="H1207" s="47"/>
      <c r="I1207" s="48"/>
      <c r="J1207" s="47"/>
      <c r="K1207" s="47"/>
      <c r="L1207" s="47"/>
      <c r="M1207" s="47"/>
      <c r="N1207" s="48"/>
      <c r="O1207" s="48"/>
    </row>
    <row r="1208" spans="2:15" x14ac:dyDescent="0.2">
      <c r="B1208" s="47"/>
      <c r="C1208" s="47"/>
      <c r="D1208" s="78"/>
      <c r="E1208" s="47"/>
      <c r="F1208" s="47"/>
      <c r="G1208" s="47"/>
      <c r="H1208" s="47"/>
      <c r="I1208" s="48"/>
      <c r="J1208" s="47"/>
      <c r="K1208" s="47"/>
      <c r="L1208" s="47"/>
      <c r="M1208" s="47"/>
      <c r="N1208" s="48"/>
      <c r="O1208" s="48"/>
    </row>
    <row r="1209" spans="2:15" x14ac:dyDescent="0.2">
      <c r="B1209" s="47"/>
      <c r="C1209" s="47"/>
      <c r="D1209" s="78"/>
      <c r="E1209" s="47"/>
      <c r="F1209" s="47"/>
      <c r="G1209" s="47"/>
      <c r="H1209" s="47"/>
      <c r="I1209" s="48"/>
      <c r="J1209" s="47"/>
      <c r="K1209" s="47"/>
      <c r="L1209" s="47"/>
      <c r="M1209" s="47"/>
      <c r="N1209" s="48"/>
      <c r="O1209" s="48"/>
    </row>
    <row r="1210" spans="2:15" x14ac:dyDescent="0.2">
      <c r="B1210" s="47"/>
      <c r="C1210" s="47"/>
      <c r="D1210" s="78"/>
      <c r="E1210" s="47"/>
      <c r="F1210" s="47"/>
      <c r="G1210" s="47"/>
      <c r="H1210" s="47"/>
      <c r="I1210" s="48"/>
      <c r="J1210" s="47"/>
      <c r="K1210" s="47"/>
      <c r="L1210" s="47"/>
      <c r="M1210" s="47"/>
      <c r="N1210" s="48"/>
      <c r="O1210" s="48"/>
    </row>
    <row r="1211" spans="2:15" x14ac:dyDescent="0.2">
      <c r="B1211" s="47"/>
      <c r="C1211" s="47"/>
      <c r="D1211" s="78"/>
      <c r="E1211" s="47"/>
      <c r="F1211" s="47"/>
      <c r="G1211" s="47"/>
      <c r="H1211" s="47"/>
      <c r="I1211" s="48"/>
      <c r="J1211" s="47"/>
      <c r="K1211" s="47"/>
      <c r="L1211" s="47"/>
      <c r="M1211" s="47"/>
      <c r="N1211" s="48"/>
      <c r="O1211" s="48"/>
    </row>
    <row r="1212" spans="2:15" x14ac:dyDescent="0.2">
      <c r="B1212" s="47"/>
      <c r="C1212" s="47"/>
      <c r="D1212" s="78"/>
      <c r="E1212" s="47"/>
      <c r="F1212" s="47"/>
      <c r="G1212" s="47"/>
      <c r="H1212" s="47"/>
      <c r="I1212" s="48"/>
      <c r="J1212" s="47"/>
      <c r="K1212" s="47"/>
      <c r="L1212" s="47"/>
      <c r="M1212" s="47"/>
      <c r="N1212" s="48"/>
      <c r="O1212" s="48"/>
    </row>
    <row r="1213" spans="2:15" x14ac:dyDescent="0.2">
      <c r="B1213" s="47"/>
      <c r="C1213" s="47"/>
      <c r="D1213" s="78"/>
      <c r="E1213" s="47"/>
      <c r="F1213" s="47"/>
      <c r="G1213" s="47"/>
      <c r="H1213" s="47"/>
      <c r="I1213" s="48"/>
      <c r="J1213" s="47"/>
      <c r="K1213" s="47"/>
      <c r="L1213" s="47"/>
      <c r="M1213" s="47"/>
      <c r="N1213" s="48"/>
      <c r="O1213" s="48"/>
    </row>
    <row r="1214" spans="2:15" x14ac:dyDescent="0.2">
      <c r="B1214" s="47"/>
      <c r="C1214" s="47"/>
      <c r="D1214" s="78"/>
      <c r="E1214" s="47"/>
      <c r="F1214" s="47"/>
      <c r="G1214" s="47"/>
      <c r="H1214" s="47"/>
      <c r="I1214" s="48"/>
      <c r="J1214" s="47"/>
      <c r="K1214" s="47"/>
      <c r="L1214" s="47"/>
      <c r="M1214" s="47"/>
      <c r="N1214" s="48"/>
      <c r="O1214" s="48"/>
    </row>
    <row r="1215" spans="2:15" x14ac:dyDescent="0.2">
      <c r="B1215" s="47"/>
      <c r="C1215" s="47"/>
      <c r="D1215" s="78"/>
      <c r="E1215" s="47"/>
      <c r="F1215" s="47"/>
      <c r="G1215" s="47"/>
      <c r="H1215" s="47"/>
      <c r="I1215" s="48"/>
      <c r="J1215" s="47"/>
      <c r="K1215" s="47"/>
      <c r="L1215" s="47"/>
      <c r="M1215" s="47"/>
      <c r="N1215" s="48"/>
      <c r="O1215" s="48"/>
    </row>
    <row r="1216" spans="2:15" x14ac:dyDescent="0.2">
      <c r="B1216" s="47"/>
      <c r="C1216" s="47"/>
      <c r="D1216" s="78"/>
      <c r="E1216" s="47"/>
      <c r="F1216" s="47"/>
      <c r="G1216" s="47"/>
      <c r="H1216" s="47"/>
      <c r="I1216" s="48"/>
      <c r="J1216" s="47"/>
      <c r="K1216" s="47"/>
      <c r="L1216" s="47"/>
      <c r="M1216" s="47"/>
      <c r="N1216" s="48"/>
      <c r="O1216" s="48"/>
    </row>
    <row r="1217" spans="2:15" x14ac:dyDescent="0.2">
      <c r="B1217" s="47"/>
      <c r="C1217" s="47"/>
      <c r="D1217" s="78"/>
      <c r="E1217" s="47"/>
      <c r="F1217" s="47"/>
      <c r="G1217" s="47"/>
      <c r="H1217" s="47"/>
      <c r="I1217" s="48"/>
      <c r="J1217" s="47"/>
      <c r="K1217" s="47"/>
      <c r="L1217" s="47"/>
      <c r="M1217" s="47"/>
      <c r="N1217" s="48"/>
      <c r="O1217" s="48"/>
    </row>
    <row r="1218" spans="2:15" x14ac:dyDescent="0.2">
      <c r="B1218" s="47"/>
      <c r="C1218" s="47"/>
      <c r="D1218" s="78"/>
      <c r="E1218" s="47"/>
      <c r="F1218" s="47"/>
      <c r="G1218" s="47"/>
      <c r="H1218" s="47"/>
      <c r="I1218" s="48"/>
      <c r="J1218" s="47"/>
      <c r="K1218" s="47"/>
      <c r="L1218" s="47"/>
      <c r="M1218" s="47"/>
      <c r="N1218" s="48"/>
      <c r="O1218" s="48"/>
    </row>
    <row r="1219" spans="2:15" x14ac:dyDescent="0.2">
      <c r="B1219" s="47"/>
      <c r="C1219" s="47"/>
      <c r="D1219" s="78"/>
      <c r="E1219" s="47"/>
      <c r="F1219" s="47"/>
      <c r="G1219" s="47"/>
      <c r="H1219" s="47"/>
      <c r="I1219" s="48"/>
      <c r="J1219" s="47"/>
      <c r="K1219" s="47"/>
      <c r="L1219" s="47"/>
      <c r="M1219" s="47"/>
      <c r="N1219" s="48"/>
      <c r="O1219" s="48"/>
    </row>
    <row r="1220" spans="2:15" x14ac:dyDescent="0.2">
      <c r="B1220" s="47"/>
      <c r="C1220" s="47"/>
      <c r="D1220" s="78"/>
      <c r="E1220" s="47"/>
      <c r="F1220" s="47"/>
      <c r="G1220" s="47"/>
      <c r="H1220" s="47"/>
      <c r="I1220" s="48"/>
      <c r="J1220" s="47"/>
      <c r="K1220" s="47"/>
      <c r="L1220" s="47"/>
      <c r="M1220" s="47"/>
      <c r="N1220" s="48"/>
      <c r="O1220" s="48"/>
    </row>
    <row r="1221" spans="2:15" x14ac:dyDescent="0.2">
      <c r="B1221" s="47"/>
      <c r="C1221" s="47"/>
      <c r="D1221" s="78"/>
      <c r="E1221" s="47"/>
      <c r="F1221" s="47"/>
      <c r="G1221" s="47"/>
      <c r="H1221" s="47"/>
      <c r="I1221" s="48"/>
      <c r="J1221" s="47"/>
      <c r="K1221" s="47"/>
      <c r="L1221" s="47"/>
      <c r="M1221" s="47"/>
      <c r="N1221" s="48"/>
      <c r="O1221" s="48"/>
    </row>
    <row r="1222" spans="2:15" x14ac:dyDescent="0.2">
      <c r="B1222" s="47"/>
      <c r="C1222" s="47"/>
      <c r="D1222" s="78"/>
      <c r="E1222" s="47"/>
      <c r="F1222" s="47"/>
      <c r="G1222" s="47"/>
      <c r="H1222" s="47"/>
      <c r="I1222" s="48"/>
      <c r="J1222" s="47"/>
      <c r="K1222" s="47"/>
      <c r="L1222" s="47"/>
      <c r="M1222" s="47"/>
      <c r="N1222" s="48"/>
      <c r="O1222" s="48"/>
    </row>
    <row r="1223" spans="2:15" x14ac:dyDescent="0.2">
      <c r="B1223" s="47"/>
      <c r="C1223" s="47"/>
      <c r="D1223" s="78"/>
      <c r="E1223" s="47"/>
      <c r="F1223" s="47"/>
      <c r="G1223" s="47"/>
      <c r="H1223" s="47"/>
      <c r="I1223" s="48"/>
      <c r="J1223" s="47"/>
      <c r="K1223" s="47"/>
      <c r="L1223" s="47"/>
      <c r="M1223" s="47"/>
      <c r="N1223" s="48"/>
      <c r="O1223" s="48"/>
    </row>
    <row r="1224" spans="2:15" x14ac:dyDescent="0.2">
      <c r="B1224" s="47"/>
      <c r="C1224" s="47"/>
      <c r="D1224" s="78"/>
      <c r="E1224" s="47"/>
      <c r="F1224" s="47"/>
      <c r="G1224" s="47"/>
      <c r="H1224" s="47"/>
      <c r="I1224" s="48"/>
      <c r="J1224" s="47"/>
      <c r="K1224" s="47"/>
      <c r="L1224" s="47"/>
      <c r="M1224" s="47"/>
      <c r="N1224" s="48"/>
      <c r="O1224" s="48"/>
    </row>
    <row r="1225" spans="2:15" x14ac:dyDescent="0.2">
      <c r="B1225" s="47"/>
      <c r="C1225" s="47"/>
      <c r="D1225" s="78"/>
      <c r="E1225" s="47"/>
      <c r="F1225" s="47"/>
      <c r="G1225" s="47"/>
      <c r="H1225" s="47"/>
      <c r="I1225" s="48"/>
      <c r="J1225" s="47"/>
      <c r="K1225" s="47"/>
      <c r="L1225" s="47"/>
      <c r="M1225" s="47"/>
      <c r="N1225" s="48"/>
      <c r="O1225" s="48"/>
    </row>
    <row r="1226" spans="2:15" x14ac:dyDescent="0.2">
      <c r="B1226" s="47"/>
      <c r="C1226" s="47"/>
      <c r="D1226" s="78"/>
      <c r="E1226" s="47"/>
      <c r="F1226" s="47"/>
      <c r="G1226" s="47"/>
      <c r="H1226" s="47"/>
      <c r="I1226" s="48"/>
      <c r="J1226" s="47"/>
      <c r="K1226" s="47"/>
      <c r="L1226" s="47"/>
      <c r="M1226" s="47"/>
      <c r="N1226" s="48"/>
      <c r="O1226" s="48"/>
    </row>
    <row r="1227" spans="2:15" x14ac:dyDescent="0.2">
      <c r="B1227" s="47"/>
      <c r="C1227" s="47"/>
      <c r="D1227" s="78"/>
      <c r="E1227" s="47"/>
      <c r="F1227" s="47"/>
      <c r="G1227" s="47"/>
      <c r="H1227" s="47"/>
      <c r="I1227" s="48"/>
      <c r="J1227" s="47"/>
      <c r="K1227" s="47"/>
      <c r="L1227" s="47"/>
      <c r="M1227" s="47"/>
      <c r="N1227" s="48"/>
      <c r="O1227" s="48"/>
    </row>
    <row r="1228" spans="2:15" x14ac:dyDescent="0.2">
      <c r="B1228" s="47"/>
      <c r="C1228" s="47"/>
      <c r="D1228" s="78"/>
      <c r="E1228" s="47"/>
      <c r="F1228" s="47"/>
      <c r="G1228" s="47"/>
      <c r="H1228" s="47"/>
      <c r="I1228" s="48"/>
      <c r="J1228" s="47"/>
      <c r="K1228" s="47"/>
      <c r="L1228" s="47"/>
      <c r="M1228" s="47"/>
      <c r="N1228" s="48"/>
      <c r="O1228" s="48"/>
    </row>
    <row r="1229" spans="2:15" x14ac:dyDescent="0.2">
      <c r="B1229" s="47"/>
      <c r="C1229" s="47"/>
      <c r="D1229" s="78"/>
      <c r="E1229" s="47"/>
      <c r="F1229" s="47"/>
      <c r="G1229" s="47"/>
      <c r="H1229" s="47"/>
      <c r="I1229" s="48"/>
      <c r="J1229" s="47"/>
      <c r="K1229" s="47"/>
      <c r="L1229" s="47"/>
      <c r="M1229" s="47"/>
      <c r="N1229" s="48"/>
      <c r="O1229" s="48"/>
    </row>
    <row r="1230" spans="2:15" x14ac:dyDescent="0.2">
      <c r="B1230" s="47"/>
      <c r="C1230" s="47"/>
      <c r="D1230" s="78"/>
      <c r="E1230" s="47"/>
      <c r="F1230" s="47"/>
      <c r="G1230" s="47"/>
      <c r="H1230" s="47"/>
      <c r="I1230" s="48"/>
      <c r="J1230" s="47"/>
      <c r="K1230" s="47"/>
      <c r="L1230" s="47"/>
      <c r="M1230" s="47"/>
      <c r="N1230" s="48"/>
      <c r="O1230" s="48"/>
    </row>
    <row r="1231" spans="2:15" x14ac:dyDescent="0.2">
      <c r="B1231" s="47"/>
      <c r="C1231" s="47"/>
      <c r="D1231" s="78"/>
      <c r="E1231" s="47"/>
      <c r="F1231" s="47"/>
      <c r="G1231" s="47"/>
      <c r="H1231" s="47"/>
      <c r="I1231" s="48"/>
      <c r="J1231" s="47"/>
      <c r="K1231" s="47"/>
      <c r="L1231" s="47"/>
      <c r="M1231" s="47"/>
      <c r="N1231" s="48"/>
      <c r="O1231" s="48"/>
    </row>
    <row r="1232" spans="2:15" x14ac:dyDescent="0.2">
      <c r="B1232" s="47"/>
      <c r="C1232" s="47"/>
      <c r="D1232" s="78"/>
      <c r="E1232" s="47"/>
      <c r="F1232" s="47"/>
      <c r="G1232" s="47"/>
      <c r="H1232" s="47"/>
      <c r="I1232" s="48"/>
      <c r="J1232" s="47"/>
      <c r="K1232" s="47"/>
      <c r="L1232" s="47"/>
      <c r="M1232" s="47"/>
      <c r="N1232" s="48"/>
      <c r="O1232" s="48"/>
    </row>
    <row r="1233" spans="2:15" x14ac:dyDescent="0.2">
      <c r="B1233" s="47"/>
      <c r="C1233" s="47"/>
      <c r="D1233" s="78"/>
      <c r="E1233" s="47"/>
      <c r="F1233" s="47"/>
      <c r="G1233" s="47"/>
      <c r="H1233" s="47"/>
      <c r="I1233" s="48"/>
      <c r="J1233" s="47"/>
      <c r="K1233" s="47"/>
      <c r="L1233" s="47"/>
      <c r="M1233" s="47"/>
      <c r="N1233" s="48"/>
      <c r="O1233" s="48"/>
    </row>
    <row r="1234" spans="2:15" x14ac:dyDescent="0.2">
      <c r="B1234" s="47"/>
      <c r="C1234" s="47"/>
      <c r="D1234" s="78"/>
      <c r="E1234" s="47"/>
      <c r="F1234" s="47"/>
      <c r="G1234" s="47"/>
      <c r="H1234" s="47"/>
      <c r="I1234" s="48"/>
      <c r="J1234" s="47"/>
      <c r="K1234" s="47"/>
      <c r="L1234" s="47"/>
      <c r="M1234" s="47"/>
      <c r="N1234" s="48"/>
      <c r="O1234" s="48"/>
    </row>
    <row r="1235" spans="2:15" x14ac:dyDescent="0.2">
      <c r="B1235" s="47"/>
      <c r="C1235" s="47"/>
      <c r="D1235" s="78"/>
      <c r="E1235" s="47"/>
      <c r="F1235" s="47"/>
      <c r="G1235" s="47"/>
      <c r="H1235" s="47"/>
      <c r="I1235" s="48"/>
      <c r="J1235" s="47"/>
      <c r="K1235" s="47"/>
      <c r="L1235" s="47"/>
      <c r="M1235" s="47"/>
      <c r="N1235" s="48"/>
      <c r="O1235" s="48"/>
    </row>
    <row r="1236" spans="2:15" x14ac:dyDescent="0.2">
      <c r="B1236" s="47"/>
      <c r="C1236" s="47"/>
      <c r="D1236" s="78"/>
      <c r="E1236" s="47"/>
      <c r="F1236" s="47"/>
      <c r="G1236" s="47"/>
      <c r="H1236" s="47"/>
      <c r="I1236" s="48"/>
      <c r="J1236" s="47"/>
      <c r="K1236" s="47"/>
      <c r="L1236" s="47"/>
      <c r="M1236" s="47"/>
      <c r="N1236" s="48"/>
      <c r="O1236" s="48"/>
    </row>
    <row r="1237" spans="2:15" x14ac:dyDescent="0.2">
      <c r="B1237" s="47"/>
      <c r="C1237" s="47"/>
      <c r="D1237" s="78"/>
      <c r="E1237" s="47"/>
      <c r="F1237" s="47"/>
      <c r="G1237" s="47"/>
      <c r="H1237" s="47"/>
      <c r="I1237" s="48"/>
      <c r="J1237" s="47"/>
      <c r="K1237" s="47"/>
      <c r="L1237" s="47"/>
      <c r="M1237" s="47"/>
      <c r="N1237" s="48"/>
      <c r="O1237" s="48"/>
    </row>
    <row r="1238" spans="2:15" x14ac:dyDescent="0.2">
      <c r="B1238" s="47"/>
      <c r="C1238" s="47"/>
      <c r="D1238" s="78"/>
      <c r="E1238" s="47"/>
      <c r="F1238" s="47"/>
      <c r="G1238" s="47"/>
      <c r="H1238" s="47"/>
      <c r="I1238" s="48"/>
      <c r="J1238" s="47"/>
      <c r="K1238" s="47"/>
      <c r="L1238" s="47"/>
      <c r="M1238" s="47"/>
      <c r="N1238" s="48"/>
      <c r="O1238" s="48"/>
    </row>
    <row r="1239" spans="2:15" x14ac:dyDescent="0.2">
      <c r="B1239" s="47"/>
      <c r="C1239" s="47"/>
      <c r="D1239" s="78"/>
      <c r="E1239" s="47"/>
      <c r="F1239" s="47"/>
      <c r="G1239" s="47"/>
      <c r="H1239" s="47"/>
      <c r="I1239" s="48"/>
      <c r="J1239" s="47"/>
      <c r="K1239" s="47"/>
      <c r="L1239" s="47"/>
      <c r="M1239" s="47"/>
      <c r="N1239" s="48"/>
      <c r="O1239" s="48"/>
    </row>
    <row r="1240" spans="2:15" x14ac:dyDescent="0.2">
      <c r="B1240" s="47"/>
      <c r="C1240" s="47"/>
      <c r="D1240" s="78"/>
      <c r="E1240" s="47"/>
      <c r="F1240" s="47"/>
      <c r="G1240" s="47"/>
      <c r="H1240" s="47"/>
      <c r="I1240" s="48"/>
      <c r="J1240" s="47"/>
      <c r="K1240" s="47"/>
      <c r="L1240" s="47"/>
      <c r="M1240" s="47"/>
      <c r="N1240" s="48"/>
      <c r="O1240" s="48"/>
    </row>
    <row r="1241" spans="2:15" x14ac:dyDescent="0.2">
      <c r="B1241" s="47"/>
      <c r="C1241" s="47"/>
      <c r="D1241" s="78"/>
      <c r="E1241" s="47"/>
      <c r="F1241" s="47"/>
      <c r="G1241" s="47"/>
      <c r="H1241" s="47"/>
      <c r="I1241" s="48"/>
      <c r="J1241" s="47"/>
      <c r="K1241" s="47"/>
      <c r="L1241" s="47"/>
      <c r="M1241" s="47"/>
      <c r="N1241" s="48"/>
      <c r="O1241" s="48"/>
    </row>
    <row r="1242" spans="2:15" x14ac:dyDescent="0.2">
      <c r="B1242" s="47"/>
      <c r="C1242" s="47"/>
      <c r="D1242" s="78"/>
      <c r="E1242" s="47"/>
      <c r="F1242" s="47"/>
      <c r="G1242" s="47"/>
      <c r="H1242" s="47"/>
      <c r="I1242" s="48"/>
      <c r="J1242" s="47"/>
      <c r="K1242" s="47"/>
      <c r="L1242" s="47"/>
      <c r="M1242" s="47"/>
      <c r="N1242" s="48"/>
      <c r="O1242" s="48"/>
    </row>
    <row r="1243" spans="2:15" x14ac:dyDescent="0.2">
      <c r="B1243" s="47"/>
      <c r="C1243" s="47"/>
      <c r="D1243" s="78"/>
      <c r="E1243" s="47"/>
      <c r="F1243" s="47"/>
      <c r="G1243" s="47"/>
      <c r="H1243" s="47"/>
      <c r="I1243" s="48"/>
      <c r="J1243" s="47"/>
      <c r="K1243" s="47"/>
      <c r="L1243" s="47"/>
      <c r="M1243" s="47"/>
      <c r="N1243" s="48"/>
      <c r="O1243" s="48"/>
    </row>
    <row r="1244" spans="2:15" x14ac:dyDescent="0.2">
      <c r="B1244" s="47"/>
      <c r="C1244" s="47"/>
      <c r="D1244" s="78"/>
      <c r="E1244" s="47"/>
      <c r="F1244" s="47"/>
      <c r="G1244" s="47"/>
      <c r="H1244" s="47"/>
      <c r="I1244" s="48"/>
      <c r="J1244" s="47"/>
      <c r="K1244" s="47"/>
      <c r="L1244" s="47"/>
      <c r="M1244" s="47"/>
      <c r="N1244" s="48"/>
      <c r="O1244" s="48"/>
    </row>
    <row r="1245" spans="2:15" x14ac:dyDescent="0.2">
      <c r="B1245" s="47"/>
      <c r="C1245" s="47"/>
      <c r="D1245" s="78"/>
      <c r="E1245" s="47"/>
      <c r="F1245" s="47"/>
      <c r="G1245" s="47"/>
      <c r="H1245" s="47"/>
      <c r="I1245" s="48"/>
      <c r="J1245" s="47"/>
      <c r="K1245" s="47"/>
      <c r="L1245" s="47"/>
      <c r="M1245" s="47"/>
      <c r="N1245" s="48"/>
      <c r="O1245" s="48"/>
    </row>
    <row r="1246" spans="2:15" x14ac:dyDescent="0.2">
      <c r="B1246" s="47"/>
      <c r="C1246" s="47"/>
      <c r="D1246" s="78"/>
      <c r="E1246" s="47"/>
      <c r="F1246" s="47"/>
      <c r="G1246" s="47"/>
      <c r="H1246" s="47"/>
      <c r="I1246" s="48"/>
      <c r="J1246" s="47"/>
      <c r="K1246" s="47"/>
      <c r="L1246" s="47"/>
      <c r="M1246" s="47"/>
      <c r="N1246" s="48"/>
      <c r="O1246" s="48"/>
    </row>
    <row r="1247" spans="2:15" x14ac:dyDescent="0.2">
      <c r="B1247" s="47"/>
      <c r="C1247" s="47"/>
      <c r="D1247" s="78"/>
      <c r="E1247" s="47"/>
      <c r="F1247" s="47"/>
      <c r="G1247" s="47"/>
      <c r="H1247" s="47"/>
      <c r="I1247" s="48"/>
      <c r="J1247" s="47"/>
      <c r="K1247" s="47"/>
      <c r="L1247" s="47"/>
      <c r="M1247" s="47"/>
      <c r="N1247" s="48"/>
      <c r="O1247" s="48"/>
    </row>
    <row r="1248" spans="2:15" x14ac:dyDescent="0.2">
      <c r="B1248" s="47"/>
      <c r="C1248" s="47"/>
      <c r="D1248" s="78"/>
      <c r="E1248" s="47"/>
      <c r="F1248" s="47"/>
      <c r="G1248" s="47"/>
      <c r="H1248" s="47"/>
      <c r="I1248" s="48"/>
      <c r="J1248" s="47"/>
      <c r="K1248" s="47"/>
      <c r="L1248" s="47"/>
      <c r="M1248" s="47"/>
      <c r="N1248" s="48"/>
      <c r="O1248" s="48"/>
    </row>
    <row r="1249" spans="2:15" x14ac:dyDescent="0.2">
      <c r="B1249" s="47"/>
      <c r="C1249" s="47"/>
      <c r="D1249" s="78"/>
      <c r="E1249" s="47"/>
      <c r="F1249" s="47"/>
      <c r="G1249" s="47"/>
      <c r="H1249" s="47"/>
      <c r="I1249" s="48"/>
      <c r="J1249" s="47"/>
      <c r="K1249" s="47"/>
      <c r="L1249" s="47"/>
      <c r="M1249" s="47"/>
      <c r="N1249" s="48"/>
      <c r="O1249" s="48"/>
    </row>
    <row r="1250" spans="2:15" x14ac:dyDescent="0.2">
      <c r="B1250" s="47"/>
      <c r="C1250" s="47"/>
      <c r="D1250" s="78"/>
      <c r="E1250" s="47"/>
      <c r="F1250" s="47"/>
      <c r="G1250" s="47"/>
      <c r="H1250" s="47"/>
      <c r="I1250" s="48"/>
      <c r="J1250" s="47"/>
      <c r="K1250" s="47"/>
      <c r="L1250" s="47"/>
      <c r="M1250" s="47"/>
      <c r="N1250" s="48"/>
      <c r="O1250" s="48"/>
    </row>
    <row r="1251" spans="2:15" x14ac:dyDescent="0.2">
      <c r="B1251" s="47"/>
      <c r="C1251" s="47"/>
      <c r="D1251" s="78"/>
      <c r="E1251" s="47"/>
      <c r="F1251" s="47"/>
      <c r="G1251" s="47"/>
      <c r="H1251" s="47"/>
      <c r="I1251" s="48"/>
      <c r="J1251" s="47"/>
      <c r="K1251" s="47"/>
      <c r="L1251" s="47"/>
      <c r="M1251" s="47"/>
      <c r="N1251" s="48"/>
      <c r="O1251" s="48"/>
    </row>
    <row r="1252" spans="2:15" x14ac:dyDescent="0.2">
      <c r="B1252" s="47"/>
      <c r="C1252" s="47"/>
      <c r="D1252" s="78"/>
      <c r="E1252" s="47"/>
      <c r="F1252" s="47"/>
      <c r="G1252" s="47"/>
      <c r="H1252" s="47"/>
      <c r="I1252" s="48"/>
      <c r="J1252" s="47"/>
      <c r="K1252" s="47"/>
      <c r="L1252" s="47"/>
      <c r="M1252" s="47"/>
      <c r="N1252" s="48"/>
      <c r="O1252" s="48"/>
    </row>
    <row r="1253" spans="2:15" x14ac:dyDescent="0.2">
      <c r="B1253" s="47"/>
      <c r="C1253" s="47"/>
      <c r="D1253" s="78"/>
      <c r="E1253" s="47"/>
      <c r="F1253" s="47"/>
      <c r="G1253" s="47"/>
      <c r="H1253" s="47"/>
      <c r="I1253" s="48"/>
      <c r="J1253" s="47"/>
      <c r="K1253" s="47"/>
      <c r="L1253" s="47"/>
      <c r="M1253" s="47"/>
      <c r="N1253" s="48"/>
      <c r="O1253" s="48"/>
    </row>
    <row r="1254" spans="2:15" x14ac:dyDescent="0.2">
      <c r="B1254" s="47"/>
      <c r="C1254" s="47"/>
      <c r="D1254" s="78"/>
      <c r="E1254" s="47"/>
      <c r="F1254" s="47"/>
      <c r="G1254" s="47"/>
      <c r="H1254" s="47"/>
      <c r="I1254" s="48"/>
      <c r="J1254" s="47"/>
      <c r="K1254" s="47"/>
      <c r="L1254" s="47"/>
      <c r="M1254" s="47"/>
      <c r="N1254" s="48"/>
      <c r="O1254" s="48"/>
    </row>
    <row r="1255" spans="2:15" x14ac:dyDescent="0.2">
      <c r="B1255" s="47"/>
      <c r="C1255" s="47"/>
      <c r="D1255" s="78"/>
      <c r="E1255" s="47"/>
      <c r="F1255" s="47"/>
      <c r="G1255" s="47"/>
      <c r="H1255" s="47"/>
      <c r="I1255" s="48"/>
      <c r="J1255" s="47"/>
      <c r="K1255" s="47"/>
      <c r="L1255" s="47"/>
      <c r="M1255" s="47"/>
      <c r="N1255" s="48"/>
      <c r="O1255" s="48"/>
    </row>
    <row r="1256" spans="2:15" x14ac:dyDescent="0.2">
      <c r="B1256" s="47"/>
      <c r="C1256" s="47"/>
      <c r="D1256" s="78"/>
      <c r="E1256" s="47"/>
      <c r="F1256" s="47"/>
      <c r="G1256" s="47"/>
      <c r="H1256" s="47"/>
      <c r="I1256" s="48"/>
      <c r="J1256" s="47"/>
      <c r="K1256" s="47"/>
      <c r="L1256" s="47"/>
      <c r="M1256" s="47"/>
      <c r="N1256" s="48"/>
      <c r="O1256" s="48"/>
    </row>
    <row r="1257" spans="2:15" x14ac:dyDescent="0.2">
      <c r="B1257" s="47"/>
      <c r="C1257" s="47"/>
      <c r="D1257" s="78"/>
      <c r="E1257" s="47"/>
      <c r="F1257" s="47"/>
      <c r="G1257" s="47"/>
      <c r="H1257" s="47"/>
      <c r="I1257" s="48"/>
      <c r="J1257" s="47"/>
      <c r="K1257" s="47"/>
      <c r="L1257" s="47"/>
      <c r="M1257" s="47"/>
      <c r="N1257" s="48"/>
      <c r="O1257" s="48"/>
    </row>
    <row r="1258" spans="2:15" x14ac:dyDescent="0.2">
      <c r="B1258" s="47"/>
      <c r="C1258" s="47"/>
      <c r="D1258" s="78"/>
      <c r="E1258" s="47"/>
      <c r="F1258" s="47"/>
      <c r="G1258" s="47"/>
      <c r="H1258" s="47"/>
      <c r="I1258" s="48"/>
      <c r="J1258" s="47"/>
      <c r="K1258" s="47"/>
      <c r="L1258" s="47"/>
      <c r="M1258" s="47"/>
      <c r="N1258" s="48"/>
      <c r="O1258" s="48"/>
    </row>
    <row r="1259" spans="2:15" x14ac:dyDescent="0.2">
      <c r="B1259" s="47"/>
      <c r="C1259" s="47"/>
      <c r="D1259" s="78"/>
      <c r="E1259" s="47"/>
      <c r="F1259" s="47"/>
      <c r="G1259" s="47"/>
      <c r="H1259" s="47"/>
      <c r="I1259" s="48"/>
      <c r="J1259" s="47"/>
      <c r="K1259" s="47"/>
      <c r="L1259" s="47"/>
      <c r="M1259" s="47"/>
      <c r="N1259" s="48"/>
      <c r="O1259" s="48"/>
    </row>
    <row r="1260" spans="2:15" x14ac:dyDescent="0.2">
      <c r="B1260" s="47"/>
      <c r="C1260" s="47"/>
      <c r="D1260" s="78"/>
      <c r="E1260" s="47"/>
      <c r="F1260" s="47"/>
      <c r="G1260" s="47"/>
      <c r="H1260" s="47"/>
      <c r="I1260" s="48"/>
      <c r="J1260" s="47"/>
      <c r="K1260" s="47"/>
      <c r="L1260" s="47"/>
      <c r="M1260" s="47"/>
      <c r="N1260" s="48"/>
      <c r="O1260" s="48"/>
    </row>
    <row r="1261" spans="2:15" x14ac:dyDescent="0.2">
      <c r="B1261" s="47"/>
      <c r="C1261" s="47"/>
      <c r="D1261" s="78"/>
      <c r="E1261" s="47"/>
      <c r="F1261" s="47"/>
      <c r="G1261" s="47"/>
      <c r="H1261" s="47"/>
      <c r="I1261" s="48"/>
      <c r="J1261" s="47"/>
      <c r="K1261" s="47"/>
      <c r="L1261" s="47"/>
      <c r="M1261" s="47"/>
      <c r="N1261" s="48"/>
      <c r="O1261" s="48"/>
    </row>
    <row r="1262" spans="2:15" x14ac:dyDescent="0.2">
      <c r="B1262" s="47"/>
      <c r="C1262" s="47"/>
      <c r="D1262" s="78"/>
      <c r="E1262" s="47"/>
      <c r="F1262" s="47"/>
      <c r="G1262" s="47"/>
      <c r="H1262" s="47"/>
      <c r="I1262" s="48"/>
      <c r="J1262" s="47"/>
      <c r="K1262" s="47"/>
      <c r="L1262" s="47"/>
      <c r="M1262" s="47"/>
      <c r="N1262" s="48"/>
      <c r="O1262" s="48"/>
    </row>
    <row r="1263" spans="2:15" x14ac:dyDescent="0.2">
      <c r="B1263" s="47"/>
      <c r="C1263" s="47"/>
      <c r="D1263" s="78"/>
      <c r="E1263" s="47"/>
      <c r="F1263" s="47"/>
      <c r="G1263" s="47"/>
      <c r="H1263" s="47"/>
      <c r="I1263" s="48"/>
      <c r="J1263" s="47"/>
      <c r="K1263" s="47"/>
      <c r="L1263" s="47"/>
      <c r="M1263" s="47"/>
      <c r="N1263" s="48"/>
      <c r="O1263" s="48"/>
    </row>
    <row r="1264" spans="2:15" x14ac:dyDescent="0.2">
      <c r="B1264" s="47"/>
      <c r="C1264" s="47"/>
      <c r="D1264" s="78"/>
      <c r="E1264" s="47"/>
      <c r="F1264" s="47"/>
      <c r="G1264" s="47"/>
      <c r="H1264" s="47"/>
      <c r="I1264" s="48"/>
      <c r="J1264" s="47"/>
      <c r="K1264" s="47"/>
      <c r="L1264" s="47"/>
      <c r="M1264" s="47"/>
      <c r="N1264" s="48"/>
      <c r="O1264" s="48"/>
    </row>
    <row r="1265" spans="2:15" x14ac:dyDescent="0.2">
      <c r="B1265" s="47"/>
      <c r="C1265" s="47"/>
      <c r="D1265" s="78"/>
      <c r="E1265" s="47"/>
      <c r="F1265" s="47"/>
      <c r="G1265" s="47"/>
      <c r="H1265" s="47"/>
      <c r="I1265" s="48"/>
      <c r="J1265" s="47"/>
      <c r="K1265" s="47"/>
      <c r="L1265" s="47"/>
      <c r="M1265" s="47"/>
      <c r="N1265" s="48"/>
      <c r="O1265" s="48"/>
    </row>
    <row r="1266" spans="2:15" x14ac:dyDescent="0.2">
      <c r="B1266" s="47"/>
      <c r="C1266" s="47"/>
      <c r="D1266" s="78"/>
      <c r="E1266" s="47"/>
      <c r="F1266" s="47"/>
      <c r="G1266" s="47"/>
      <c r="H1266" s="47"/>
      <c r="I1266" s="48"/>
      <c r="J1266" s="47"/>
      <c r="K1266" s="47"/>
      <c r="L1266" s="47"/>
      <c r="M1266" s="47"/>
      <c r="N1266" s="48"/>
      <c r="O1266" s="48"/>
    </row>
    <row r="1267" spans="2:15" x14ac:dyDescent="0.2">
      <c r="B1267" s="47"/>
      <c r="C1267" s="47"/>
      <c r="D1267" s="78"/>
      <c r="E1267" s="47"/>
      <c r="F1267" s="47"/>
      <c r="G1267" s="47"/>
      <c r="H1267" s="47"/>
      <c r="I1267" s="48"/>
      <c r="J1267" s="47"/>
      <c r="K1267" s="47"/>
      <c r="L1267" s="47"/>
      <c r="M1267" s="47"/>
      <c r="N1267" s="48"/>
      <c r="O1267" s="48"/>
    </row>
    <row r="1268" spans="2:15" x14ac:dyDescent="0.2">
      <c r="B1268" s="47"/>
      <c r="C1268" s="47"/>
      <c r="D1268" s="78"/>
      <c r="E1268" s="47"/>
      <c r="F1268" s="47"/>
      <c r="G1268" s="47"/>
      <c r="H1268" s="47"/>
      <c r="I1268" s="48"/>
      <c r="J1268" s="47"/>
      <c r="K1268" s="47"/>
      <c r="L1268" s="47"/>
      <c r="M1268" s="47"/>
      <c r="N1268" s="48"/>
      <c r="O1268" s="48"/>
    </row>
    <row r="1269" spans="2:15" x14ac:dyDescent="0.2">
      <c r="B1269" s="47"/>
      <c r="C1269" s="47"/>
      <c r="D1269" s="78"/>
      <c r="E1269" s="47"/>
      <c r="F1269" s="47"/>
      <c r="G1269" s="47"/>
      <c r="H1269" s="47"/>
      <c r="I1269" s="48"/>
      <c r="J1269" s="47"/>
      <c r="K1269" s="47"/>
      <c r="L1269" s="47"/>
      <c r="M1269" s="47"/>
      <c r="N1269" s="48"/>
      <c r="O1269" s="48"/>
    </row>
    <row r="1270" spans="2:15" x14ac:dyDescent="0.2">
      <c r="B1270" s="47"/>
      <c r="C1270" s="47"/>
      <c r="D1270" s="78"/>
      <c r="E1270" s="47"/>
      <c r="F1270" s="47"/>
      <c r="G1270" s="47"/>
      <c r="H1270" s="47"/>
      <c r="I1270" s="48"/>
      <c r="J1270" s="47"/>
      <c r="K1270" s="47"/>
      <c r="L1270" s="47"/>
      <c r="M1270" s="47"/>
      <c r="N1270" s="48"/>
      <c r="O1270" s="48"/>
    </row>
    <row r="1271" spans="2:15" x14ac:dyDescent="0.2">
      <c r="B1271" s="47"/>
      <c r="C1271" s="47"/>
      <c r="D1271" s="78"/>
      <c r="E1271" s="47"/>
      <c r="F1271" s="47"/>
      <c r="G1271" s="47"/>
      <c r="H1271" s="47"/>
      <c r="I1271" s="48"/>
      <c r="J1271" s="47"/>
      <c r="K1271" s="47"/>
      <c r="L1271" s="47"/>
      <c r="M1271" s="47"/>
      <c r="N1271" s="48"/>
      <c r="O1271" s="48"/>
    </row>
    <row r="1272" spans="2:15" x14ac:dyDescent="0.2">
      <c r="B1272" s="47"/>
      <c r="C1272" s="47"/>
      <c r="D1272" s="78"/>
      <c r="E1272" s="47"/>
      <c r="F1272" s="47"/>
      <c r="G1272" s="47"/>
      <c r="H1272" s="47"/>
      <c r="I1272" s="48"/>
      <c r="J1272" s="47"/>
      <c r="K1272" s="47"/>
      <c r="L1272" s="47"/>
      <c r="M1272" s="47"/>
      <c r="N1272" s="48"/>
      <c r="O1272" s="48"/>
    </row>
    <row r="1273" spans="2:15" x14ac:dyDescent="0.2">
      <c r="B1273" s="47"/>
      <c r="C1273" s="47"/>
      <c r="D1273" s="78"/>
      <c r="E1273" s="47"/>
      <c r="F1273" s="47"/>
      <c r="G1273" s="47"/>
      <c r="H1273" s="47"/>
      <c r="I1273" s="48"/>
      <c r="J1273" s="47"/>
      <c r="K1273" s="47"/>
      <c r="L1273" s="47"/>
      <c r="M1273" s="47"/>
      <c r="N1273" s="48"/>
      <c r="O1273" s="48"/>
    </row>
    <row r="1274" spans="2:15" x14ac:dyDescent="0.2">
      <c r="B1274" s="47"/>
      <c r="C1274" s="47"/>
      <c r="D1274" s="78"/>
      <c r="E1274" s="47"/>
      <c r="F1274" s="47"/>
      <c r="G1274" s="47"/>
      <c r="H1274" s="47"/>
      <c r="I1274" s="48"/>
      <c r="J1274" s="47"/>
      <c r="K1274" s="47"/>
      <c r="L1274" s="47"/>
      <c r="M1274" s="47"/>
      <c r="N1274" s="48"/>
      <c r="O1274" s="48"/>
    </row>
    <row r="1275" spans="2:15" x14ac:dyDescent="0.2">
      <c r="B1275" s="47"/>
      <c r="C1275" s="47"/>
      <c r="D1275" s="78"/>
      <c r="E1275" s="47"/>
      <c r="F1275" s="47"/>
      <c r="G1275" s="47"/>
      <c r="H1275" s="47"/>
      <c r="I1275" s="48"/>
      <c r="J1275" s="47"/>
      <c r="K1275" s="47"/>
      <c r="L1275" s="47"/>
      <c r="M1275" s="47"/>
      <c r="N1275" s="48"/>
      <c r="O1275" s="48"/>
    </row>
    <row r="1276" spans="2:15" x14ac:dyDescent="0.2">
      <c r="B1276" s="47"/>
      <c r="C1276" s="47"/>
      <c r="D1276" s="78"/>
      <c r="E1276" s="47"/>
      <c r="F1276" s="47"/>
      <c r="G1276" s="47"/>
      <c r="H1276" s="47"/>
      <c r="I1276" s="48"/>
      <c r="J1276" s="47"/>
      <c r="K1276" s="47"/>
      <c r="L1276" s="47"/>
      <c r="M1276" s="47"/>
      <c r="N1276" s="48"/>
      <c r="O1276" s="48"/>
    </row>
    <row r="1277" spans="2:15" x14ac:dyDescent="0.2">
      <c r="B1277" s="47"/>
      <c r="C1277" s="47"/>
      <c r="D1277" s="78"/>
      <c r="E1277" s="47"/>
      <c r="F1277" s="47"/>
      <c r="G1277" s="47"/>
      <c r="H1277" s="47"/>
      <c r="I1277" s="48"/>
      <c r="J1277" s="47"/>
      <c r="K1277" s="47"/>
      <c r="L1277" s="47"/>
      <c r="M1277" s="47"/>
      <c r="N1277" s="48"/>
      <c r="O1277" s="48"/>
    </row>
    <row r="1278" spans="2:15" x14ac:dyDescent="0.2">
      <c r="B1278" s="47"/>
      <c r="C1278" s="47"/>
      <c r="D1278" s="78"/>
      <c r="E1278" s="47"/>
      <c r="F1278" s="47"/>
      <c r="G1278" s="47"/>
      <c r="H1278" s="47"/>
      <c r="I1278" s="48"/>
      <c r="J1278" s="47"/>
      <c r="K1278" s="47"/>
      <c r="L1278" s="47"/>
      <c r="M1278" s="47"/>
      <c r="N1278" s="48"/>
      <c r="O1278" s="48"/>
    </row>
    <row r="1279" spans="2:15" x14ac:dyDescent="0.2">
      <c r="B1279" s="47"/>
      <c r="C1279" s="47"/>
      <c r="D1279" s="78"/>
      <c r="E1279" s="47"/>
      <c r="F1279" s="47"/>
      <c r="G1279" s="47"/>
      <c r="H1279" s="47"/>
      <c r="I1279" s="48"/>
      <c r="J1279" s="47"/>
      <c r="K1279" s="47"/>
      <c r="L1279" s="47"/>
      <c r="M1279" s="47"/>
      <c r="N1279" s="48"/>
      <c r="O1279" s="48"/>
    </row>
    <row r="1280" spans="2:15" x14ac:dyDescent="0.2">
      <c r="B1280" s="47"/>
      <c r="C1280" s="47"/>
      <c r="D1280" s="78"/>
      <c r="E1280" s="47"/>
      <c r="F1280" s="47"/>
      <c r="G1280" s="47"/>
      <c r="H1280" s="47"/>
      <c r="I1280" s="48"/>
      <c r="J1280" s="47"/>
      <c r="K1280" s="47"/>
      <c r="L1280" s="47"/>
      <c r="M1280" s="47"/>
      <c r="N1280" s="48"/>
      <c r="O1280" s="48"/>
    </row>
    <row r="1281" spans="2:15" x14ac:dyDescent="0.2">
      <c r="B1281" s="47"/>
      <c r="C1281" s="47"/>
      <c r="D1281" s="78"/>
      <c r="E1281" s="47"/>
      <c r="F1281" s="47"/>
      <c r="G1281" s="47"/>
      <c r="H1281" s="47"/>
      <c r="I1281" s="48"/>
      <c r="J1281" s="47"/>
      <c r="K1281" s="47"/>
      <c r="L1281" s="47"/>
      <c r="M1281" s="47"/>
      <c r="N1281" s="48"/>
      <c r="O1281" s="48"/>
    </row>
    <row r="1282" spans="2:15" x14ac:dyDescent="0.2">
      <c r="B1282" s="47"/>
      <c r="C1282" s="47"/>
      <c r="D1282" s="78"/>
      <c r="E1282" s="47"/>
      <c r="F1282" s="47"/>
      <c r="G1282" s="47"/>
      <c r="H1282" s="47"/>
      <c r="I1282" s="48"/>
      <c r="J1282" s="47"/>
      <c r="K1282" s="47"/>
      <c r="L1282" s="47"/>
      <c r="M1282" s="47"/>
      <c r="N1282" s="48"/>
      <c r="O1282" s="48"/>
    </row>
    <row r="1283" spans="2:15" x14ac:dyDescent="0.2">
      <c r="B1283" s="47"/>
      <c r="C1283" s="47"/>
      <c r="D1283" s="78"/>
      <c r="E1283" s="47"/>
      <c r="F1283" s="47"/>
      <c r="G1283" s="47"/>
      <c r="H1283" s="47"/>
      <c r="I1283" s="48"/>
      <c r="J1283" s="47"/>
      <c r="K1283" s="47"/>
      <c r="L1283" s="47"/>
      <c r="M1283" s="47"/>
      <c r="N1283" s="48"/>
      <c r="O1283" s="48"/>
    </row>
    <row r="1284" spans="2:15" x14ac:dyDescent="0.2">
      <c r="B1284" s="47"/>
      <c r="C1284" s="47"/>
      <c r="D1284" s="78"/>
      <c r="E1284" s="47"/>
      <c r="F1284" s="47"/>
      <c r="G1284" s="47"/>
      <c r="H1284" s="47"/>
      <c r="I1284" s="48"/>
      <c r="J1284" s="47"/>
      <c r="K1284" s="47"/>
      <c r="L1284" s="47"/>
      <c r="M1284" s="47"/>
      <c r="N1284" s="48"/>
      <c r="O1284" s="48"/>
    </row>
    <row r="1285" spans="2:15" x14ac:dyDescent="0.2">
      <c r="B1285" s="47"/>
      <c r="C1285" s="47"/>
      <c r="D1285" s="78"/>
      <c r="E1285" s="47"/>
      <c r="F1285" s="47"/>
      <c r="G1285" s="47"/>
      <c r="H1285" s="47"/>
      <c r="I1285" s="48"/>
      <c r="J1285" s="47"/>
      <c r="K1285" s="47"/>
      <c r="L1285" s="47"/>
      <c r="M1285" s="47"/>
      <c r="N1285" s="48"/>
      <c r="O1285" s="48"/>
    </row>
    <row r="1286" spans="2:15" x14ac:dyDescent="0.2">
      <c r="B1286" s="47"/>
      <c r="C1286" s="47"/>
      <c r="D1286" s="78"/>
      <c r="E1286" s="47"/>
      <c r="F1286" s="47"/>
      <c r="G1286" s="47"/>
      <c r="H1286" s="47"/>
      <c r="I1286" s="48"/>
      <c r="J1286" s="47"/>
      <c r="K1286" s="47"/>
      <c r="L1286" s="47"/>
      <c r="M1286" s="47"/>
      <c r="N1286" s="48"/>
      <c r="O1286" s="48"/>
    </row>
    <row r="1287" spans="2:15" x14ac:dyDescent="0.2">
      <c r="B1287" s="47"/>
      <c r="C1287" s="47"/>
      <c r="D1287" s="78"/>
      <c r="E1287" s="47"/>
      <c r="F1287" s="47"/>
      <c r="G1287" s="47"/>
      <c r="H1287" s="47"/>
      <c r="I1287" s="48"/>
      <c r="J1287" s="47"/>
      <c r="K1287" s="47"/>
      <c r="L1287" s="47"/>
      <c r="M1287" s="47"/>
      <c r="N1287" s="48"/>
      <c r="O1287" s="48"/>
    </row>
    <row r="1288" spans="2:15" x14ac:dyDescent="0.2">
      <c r="B1288" s="47"/>
      <c r="C1288" s="47"/>
      <c r="D1288" s="78"/>
      <c r="E1288" s="47"/>
      <c r="F1288" s="47"/>
      <c r="G1288" s="47"/>
      <c r="H1288" s="47"/>
      <c r="I1288" s="48"/>
      <c r="J1288" s="47"/>
      <c r="K1288" s="47"/>
      <c r="L1288" s="47"/>
      <c r="M1288" s="47"/>
      <c r="N1288" s="48"/>
      <c r="O1288" s="48"/>
    </row>
    <row r="1289" spans="2:15" x14ac:dyDescent="0.2">
      <c r="B1289" s="47"/>
      <c r="C1289" s="47"/>
      <c r="D1289" s="78"/>
      <c r="E1289" s="47"/>
      <c r="F1289" s="47"/>
      <c r="G1289" s="47"/>
      <c r="H1289" s="47"/>
      <c r="I1289" s="48"/>
      <c r="J1289" s="47"/>
      <c r="K1289" s="47"/>
      <c r="L1289" s="47"/>
      <c r="M1289" s="47"/>
      <c r="N1289" s="48"/>
      <c r="O1289" s="48"/>
    </row>
    <row r="1290" spans="2:15" x14ac:dyDescent="0.2">
      <c r="B1290" s="47"/>
      <c r="C1290" s="47"/>
      <c r="D1290" s="78"/>
      <c r="E1290" s="47"/>
      <c r="F1290" s="47"/>
      <c r="G1290" s="47"/>
      <c r="H1290" s="47"/>
      <c r="I1290" s="48"/>
      <c r="J1290" s="47"/>
      <c r="K1290" s="47"/>
      <c r="L1290" s="47"/>
      <c r="M1290" s="47"/>
      <c r="N1290" s="48"/>
      <c r="O1290" s="48"/>
    </row>
    <row r="1291" spans="2:15" x14ac:dyDescent="0.2">
      <c r="B1291" s="47"/>
      <c r="C1291" s="47"/>
      <c r="D1291" s="78"/>
      <c r="E1291" s="47"/>
      <c r="F1291" s="47"/>
      <c r="G1291" s="47"/>
      <c r="H1291" s="47"/>
      <c r="I1291" s="48"/>
      <c r="J1291" s="47"/>
      <c r="K1291" s="47"/>
      <c r="L1291" s="47"/>
      <c r="M1291" s="47"/>
      <c r="N1291" s="48"/>
      <c r="O1291" s="48"/>
    </row>
    <row r="1292" spans="2:15" x14ac:dyDescent="0.2">
      <c r="B1292" s="47"/>
      <c r="C1292" s="47"/>
      <c r="D1292" s="78"/>
      <c r="E1292" s="47"/>
      <c r="F1292" s="47"/>
      <c r="G1292" s="47"/>
      <c r="H1292" s="47"/>
      <c r="I1292" s="48"/>
      <c r="J1292" s="47"/>
      <c r="K1292" s="47"/>
      <c r="L1292" s="47"/>
      <c r="M1292" s="47"/>
      <c r="N1292" s="48"/>
      <c r="O1292" s="48"/>
    </row>
    <row r="1293" spans="2:15" x14ac:dyDescent="0.2">
      <c r="B1293" s="47"/>
      <c r="C1293" s="47"/>
      <c r="D1293" s="78"/>
      <c r="E1293" s="47"/>
      <c r="F1293" s="47"/>
      <c r="G1293" s="47"/>
      <c r="H1293" s="47"/>
      <c r="I1293" s="48"/>
      <c r="J1293" s="47"/>
      <c r="K1293" s="47"/>
      <c r="L1293" s="47"/>
      <c r="M1293" s="47"/>
      <c r="N1293" s="48"/>
      <c r="O1293" s="48"/>
    </row>
    <row r="1294" spans="2:15" x14ac:dyDescent="0.2">
      <c r="B1294" s="47"/>
      <c r="C1294" s="47"/>
      <c r="D1294" s="78"/>
      <c r="E1294" s="47"/>
      <c r="F1294" s="47"/>
      <c r="G1294" s="47"/>
      <c r="H1294" s="47"/>
      <c r="I1294" s="48"/>
      <c r="J1294" s="47"/>
      <c r="K1294" s="47"/>
      <c r="L1294" s="47"/>
      <c r="M1294" s="47"/>
      <c r="N1294" s="48"/>
      <c r="O1294" s="48"/>
    </row>
    <row r="1295" spans="2:15" x14ac:dyDescent="0.2">
      <c r="B1295" s="47"/>
      <c r="C1295" s="47"/>
      <c r="D1295" s="78"/>
      <c r="E1295" s="47"/>
      <c r="F1295" s="47"/>
      <c r="G1295" s="47"/>
      <c r="H1295" s="47"/>
      <c r="I1295" s="48"/>
      <c r="J1295" s="47"/>
      <c r="K1295" s="47"/>
      <c r="L1295" s="47"/>
      <c r="M1295" s="47"/>
      <c r="N1295" s="48"/>
      <c r="O1295" s="48"/>
    </row>
    <row r="1296" spans="2:15" x14ac:dyDescent="0.2">
      <c r="B1296" s="47"/>
      <c r="C1296" s="47"/>
      <c r="D1296" s="78"/>
      <c r="E1296" s="47"/>
      <c r="F1296" s="47"/>
      <c r="G1296" s="47"/>
      <c r="H1296" s="47"/>
      <c r="I1296" s="48"/>
      <c r="J1296" s="47"/>
      <c r="K1296" s="47"/>
      <c r="L1296" s="47"/>
      <c r="M1296" s="47"/>
      <c r="N1296" s="48"/>
      <c r="O1296" s="48"/>
    </row>
    <row r="1297" spans="2:15" x14ac:dyDescent="0.2">
      <c r="B1297" s="47"/>
      <c r="C1297" s="47"/>
      <c r="D1297" s="78"/>
      <c r="E1297" s="47"/>
      <c r="F1297" s="47"/>
      <c r="G1297" s="47"/>
      <c r="H1297" s="47"/>
      <c r="I1297" s="48"/>
      <c r="J1297" s="47"/>
      <c r="K1297" s="47"/>
      <c r="L1297" s="47"/>
      <c r="M1297" s="47"/>
      <c r="N1297" s="48"/>
      <c r="O1297" s="48"/>
    </row>
    <row r="1298" spans="2:15" x14ac:dyDescent="0.2">
      <c r="B1298" s="47"/>
      <c r="C1298" s="47"/>
      <c r="D1298" s="78"/>
      <c r="E1298" s="47"/>
      <c r="F1298" s="47"/>
      <c r="G1298" s="47"/>
      <c r="H1298" s="47"/>
      <c r="I1298" s="48"/>
      <c r="J1298" s="47"/>
      <c r="K1298" s="47"/>
      <c r="L1298" s="47"/>
      <c r="M1298" s="47"/>
      <c r="N1298" s="48"/>
      <c r="O1298" s="48"/>
    </row>
    <row r="1299" spans="2:15" x14ac:dyDescent="0.2">
      <c r="B1299" s="47"/>
      <c r="C1299" s="47"/>
      <c r="D1299" s="78"/>
      <c r="E1299" s="47"/>
      <c r="F1299" s="47"/>
      <c r="G1299" s="47"/>
      <c r="H1299" s="47"/>
      <c r="I1299" s="48"/>
      <c r="J1299" s="47"/>
      <c r="K1299" s="47"/>
      <c r="L1299" s="47"/>
      <c r="M1299" s="47"/>
      <c r="N1299" s="48"/>
      <c r="O1299" s="48"/>
    </row>
    <row r="1300" spans="2:15" x14ac:dyDescent="0.2">
      <c r="B1300" s="47"/>
      <c r="C1300" s="47"/>
      <c r="D1300" s="78"/>
      <c r="E1300" s="47"/>
      <c r="F1300" s="47"/>
      <c r="G1300" s="47"/>
      <c r="H1300" s="47"/>
      <c r="I1300" s="48"/>
      <c r="J1300" s="47"/>
      <c r="K1300" s="47"/>
      <c r="L1300" s="47"/>
      <c r="M1300" s="47"/>
      <c r="N1300" s="48"/>
      <c r="O1300" s="48"/>
    </row>
    <row r="1301" spans="2:15" x14ac:dyDescent="0.2">
      <c r="B1301" s="47"/>
      <c r="C1301" s="47"/>
      <c r="D1301" s="78"/>
      <c r="E1301" s="47"/>
      <c r="F1301" s="47"/>
      <c r="G1301" s="47"/>
      <c r="H1301" s="47"/>
      <c r="I1301" s="48"/>
      <c r="J1301" s="47"/>
      <c r="K1301" s="47"/>
      <c r="L1301" s="47"/>
      <c r="M1301" s="47"/>
      <c r="N1301" s="48"/>
      <c r="O1301" s="48"/>
    </row>
    <row r="1302" spans="2:15" x14ac:dyDescent="0.2">
      <c r="B1302" s="47"/>
      <c r="C1302" s="47"/>
      <c r="D1302" s="78"/>
      <c r="E1302" s="47"/>
      <c r="F1302" s="47"/>
      <c r="G1302" s="47"/>
      <c r="H1302" s="47"/>
      <c r="I1302" s="48"/>
      <c r="J1302" s="47"/>
      <c r="K1302" s="47"/>
      <c r="L1302" s="47"/>
      <c r="M1302" s="47"/>
      <c r="N1302" s="48"/>
      <c r="O1302" s="48"/>
    </row>
    <row r="1303" spans="2:15" x14ac:dyDescent="0.2">
      <c r="B1303" s="47"/>
      <c r="C1303" s="47"/>
      <c r="D1303" s="78"/>
      <c r="E1303" s="47"/>
      <c r="F1303" s="47"/>
      <c r="G1303" s="47"/>
      <c r="H1303" s="47"/>
      <c r="I1303" s="48"/>
      <c r="J1303" s="47"/>
      <c r="K1303" s="47"/>
      <c r="L1303" s="47"/>
      <c r="M1303" s="47"/>
      <c r="N1303" s="48"/>
      <c r="O1303" s="48"/>
    </row>
    <row r="1304" spans="2:15" x14ac:dyDescent="0.2">
      <c r="B1304" s="47"/>
      <c r="C1304" s="47"/>
      <c r="D1304" s="78"/>
      <c r="E1304" s="47"/>
      <c r="F1304" s="47"/>
      <c r="G1304" s="47"/>
      <c r="H1304" s="47"/>
      <c r="I1304" s="48"/>
      <c r="J1304" s="47"/>
      <c r="K1304" s="47"/>
      <c r="L1304" s="47"/>
      <c r="M1304" s="47"/>
      <c r="N1304" s="48"/>
      <c r="O1304" s="48"/>
    </row>
    <row r="1305" spans="2:15" x14ac:dyDescent="0.2">
      <c r="B1305" s="47"/>
      <c r="C1305" s="47"/>
      <c r="D1305" s="78"/>
      <c r="E1305" s="47"/>
      <c r="F1305" s="47"/>
      <c r="G1305" s="47"/>
      <c r="H1305" s="47"/>
      <c r="I1305" s="48"/>
      <c r="J1305" s="47"/>
      <c r="K1305" s="47"/>
      <c r="L1305" s="47"/>
      <c r="M1305" s="47"/>
      <c r="N1305" s="48"/>
      <c r="O1305" s="48"/>
    </row>
    <row r="1306" spans="2:15" x14ac:dyDescent="0.2">
      <c r="B1306" s="47"/>
      <c r="C1306" s="47"/>
      <c r="D1306" s="78"/>
      <c r="E1306" s="47"/>
      <c r="F1306" s="47"/>
      <c r="G1306" s="47"/>
      <c r="H1306" s="47"/>
      <c r="I1306" s="48"/>
      <c r="J1306" s="47"/>
      <c r="K1306" s="47"/>
      <c r="L1306" s="47"/>
      <c r="M1306" s="47"/>
      <c r="N1306" s="48"/>
      <c r="O1306" s="48"/>
    </row>
    <row r="1307" spans="2:15" x14ac:dyDescent="0.2">
      <c r="B1307" s="47"/>
      <c r="C1307" s="47"/>
      <c r="D1307" s="78"/>
      <c r="E1307" s="47"/>
      <c r="F1307" s="47"/>
      <c r="G1307" s="47"/>
      <c r="H1307" s="47"/>
      <c r="I1307" s="48"/>
      <c r="J1307" s="47"/>
      <c r="K1307" s="47"/>
      <c r="L1307" s="47"/>
      <c r="M1307" s="47"/>
      <c r="N1307" s="48"/>
      <c r="O1307" s="48"/>
    </row>
    <row r="1308" spans="2:15" x14ac:dyDescent="0.2">
      <c r="B1308" s="47"/>
      <c r="C1308" s="47"/>
      <c r="D1308" s="78"/>
      <c r="E1308" s="47"/>
      <c r="F1308" s="47"/>
      <c r="G1308" s="47"/>
      <c r="H1308" s="47"/>
      <c r="I1308" s="48"/>
      <c r="J1308" s="47"/>
      <c r="K1308" s="47"/>
      <c r="L1308" s="47"/>
      <c r="M1308" s="47"/>
      <c r="N1308" s="48"/>
      <c r="O1308" s="48"/>
    </row>
    <row r="1309" spans="2:15" x14ac:dyDescent="0.2">
      <c r="B1309" s="47"/>
      <c r="C1309" s="47"/>
      <c r="D1309" s="78"/>
      <c r="E1309" s="47"/>
      <c r="F1309" s="47"/>
      <c r="G1309" s="47"/>
      <c r="H1309" s="47"/>
      <c r="I1309" s="48"/>
      <c r="J1309" s="47"/>
      <c r="K1309" s="47"/>
      <c r="L1309" s="47"/>
      <c r="M1309" s="47"/>
      <c r="N1309" s="48"/>
      <c r="O1309" s="48"/>
    </row>
    <row r="1310" spans="2:15" x14ac:dyDescent="0.2">
      <c r="B1310" s="47"/>
      <c r="C1310" s="47"/>
      <c r="D1310" s="78"/>
      <c r="E1310" s="47"/>
      <c r="F1310" s="47"/>
      <c r="G1310" s="47"/>
      <c r="H1310" s="47"/>
      <c r="I1310" s="48"/>
      <c r="J1310" s="47"/>
      <c r="K1310" s="47"/>
      <c r="L1310" s="47"/>
      <c r="M1310" s="47"/>
      <c r="N1310" s="48"/>
      <c r="O1310" s="48"/>
    </row>
    <row r="1311" spans="2:15" x14ac:dyDescent="0.2">
      <c r="B1311" s="47"/>
      <c r="C1311" s="47"/>
      <c r="D1311" s="78"/>
      <c r="E1311" s="47"/>
      <c r="F1311" s="47"/>
      <c r="G1311" s="47"/>
      <c r="H1311" s="47"/>
      <c r="I1311" s="48"/>
      <c r="J1311" s="47"/>
      <c r="K1311" s="47"/>
      <c r="L1311" s="47"/>
      <c r="M1311" s="47"/>
      <c r="N1311" s="48"/>
      <c r="O1311" s="48"/>
    </row>
    <row r="1312" spans="2:15" x14ac:dyDescent="0.2">
      <c r="B1312" s="47"/>
      <c r="C1312" s="47"/>
      <c r="D1312" s="78"/>
      <c r="E1312" s="47"/>
      <c r="F1312" s="47"/>
      <c r="G1312" s="47"/>
      <c r="H1312" s="47"/>
      <c r="I1312" s="48"/>
      <c r="J1312" s="47"/>
      <c r="K1312" s="47"/>
      <c r="L1312" s="47"/>
      <c r="M1312" s="47"/>
      <c r="N1312" s="48"/>
      <c r="O1312" s="48"/>
    </row>
    <row r="1313" spans="2:15" x14ac:dyDescent="0.2">
      <c r="B1313" s="47"/>
      <c r="C1313" s="47"/>
      <c r="D1313" s="78"/>
      <c r="E1313" s="47"/>
      <c r="F1313" s="47"/>
      <c r="G1313" s="47"/>
      <c r="H1313" s="47"/>
      <c r="I1313" s="48"/>
      <c r="J1313" s="47"/>
      <c r="K1313" s="47"/>
      <c r="L1313" s="47"/>
      <c r="M1313" s="47"/>
      <c r="N1313" s="48"/>
      <c r="O1313" s="48"/>
    </row>
    <row r="1314" spans="2:15" x14ac:dyDescent="0.2">
      <c r="B1314" s="47"/>
      <c r="C1314" s="47"/>
      <c r="D1314" s="78"/>
      <c r="E1314" s="47"/>
      <c r="F1314" s="47"/>
      <c r="G1314" s="47"/>
      <c r="H1314" s="47"/>
      <c r="I1314" s="48"/>
      <c r="J1314" s="47"/>
      <c r="K1314" s="47"/>
      <c r="L1314" s="47"/>
      <c r="M1314" s="47"/>
      <c r="N1314" s="48"/>
      <c r="O1314" s="48"/>
    </row>
    <row r="1315" spans="2:15" x14ac:dyDescent="0.2">
      <c r="B1315" s="47"/>
      <c r="C1315" s="47"/>
      <c r="D1315" s="78"/>
      <c r="E1315" s="47"/>
      <c r="F1315" s="47"/>
      <c r="G1315" s="47"/>
      <c r="H1315" s="47"/>
      <c r="I1315" s="48"/>
      <c r="J1315" s="47"/>
      <c r="K1315" s="47"/>
      <c r="L1315" s="47"/>
      <c r="M1315" s="47"/>
      <c r="N1315" s="48"/>
      <c r="O1315" s="48"/>
    </row>
    <row r="1316" spans="2:15" x14ac:dyDescent="0.2">
      <c r="B1316" s="47"/>
      <c r="C1316" s="47"/>
      <c r="D1316" s="78"/>
      <c r="E1316" s="47"/>
      <c r="F1316" s="47"/>
      <c r="G1316" s="47"/>
      <c r="H1316" s="47"/>
      <c r="I1316" s="48"/>
      <c r="J1316" s="47"/>
      <c r="K1316" s="47"/>
      <c r="L1316" s="47"/>
      <c r="M1316" s="47"/>
      <c r="N1316" s="48"/>
      <c r="O1316" s="48"/>
    </row>
    <row r="1317" spans="2:15" x14ac:dyDescent="0.2">
      <c r="B1317" s="47"/>
      <c r="C1317" s="47"/>
      <c r="D1317" s="78"/>
      <c r="E1317" s="47"/>
      <c r="F1317" s="47"/>
      <c r="G1317" s="47"/>
      <c r="H1317" s="47"/>
      <c r="I1317" s="48"/>
      <c r="J1317" s="47"/>
      <c r="K1317" s="47"/>
      <c r="L1317" s="47"/>
      <c r="M1317" s="47"/>
      <c r="N1317" s="48"/>
      <c r="O1317" s="48"/>
    </row>
    <row r="1318" spans="2:15" x14ac:dyDescent="0.2">
      <c r="B1318" s="47"/>
      <c r="C1318" s="47"/>
      <c r="D1318" s="78"/>
      <c r="E1318" s="47"/>
      <c r="F1318" s="47"/>
      <c r="G1318" s="47"/>
      <c r="H1318" s="47"/>
      <c r="I1318" s="48"/>
      <c r="J1318" s="47"/>
      <c r="K1318" s="47"/>
      <c r="L1318" s="47"/>
      <c r="M1318" s="47"/>
      <c r="N1318" s="48"/>
      <c r="O1318" s="48"/>
    </row>
    <row r="1319" spans="2:15" x14ac:dyDescent="0.2">
      <c r="B1319" s="47"/>
      <c r="C1319" s="47"/>
      <c r="D1319" s="78"/>
      <c r="E1319" s="47"/>
      <c r="F1319" s="47"/>
      <c r="G1319" s="47"/>
      <c r="H1319" s="47"/>
      <c r="I1319" s="48"/>
      <c r="J1319" s="47"/>
      <c r="K1319" s="47"/>
      <c r="L1319" s="47"/>
      <c r="M1319" s="47"/>
      <c r="N1319" s="48"/>
      <c r="O1319" s="48"/>
    </row>
    <row r="1320" spans="2:15" x14ac:dyDescent="0.2">
      <c r="B1320" s="47"/>
      <c r="C1320" s="47"/>
      <c r="D1320" s="78"/>
      <c r="E1320" s="47"/>
      <c r="F1320" s="47"/>
      <c r="G1320" s="47"/>
      <c r="H1320" s="47"/>
      <c r="I1320" s="48"/>
      <c r="J1320" s="47"/>
      <c r="K1320" s="47"/>
      <c r="L1320" s="47"/>
      <c r="M1320" s="47"/>
      <c r="N1320" s="48"/>
      <c r="O1320" s="48"/>
    </row>
    <row r="1321" spans="2:15" x14ac:dyDescent="0.2">
      <c r="B1321" s="47"/>
      <c r="C1321" s="47"/>
      <c r="D1321" s="78"/>
      <c r="E1321" s="47"/>
      <c r="F1321" s="47"/>
      <c r="G1321" s="47"/>
      <c r="H1321" s="47"/>
      <c r="I1321" s="48"/>
      <c r="J1321" s="47"/>
      <c r="K1321" s="47"/>
      <c r="L1321" s="47"/>
      <c r="M1321" s="47"/>
      <c r="N1321" s="48"/>
      <c r="O1321" s="48"/>
    </row>
    <row r="1322" spans="2:15" x14ac:dyDescent="0.2">
      <c r="B1322" s="47"/>
      <c r="C1322" s="47"/>
      <c r="D1322" s="78"/>
      <c r="E1322" s="47"/>
      <c r="F1322" s="47"/>
      <c r="G1322" s="47"/>
      <c r="H1322" s="47"/>
      <c r="I1322" s="48"/>
      <c r="J1322" s="47"/>
      <c r="K1322" s="47"/>
      <c r="L1322" s="47"/>
      <c r="M1322" s="47"/>
      <c r="N1322" s="48"/>
      <c r="O1322" s="48"/>
    </row>
    <row r="1323" spans="2:15" x14ac:dyDescent="0.2">
      <c r="B1323" s="47"/>
      <c r="C1323" s="47"/>
      <c r="D1323" s="78"/>
      <c r="E1323" s="47"/>
      <c r="F1323" s="47"/>
      <c r="G1323" s="47"/>
      <c r="H1323" s="47"/>
      <c r="I1323" s="48"/>
      <c r="J1323" s="47"/>
      <c r="K1323" s="47"/>
      <c r="L1323" s="47"/>
      <c r="M1323" s="47"/>
      <c r="N1323" s="48"/>
      <c r="O1323" s="48"/>
    </row>
    <row r="1324" spans="2:15" x14ac:dyDescent="0.2">
      <c r="B1324" s="47"/>
      <c r="C1324" s="47"/>
      <c r="D1324" s="78"/>
      <c r="E1324" s="47"/>
      <c r="F1324" s="47"/>
      <c r="G1324" s="47"/>
      <c r="H1324" s="47"/>
      <c r="I1324" s="48"/>
      <c r="J1324" s="47"/>
      <c r="K1324" s="47"/>
      <c r="L1324" s="47"/>
      <c r="M1324" s="47"/>
      <c r="N1324" s="48"/>
      <c r="O1324" s="48"/>
    </row>
    <row r="1325" spans="2:15" x14ac:dyDescent="0.2">
      <c r="B1325" s="47"/>
      <c r="C1325" s="47"/>
      <c r="D1325" s="78"/>
      <c r="E1325" s="47"/>
      <c r="F1325" s="47"/>
      <c r="G1325" s="47"/>
      <c r="H1325" s="47"/>
      <c r="I1325" s="48"/>
      <c r="J1325" s="47"/>
      <c r="K1325" s="47"/>
      <c r="L1325" s="47"/>
      <c r="M1325" s="47"/>
      <c r="N1325" s="48"/>
      <c r="O1325" s="48"/>
    </row>
    <row r="1326" spans="2:15" x14ac:dyDescent="0.2">
      <c r="B1326" s="47"/>
      <c r="C1326" s="47"/>
      <c r="D1326" s="78"/>
      <c r="E1326" s="47"/>
      <c r="F1326" s="47"/>
      <c r="G1326" s="47"/>
      <c r="H1326" s="47"/>
      <c r="I1326" s="48"/>
      <c r="J1326" s="47"/>
      <c r="K1326" s="47"/>
      <c r="L1326" s="47"/>
      <c r="M1326" s="47"/>
      <c r="N1326" s="48"/>
      <c r="O1326" s="48"/>
    </row>
    <row r="1327" spans="2:15" x14ac:dyDescent="0.2">
      <c r="B1327" s="47"/>
      <c r="C1327" s="47"/>
      <c r="D1327" s="78"/>
      <c r="E1327" s="47"/>
      <c r="F1327" s="47"/>
      <c r="G1327" s="47"/>
      <c r="H1327" s="47"/>
      <c r="I1327" s="48"/>
      <c r="J1327" s="47"/>
      <c r="K1327" s="47"/>
      <c r="L1327" s="47"/>
      <c r="M1327" s="47"/>
      <c r="N1327" s="48"/>
      <c r="O1327" s="48"/>
    </row>
    <row r="1328" spans="2:15" x14ac:dyDescent="0.2">
      <c r="B1328" s="47"/>
      <c r="C1328" s="47"/>
      <c r="D1328" s="78"/>
      <c r="E1328" s="47"/>
      <c r="F1328" s="47"/>
      <c r="G1328" s="47"/>
      <c r="H1328" s="47"/>
      <c r="I1328" s="48"/>
      <c r="J1328" s="47"/>
      <c r="K1328" s="47"/>
      <c r="L1328" s="47"/>
      <c r="M1328" s="47"/>
      <c r="N1328" s="48"/>
      <c r="O1328" s="48"/>
    </row>
    <row r="1329" spans="2:15" x14ac:dyDescent="0.2">
      <c r="B1329" s="47"/>
      <c r="C1329" s="47"/>
      <c r="D1329" s="78"/>
      <c r="E1329" s="47"/>
      <c r="F1329" s="47"/>
      <c r="G1329" s="47"/>
      <c r="H1329" s="47"/>
      <c r="I1329" s="48"/>
      <c r="J1329" s="47"/>
      <c r="K1329" s="47"/>
      <c r="L1329" s="47"/>
      <c r="M1329" s="47"/>
      <c r="N1329" s="48"/>
      <c r="O1329" s="48"/>
    </row>
    <row r="1330" spans="2:15" x14ac:dyDescent="0.2">
      <c r="B1330" s="47"/>
      <c r="C1330" s="47"/>
      <c r="D1330" s="78"/>
      <c r="E1330" s="47"/>
      <c r="F1330" s="47"/>
      <c r="G1330" s="47"/>
      <c r="H1330" s="47"/>
      <c r="I1330" s="48"/>
      <c r="J1330" s="47"/>
      <c r="K1330" s="47"/>
      <c r="L1330" s="47"/>
      <c r="M1330" s="47"/>
      <c r="N1330" s="48"/>
      <c r="O1330" s="48"/>
    </row>
    <row r="1331" spans="2:15" x14ac:dyDescent="0.2">
      <c r="B1331" s="47"/>
      <c r="C1331" s="47"/>
      <c r="D1331" s="78"/>
      <c r="E1331" s="47"/>
      <c r="F1331" s="47"/>
      <c r="G1331" s="47"/>
      <c r="H1331" s="47"/>
      <c r="I1331" s="48"/>
      <c r="J1331" s="47"/>
      <c r="K1331" s="47"/>
      <c r="L1331" s="47"/>
      <c r="M1331" s="47"/>
      <c r="N1331" s="48"/>
      <c r="O1331" s="48"/>
    </row>
    <row r="1332" spans="2:15" x14ac:dyDescent="0.2">
      <c r="B1332" s="47"/>
      <c r="C1332" s="47"/>
      <c r="D1332" s="78"/>
      <c r="E1332" s="47"/>
      <c r="F1332" s="47"/>
      <c r="G1332" s="47"/>
      <c r="H1332" s="47"/>
      <c r="I1332" s="48"/>
      <c r="J1332" s="47"/>
      <c r="K1332" s="47"/>
      <c r="L1332" s="47"/>
      <c r="M1332" s="47"/>
      <c r="N1332" s="48"/>
      <c r="O1332" s="48"/>
    </row>
    <row r="1333" spans="2:15" x14ac:dyDescent="0.2">
      <c r="B1333" s="47"/>
      <c r="C1333" s="47"/>
      <c r="D1333" s="78"/>
      <c r="E1333" s="47"/>
      <c r="F1333" s="47"/>
      <c r="G1333" s="47"/>
      <c r="H1333" s="47"/>
      <c r="I1333" s="48"/>
      <c r="J1333" s="47"/>
      <c r="K1333" s="47"/>
      <c r="L1333" s="47"/>
      <c r="M1333" s="47"/>
      <c r="N1333" s="48"/>
      <c r="O1333" s="48"/>
    </row>
    <row r="1334" spans="2:15" x14ac:dyDescent="0.2">
      <c r="B1334" s="47"/>
      <c r="C1334" s="47"/>
      <c r="D1334" s="78"/>
      <c r="E1334" s="47"/>
      <c r="F1334" s="47"/>
      <c r="G1334" s="47"/>
      <c r="H1334" s="47"/>
      <c r="I1334" s="48"/>
      <c r="J1334" s="47"/>
      <c r="K1334" s="47"/>
      <c r="L1334" s="47"/>
      <c r="M1334" s="47"/>
      <c r="N1334" s="48"/>
      <c r="O1334" s="48"/>
    </row>
    <row r="1335" spans="2:15" x14ac:dyDescent="0.2">
      <c r="B1335" s="47"/>
      <c r="C1335" s="47"/>
      <c r="D1335" s="78"/>
      <c r="E1335" s="47"/>
      <c r="F1335" s="47"/>
      <c r="G1335" s="47"/>
      <c r="H1335" s="47"/>
      <c r="I1335" s="48"/>
      <c r="J1335" s="47"/>
      <c r="K1335" s="47"/>
      <c r="L1335" s="47"/>
      <c r="M1335" s="47"/>
      <c r="N1335" s="48"/>
      <c r="O1335" s="48"/>
    </row>
    <row r="1336" spans="2:15" x14ac:dyDescent="0.2">
      <c r="B1336" s="47"/>
      <c r="C1336" s="47"/>
      <c r="D1336" s="78"/>
      <c r="E1336" s="47"/>
      <c r="F1336" s="47"/>
      <c r="G1336" s="47"/>
      <c r="H1336" s="47"/>
      <c r="I1336" s="48"/>
      <c r="J1336" s="47"/>
      <c r="K1336" s="47"/>
      <c r="L1336" s="47"/>
      <c r="M1336" s="47"/>
      <c r="N1336" s="48"/>
      <c r="O1336" s="48"/>
    </row>
    <row r="1337" spans="2:15" x14ac:dyDescent="0.2">
      <c r="B1337" s="47"/>
      <c r="C1337" s="47"/>
      <c r="D1337" s="78"/>
      <c r="E1337" s="47"/>
      <c r="F1337" s="47"/>
      <c r="G1337" s="47"/>
      <c r="H1337" s="47"/>
      <c r="I1337" s="48"/>
      <c r="J1337" s="47"/>
      <c r="K1337" s="47"/>
      <c r="L1337" s="47"/>
      <c r="M1337" s="47"/>
      <c r="N1337" s="48"/>
      <c r="O1337" s="48"/>
    </row>
    <row r="1338" spans="2:15" x14ac:dyDescent="0.2">
      <c r="B1338" s="47"/>
      <c r="C1338" s="47"/>
      <c r="D1338" s="78"/>
      <c r="E1338" s="47"/>
      <c r="F1338" s="47"/>
      <c r="G1338" s="47"/>
      <c r="H1338" s="47"/>
      <c r="I1338" s="48"/>
      <c r="J1338" s="47"/>
      <c r="K1338" s="47"/>
      <c r="L1338" s="47"/>
      <c r="M1338" s="47"/>
      <c r="N1338" s="48"/>
      <c r="O1338" s="48"/>
    </row>
    <row r="1339" spans="2:15" x14ac:dyDescent="0.2">
      <c r="B1339" s="47"/>
      <c r="C1339" s="47"/>
      <c r="D1339" s="78"/>
      <c r="E1339" s="47"/>
      <c r="F1339" s="47"/>
      <c r="G1339" s="47"/>
      <c r="H1339" s="47"/>
      <c r="I1339" s="48"/>
      <c r="J1339" s="47"/>
      <c r="K1339" s="47"/>
      <c r="L1339" s="47"/>
      <c r="M1339" s="47"/>
      <c r="N1339" s="48"/>
      <c r="O1339" s="48"/>
    </row>
    <row r="1340" spans="2:15" x14ac:dyDescent="0.2">
      <c r="B1340" s="47"/>
      <c r="C1340" s="47"/>
      <c r="D1340" s="78"/>
      <c r="E1340" s="47"/>
      <c r="F1340" s="47"/>
      <c r="G1340" s="47"/>
      <c r="H1340" s="47"/>
      <c r="I1340" s="48"/>
      <c r="J1340" s="47"/>
      <c r="K1340" s="47"/>
      <c r="L1340" s="47"/>
      <c r="M1340" s="47"/>
      <c r="N1340" s="48"/>
      <c r="O1340" s="48"/>
    </row>
    <row r="1341" spans="2:15" x14ac:dyDescent="0.2">
      <c r="B1341" s="47"/>
      <c r="C1341" s="47"/>
      <c r="D1341" s="78"/>
      <c r="E1341" s="47"/>
      <c r="F1341" s="47"/>
      <c r="G1341" s="47"/>
      <c r="H1341" s="47"/>
      <c r="I1341" s="48"/>
      <c r="J1341" s="47"/>
      <c r="K1341" s="47"/>
      <c r="L1341" s="47"/>
      <c r="M1341" s="47"/>
      <c r="N1341" s="48"/>
      <c r="O1341" s="48"/>
    </row>
    <row r="1342" spans="2:15" x14ac:dyDescent="0.2">
      <c r="B1342" s="47"/>
      <c r="C1342" s="47"/>
      <c r="D1342" s="78"/>
      <c r="E1342" s="47"/>
      <c r="F1342" s="47"/>
      <c r="G1342" s="47"/>
      <c r="H1342" s="47"/>
      <c r="I1342" s="48"/>
      <c r="J1342" s="47"/>
      <c r="K1342" s="47"/>
      <c r="L1342" s="47"/>
      <c r="M1342" s="47"/>
      <c r="N1342" s="48"/>
      <c r="O1342" s="48"/>
    </row>
    <row r="1343" spans="2:15" x14ac:dyDescent="0.2">
      <c r="B1343" s="47"/>
      <c r="C1343" s="47"/>
      <c r="D1343" s="78"/>
      <c r="E1343" s="47"/>
      <c r="F1343" s="47"/>
      <c r="G1343" s="47"/>
      <c r="H1343" s="47"/>
      <c r="I1343" s="48"/>
      <c r="J1343" s="47"/>
      <c r="K1343" s="47"/>
      <c r="L1343" s="47"/>
      <c r="M1343" s="47"/>
      <c r="N1343" s="48"/>
      <c r="O1343" s="48"/>
    </row>
    <row r="1344" spans="2:15" x14ac:dyDescent="0.2">
      <c r="B1344" s="47"/>
      <c r="C1344" s="47"/>
      <c r="D1344" s="78"/>
      <c r="E1344" s="47"/>
      <c r="F1344" s="47"/>
      <c r="G1344" s="47"/>
      <c r="H1344" s="47"/>
      <c r="I1344" s="48"/>
      <c r="J1344" s="47"/>
      <c r="K1344" s="47"/>
      <c r="L1344" s="47"/>
      <c r="M1344" s="47"/>
      <c r="N1344" s="48"/>
      <c r="O1344" s="48"/>
    </row>
    <row r="1345" spans="2:15" x14ac:dyDescent="0.2">
      <c r="B1345" s="47"/>
      <c r="C1345" s="47"/>
      <c r="D1345" s="78"/>
      <c r="E1345" s="47"/>
      <c r="F1345" s="47"/>
      <c r="G1345" s="47"/>
      <c r="H1345" s="47"/>
      <c r="I1345" s="48"/>
      <c r="J1345" s="47"/>
      <c r="K1345" s="47"/>
      <c r="L1345" s="47"/>
      <c r="M1345" s="47"/>
      <c r="N1345" s="48"/>
      <c r="O1345" s="48"/>
    </row>
    <row r="1346" spans="2:15" x14ac:dyDescent="0.2">
      <c r="B1346" s="47"/>
      <c r="C1346" s="47"/>
      <c r="D1346" s="78"/>
      <c r="E1346" s="47"/>
      <c r="F1346" s="47"/>
      <c r="G1346" s="47"/>
      <c r="H1346" s="47"/>
      <c r="I1346" s="48"/>
      <c r="J1346" s="47"/>
      <c r="K1346" s="47"/>
      <c r="L1346" s="47"/>
      <c r="M1346" s="47"/>
      <c r="N1346" s="48"/>
      <c r="O1346" s="48"/>
    </row>
    <row r="1347" spans="2:15" x14ac:dyDescent="0.2">
      <c r="B1347" s="47"/>
      <c r="C1347" s="47"/>
      <c r="D1347" s="78"/>
      <c r="E1347" s="47"/>
      <c r="F1347" s="47"/>
      <c r="G1347" s="47"/>
      <c r="H1347" s="47"/>
      <c r="I1347" s="48"/>
      <c r="J1347" s="47"/>
      <c r="K1347" s="47"/>
      <c r="L1347" s="47"/>
      <c r="M1347" s="47"/>
      <c r="N1347" s="48"/>
      <c r="O1347" s="48"/>
    </row>
    <row r="1348" spans="2:15" x14ac:dyDescent="0.2">
      <c r="B1348" s="47"/>
      <c r="C1348" s="47"/>
      <c r="D1348" s="78"/>
      <c r="E1348" s="47"/>
      <c r="F1348" s="47"/>
      <c r="G1348" s="47"/>
      <c r="H1348" s="47"/>
      <c r="I1348" s="48"/>
      <c r="J1348" s="47"/>
      <c r="K1348" s="47"/>
      <c r="L1348" s="47"/>
      <c r="M1348" s="47"/>
      <c r="N1348" s="48"/>
      <c r="O1348" s="48"/>
    </row>
    <row r="1349" spans="2:15" x14ac:dyDescent="0.2">
      <c r="B1349" s="47"/>
      <c r="C1349" s="47"/>
      <c r="D1349" s="78"/>
      <c r="E1349" s="47"/>
      <c r="F1349" s="47"/>
      <c r="G1349" s="47"/>
      <c r="H1349" s="47"/>
      <c r="I1349" s="48"/>
      <c r="J1349" s="47"/>
      <c r="K1349" s="47"/>
      <c r="L1349" s="47"/>
      <c r="M1349" s="47"/>
      <c r="N1349" s="48"/>
      <c r="O1349" s="48"/>
    </row>
    <row r="1350" spans="2:15" x14ac:dyDescent="0.2">
      <c r="B1350" s="47"/>
      <c r="C1350" s="47"/>
      <c r="D1350" s="78"/>
      <c r="E1350" s="47"/>
      <c r="F1350" s="47"/>
      <c r="G1350" s="47"/>
      <c r="H1350" s="47"/>
      <c r="I1350" s="48"/>
      <c r="J1350" s="47"/>
      <c r="K1350" s="47"/>
      <c r="L1350" s="47"/>
      <c r="M1350" s="47"/>
      <c r="N1350" s="48"/>
      <c r="O1350" s="48"/>
    </row>
    <row r="1351" spans="2:15" x14ac:dyDescent="0.2">
      <c r="B1351" s="47"/>
      <c r="C1351" s="47"/>
      <c r="D1351" s="78"/>
      <c r="E1351" s="47"/>
      <c r="F1351" s="47"/>
      <c r="G1351" s="47"/>
      <c r="H1351" s="47"/>
      <c r="I1351" s="48"/>
      <c r="J1351" s="47"/>
      <c r="K1351" s="47"/>
      <c r="L1351" s="47"/>
      <c r="M1351" s="47"/>
      <c r="N1351" s="48"/>
      <c r="O1351" s="48"/>
    </row>
    <row r="1352" spans="2:15" x14ac:dyDescent="0.2">
      <c r="B1352" s="47"/>
      <c r="C1352" s="47"/>
      <c r="D1352" s="78"/>
      <c r="E1352" s="47"/>
      <c r="F1352" s="47"/>
      <c r="G1352" s="47"/>
      <c r="H1352" s="47"/>
      <c r="I1352" s="48"/>
      <c r="J1352" s="47"/>
      <c r="K1352" s="47"/>
      <c r="L1352" s="47"/>
      <c r="M1352" s="47"/>
      <c r="N1352" s="48"/>
      <c r="O1352" s="48"/>
    </row>
    <row r="1353" spans="2:15" x14ac:dyDescent="0.2">
      <c r="B1353" s="47"/>
      <c r="C1353" s="47"/>
      <c r="D1353" s="78"/>
      <c r="E1353" s="47"/>
      <c r="F1353" s="47"/>
      <c r="G1353" s="47"/>
      <c r="H1353" s="47"/>
      <c r="I1353" s="48"/>
      <c r="J1353" s="47"/>
      <c r="K1353" s="47"/>
      <c r="L1353" s="47"/>
      <c r="M1353" s="47"/>
      <c r="N1353" s="48"/>
      <c r="O1353" s="48"/>
    </row>
    <row r="1354" spans="2:15" x14ac:dyDescent="0.2">
      <c r="B1354" s="47"/>
      <c r="C1354" s="47"/>
      <c r="D1354" s="78"/>
      <c r="E1354" s="47"/>
      <c r="F1354" s="47"/>
      <c r="G1354" s="47"/>
      <c r="H1354" s="47"/>
      <c r="I1354" s="48"/>
      <c r="J1354" s="47"/>
      <c r="K1354" s="47"/>
      <c r="L1354" s="47"/>
      <c r="M1354" s="47"/>
      <c r="N1354" s="48"/>
      <c r="O1354" s="48"/>
    </row>
    <row r="1355" spans="2:15" x14ac:dyDescent="0.2">
      <c r="B1355" s="47"/>
      <c r="C1355" s="47"/>
      <c r="D1355" s="78"/>
      <c r="E1355" s="47"/>
      <c r="F1355" s="47"/>
      <c r="G1355" s="47"/>
      <c r="H1355" s="47"/>
      <c r="I1355" s="48"/>
      <c r="J1355" s="47"/>
      <c r="K1355" s="47"/>
      <c r="L1355" s="47"/>
      <c r="M1355" s="47"/>
      <c r="N1355" s="48"/>
      <c r="O1355" s="48"/>
    </row>
    <row r="1356" spans="2:15" x14ac:dyDescent="0.2">
      <c r="B1356" s="47"/>
      <c r="C1356" s="47"/>
      <c r="D1356" s="78"/>
      <c r="E1356" s="47"/>
      <c r="F1356" s="47"/>
      <c r="G1356" s="47"/>
      <c r="H1356" s="47"/>
      <c r="I1356" s="48"/>
      <c r="J1356" s="47"/>
      <c r="K1356" s="47"/>
      <c r="L1356" s="47"/>
      <c r="M1356" s="47"/>
      <c r="N1356" s="48"/>
      <c r="O1356" s="48"/>
    </row>
    <row r="1357" spans="2:15" x14ac:dyDescent="0.2">
      <c r="B1357" s="47"/>
      <c r="C1357" s="47"/>
      <c r="D1357" s="78"/>
      <c r="E1357" s="47"/>
      <c r="F1357" s="47"/>
      <c r="G1357" s="47"/>
      <c r="H1357" s="47"/>
      <c r="I1357" s="48"/>
      <c r="J1357" s="47"/>
      <c r="K1357" s="47"/>
      <c r="L1357" s="47"/>
      <c r="M1357" s="47"/>
      <c r="N1357" s="48"/>
      <c r="O1357" s="48"/>
    </row>
    <row r="1358" spans="2:15" x14ac:dyDescent="0.2">
      <c r="B1358" s="47"/>
      <c r="C1358" s="47"/>
      <c r="D1358" s="78"/>
      <c r="E1358" s="47"/>
      <c r="F1358" s="47"/>
      <c r="G1358" s="47"/>
      <c r="H1358" s="47"/>
      <c r="I1358" s="48"/>
      <c r="J1358" s="47"/>
      <c r="K1358" s="47"/>
      <c r="L1358" s="47"/>
      <c r="M1358" s="47"/>
      <c r="N1358" s="48"/>
      <c r="O1358" s="48"/>
    </row>
    <row r="1359" spans="2:15" x14ac:dyDescent="0.2">
      <c r="B1359" s="47"/>
      <c r="C1359" s="47"/>
      <c r="D1359" s="78"/>
      <c r="E1359" s="47"/>
      <c r="F1359" s="47"/>
      <c r="G1359" s="47"/>
      <c r="H1359" s="47"/>
      <c r="I1359" s="48"/>
      <c r="J1359" s="47"/>
      <c r="K1359" s="47"/>
      <c r="L1359" s="47"/>
      <c r="M1359" s="47"/>
      <c r="N1359" s="48"/>
      <c r="O1359" s="48"/>
    </row>
    <row r="1360" spans="2:15" x14ac:dyDescent="0.2">
      <c r="B1360" s="47"/>
      <c r="C1360" s="47"/>
      <c r="D1360" s="78"/>
      <c r="E1360" s="47"/>
      <c r="F1360" s="47"/>
      <c r="G1360" s="47"/>
      <c r="H1360" s="47"/>
      <c r="I1360" s="48"/>
      <c r="J1360" s="47"/>
      <c r="K1360" s="47"/>
      <c r="L1360" s="47"/>
      <c r="M1360" s="47"/>
      <c r="N1360" s="48"/>
      <c r="O1360" s="48"/>
    </row>
    <row r="1361" spans="2:15" x14ac:dyDescent="0.2">
      <c r="B1361" s="47"/>
      <c r="C1361" s="47"/>
      <c r="D1361" s="78"/>
      <c r="E1361" s="47"/>
      <c r="F1361" s="47"/>
      <c r="G1361" s="47"/>
      <c r="H1361" s="47"/>
      <c r="I1361" s="48"/>
      <c r="J1361" s="47"/>
      <c r="K1361" s="47"/>
      <c r="L1361" s="47"/>
      <c r="M1361" s="47"/>
      <c r="N1361" s="48"/>
      <c r="O1361" s="48"/>
    </row>
    <row r="1362" spans="2:15" x14ac:dyDescent="0.2">
      <c r="B1362" s="47"/>
      <c r="C1362" s="47"/>
      <c r="D1362" s="78"/>
      <c r="E1362" s="47"/>
      <c r="F1362" s="47"/>
      <c r="G1362" s="47"/>
      <c r="H1362" s="47"/>
      <c r="I1362" s="48"/>
      <c r="J1362" s="47"/>
      <c r="K1362" s="47"/>
      <c r="L1362" s="47"/>
      <c r="M1362" s="47"/>
      <c r="N1362" s="48"/>
      <c r="O1362" s="48"/>
    </row>
    <row r="1363" spans="2:15" x14ac:dyDescent="0.2">
      <c r="B1363" s="47"/>
      <c r="C1363" s="47"/>
      <c r="D1363" s="78"/>
      <c r="E1363" s="47"/>
      <c r="F1363" s="47"/>
      <c r="G1363" s="47"/>
      <c r="H1363" s="47"/>
      <c r="I1363" s="48"/>
      <c r="J1363" s="47"/>
      <c r="K1363" s="47"/>
      <c r="L1363" s="47"/>
      <c r="M1363" s="47"/>
      <c r="N1363" s="48"/>
      <c r="O1363" s="48"/>
    </row>
    <row r="1364" spans="2:15" x14ac:dyDescent="0.2">
      <c r="B1364" s="47"/>
      <c r="C1364" s="47"/>
      <c r="D1364" s="78"/>
      <c r="E1364" s="47"/>
      <c r="F1364" s="47"/>
      <c r="G1364" s="47"/>
      <c r="H1364" s="47"/>
      <c r="I1364" s="48"/>
      <c r="J1364" s="47"/>
      <c r="K1364" s="47"/>
      <c r="L1364" s="47"/>
      <c r="M1364" s="47"/>
      <c r="N1364" s="48"/>
      <c r="O1364" s="48"/>
    </row>
    <row r="1365" spans="2:15" x14ac:dyDescent="0.2">
      <c r="B1365" s="47"/>
      <c r="C1365" s="47"/>
      <c r="D1365" s="78"/>
      <c r="E1365" s="47"/>
      <c r="F1365" s="47"/>
      <c r="G1365" s="47"/>
      <c r="H1365" s="47"/>
      <c r="I1365" s="48"/>
      <c r="J1365" s="47"/>
      <c r="K1365" s="47"/>
      <c r="L1365" s="47"/>
      <c r="M1365" s="47"/>
      <c r="N1365" s="48"/>
      <c r="O1365" s="48"/>
    </row>
    <row r="1366" spans="2:15" x14ac:dyDescent="0.2">
      <c r="B1366" s="47"/>
      <c r="C1366" s="47"/>
      <c r="D1366" s="78"/>
      <c r="E1366" s="47"/>
      <c r="F1366" s="47"/>
      <c r="G1366" s="47"/>
      <c r="H1366" s="47"/>
      <c r="I1366" s="48"/>
      <c r="J1366" s="47"/>
      <c r="K1366" s="47"/>
      <c r="L1366" s="47"/>
      <c r="M1366" s="47"/>
      <c r="N1366" s="48"/>
      <c r="O1366" s="48"/>
    </row>
    <row r="1367" spans="2:15" x14ac:dyDescent="0.2">
      <c r="B1367" s="47"/>
      <c r="C1367" s="47"/>
      <c r="D1367" s="78"/>
      <c r="E1367" s="47"/>
      <c r="F1367" s="47"/>
      <c r="G1367" s="47"/>
      <c r="H1367" s="47"/>
      <c r="I1367" s="48"/>
      <c r="J1367" s="47"/>
      <c r="K1367" s="47"/>
      <c r="L1367" s="47"/>
      <c r="M1367" s="47"/>
      <c r="N1367" s="48"/>
      <c r="O1367" s="48"/>
    </row>
    <row r="1368" spans="2:15" x14ac:dyDescent="0.2">
      <c r="B1368" s="47"/>
      <c r="C1368" s="47"/>
      <c r="D1368" s="78"/>
      <c r="E1368" s="47"/>
      <c r="F1368" s="47"/>
      <c r="G1368" s="47"/>
      <c r="H1368" s="47"/>
      <c r="I1368" s="48"/>
      <c r="J1368" s="47"/>
      <c r="K1368" s="47"/>
      <c r="L1368" s="47"/>
      <c r="M1368" s="47"/>
      <c r="N1368" s="48"/>
      <c r="O1368" s="48"/>
    </row>
    <row r="1369" spans="2:15" x14ac:dyDescent="0.2">
      <c r="B1369" s="47"/>
      <c r="C1369" s="47"/>
      <c r="D1369" s="78"/>
      <c r="E1369" s="47"/>
      <c r="F1369" s="47"/>
      <c r="G1369" s="47"/>
      <c r="H1369" s="47"/>
      <c r="I1369" s="48"/>
      <c r="J1369" s="47"/>
      <c r="K1369" s="47"/>
      <c r="L1369" s="47"/>
      <c r="M1369" s="47"/>
      <c r="N1369" s="48"/>
      <c r="O1369" s="48"/>
    </row>
    <row r="1370" spans="2:15" x14ac:dyDescent="0.2">
      <c r="B1370" s="47"/>
      <c r="C1370" s="47"/>
      <c r="D1370" s="78"/>
      <c r="E1370" s="47"/>
      <c r="F1370" s="47"/>
      <c r="G1370" s="47"/>
      <c r="H1370" s="47"/>
      <c r="I1370" s="48"/>
      <c r="J1370" s="47"/>
      <c r="K1370" s="47"/>
      <c r="L1370" s="47"/>
      <c r="M1370" s="47"/>
      <c r="N1370" s="48"/>
      <c r="O1370" s="48"/>
    </row>
    <row r="1371" spans="2:15" x14ac:dyDescent="0.2">
      <c r="B1371" s="47"/>
      <c r="C1371" s="47"/>
      <c r="D1371" s="78"/>
      <c r="E1371" s="47"/>
      <c r="F1371" s="47"/>
      <c r="G1371" s="47"/>
      <c r="H1371" s="47"/>
      <c r="I1371" s="48"/>
      <c r="J1371" s="47"/>
      <c r="K1371" s="47"/>
      <c r="L1371" s="47"/>
      <c r="M1371" s="47"/>
      <c r="N1371" s="48"/>
      <c r="O1371" s="48"/>
    </row>
    <row r="1372" spans="2:15" x14ac:dyDescent="0.2">
      <c r="B1372" s="47"/>
      <c r="C1372" s="47"/>
      <c r="D1372" s="78"/>
      <c r="E1372" s="47"/>
      <c r="F1372" s="47"/>
      <c r="G1372" s="47"/>
      <c r="H1372" s="47"/>
      <c r="I1372" s="48"/>
      <c r="J1372" s="47"/>
      <c r="K1372" s="47"/>
      <c r="L1372" s="47"/>
      <c r="M1372" s="47"/>
      <c r="N1372" s="48"/>
      <c r="O1372" s="48"/>
    </row>
    <row r="1373" spans="2:15" x14ac:dyDescent="0.2">
      <c r="B1373" s="47"/>
      <c r="C1373" s="47"/>
      <c r="D1373" s="78"/>
      <c r="E1373" s="47"/>
      <c r="F1373" s="47"/>
      <c r="G1373" s="47"/>
      <c r="H1373" s="47"/>
      <c r="I1373" s="48"/>
      <c r="J1373" s="47"/>
      <c r="K1373" s="47"/>
      <c r="L1373" s="47"/>
      <c r="M1373" s="47"/>
      <c r="N1373" s="48"/>
      <c r="O1373" s="48"/>
    </row>
    <row r="1374" spans="2:15" x14ac:dyDescent="0.2">
      <c r="B1374" s="47"/>
      <c r="C1374" s="47"/>
      <c r="D1374" s="78"/>
      <c r="E1374" s="47"/>
      <c r="F1374" s="47"/>
      <c r="G1374" s="47"/>
      <c r="H1374" s="47"/>
      <c r="I1374" s="48"/>
      <c r="J1374" s="47"/>
      <c r="K1374" s="47"/>
      <c r="L1374" s="47"/>
      <c r="M1374" s="47"/>
      <c r="N1374" s="48"/>
      <c r="O1374" s="48"/>
    </row>
    <row r="1375" spans="2:15" x14ac:dyDescent="0.2">
      <c r="B1375" s="47"/>
      <c r="C1375" s="47"/>
      <c r="D1375" s="78"/>
      <c r="E1375" s="47"/>
      <c r="F1375" s="47"/>
      <c r="G1375" s="47"/>
      <c r="H1375" s="47"/>
      <c r="I1375" s="48"/>
      <c r="J1375" s="47"/>
      <c r="K1375" s="47"/>
      <c r="L1375" s="47"/>
      <c r="M1375" s="47"/>
      <c r="N1375" s="48"/>
      <c r="O1375" s="48"/>
    </row>
    <row r="1376" spans="2:15" x14ac:dyDescent="0.2">
      <c r="B1376" s="47"/>
      <c r="C1376" s="47"/>
      <c r="D1376" s="78"/>
      <c r="E1376" s="47"/>
      <c r="F1376" s="47"/>
      <c r="G1376" s="47"/>
      <c r="H1376" s="47"/>
      <c r="I1376" s="48"/>
      <c r="J1376" s="47"/>
      <c r="K1376" s="47"/>
      <c r="L1376" s="47"/>
      <c r="M1376" s="47"/>
      <c r="N1376" s="48"/>
      <c r="O1376" s="48"/>
    </row>
    <row r="1377" spans="2:15" x14ac:dyDescent="0.2">
      <c r="B1377" s="47"/>
      <c r="C1377" s="47"/>
      <c r="D1377" s="78"/>
      <c r="E1377" s="47"/>
      <c r="F1377" s="47"/>
      <c r="G1377" s="47"/>
      <c r="H1377" s="47"/>
      <c r="I1377" s="48"/>
      <c r="J1377" s="47"/>
      <c r="K1377" s="47"/>
      <c r="L1377" s="47"/>
      <c r="M1377" s="47"/>
      <c r="N1377" s="48"/>
      <c r="O1377" s="48"/>
    </row>
    <row r="1378" spans="2:15" x14ac:dyDescent="0.2">
      <c r="B1378" s="47"/>
      <c r="C1378" s="47"/>
      <c r="D1378" s="78"/>
      <c r="E1378" s="47"/>
      <c r="F1378" s="47"/>
      <c r="G1378" s="47"/>
      <c r="H1378" s="47"/>
      <c r="I1378" s="48"/>
      <c r="J1378" s="47"/>
      <c r="K1378" s="47"/>
      <c r="L1378" s="47"/>
      <c r="M1378" s="47"/>
      <c r="N1378" s="48"/>
      <c r="O1378" s="48"/>
    </row>
    <row r="1379" spans="2:15" x14ac:dyDescent="0.2">
      <c r="B1379" s="47"/>
      <c r="C1379" s="47"/>
      <c r="D1379" s="78"/>
      <c r="E1379" s="47"/>
      <c r="F1379" s="47"/>
      <c r="G1379" s="47"/>
      <c r="H1379" s="47"/>
      <c r="I1379" s="48"/>
      <c r="J1379" s="47"/>
      <c r="K1379" s="47"/>
      <c r="L1379" s="47"/>
      <c r="M1379" s="47"/>
      <c r="N1379" s="48"/>
      <c r="O1379" s="48"/>
    </row>
    <row r="1380" spans="2:15" x14ac:dyDescent="0.2">
      <c r="B1380" s="47"/>
      <c r="C1380" s="47"/>
      <c r="D1380" s="78"/>
      <c r="E1380" s="47"/>
      <c r="F1380" s="47"/>
      <c r="G1380" s="47"/>
      <c r="H1380" s="47"/>
      <c r="I1380" s="48"/>
      <c r="J1380" s="47"/>
      <c r="K1380" s="47"/>
      <c r="L1380" s="47"/>
      <c r="M1380" s="47"/>
      <c r="N1380" s="48"/>
      <c r="O1380" s="48"/>
    </row>
    <row r="1381" spans="2:15" x14ac:dyDescent="0.2">
      <c r="B1381" s="47"/>
      <c r="C1381" s="47"/>
      <c r="D1381" s="78"/>
      <c r="E1381" s="47"/>
      <c r="F1381" s="47"/>
      <c r="G1381" s="47"/>
      <c r="H1381" s="47"/>
      <c r="I1381" s="48"/>
      <c r="J1381" s="47"/>
      <c r="K1381" s="47"/>
      <c r="L1381" s="47"/>
      <c r="M1381" s="47"/>
      <c r="N1381" s="48"/>
      <c r="O1381" s="48"/>
    </row>
    <row r="1382" spans="2:15" x14ac:dyDescent="0.2">
      <c r="B1382" s="47"/>
      <c r="C1382" s="47"/>
      <c r="D1382" s="78"/>
      <c r="E1382" s="47"/>
      <c r="F1382" s="47"/>
      <c r="G1382" s="47"/>
      <c r="H1382" s="47"/>
      <c r="I1382" s="48"/>
      <c r="J1382" s="47"/>
      <c r="K1382" s="47"/>
      <c r="L1382" s="47"/>
      <c r="M1382" s="47"/>
      <c r="N1382" s="48"/>
      <c r="O1382" s="48"/>
    </row>
    <row r="1383" spans="2:15" x14ac:dyDescent="0.2">
      <c r="B1383" s="47"/>
      <c r="C1383" s="47"/>
      <c r="D1383" s="78"/>
      <c r="E1383" s="47"/>
      <c r="F1383" s="47"/>
      <c r="G1383" s="47"/>
      <c r="H1383" s="47"/>
      <c r="I1383" s="48"/>
      <c r="J1383" s="47"/>
      <c r="K1383" s="47"/>
      <c r="L1383" s="47"/>
      <c r="M1383" s="47"/>
      <c r="N1383" s="48"/>
      <c r="O1383" s="48"/>
    </row>
    <row r="1384" spans="2:15" x14ac:dyDescent="0.2">
      <c r="B1384" s="47"/>
      <c r="C1384" s="47"/>
      <c r="D1384" s="78"/>
      <c r="E1384" s="47"/>
      <c r="F1384" s="47"/>
      <c r="G1384" s="47"/>
      <c r="H1384" s="47"/>
      <c r="I1384" s="48"/>
      <c r="J1384" s="47"/>
      <c r="K1384" s="47"/>
      <c r="L1384" s="47"/>
      <c r="M1384" s="47"/>
      <c r="N1384" s="48"/>
      <c r="O1384" s="48"/>
    </row>
    <row r="1385" spans="2:15" x14ac:dyDescent="0.2">
      <c r="B1385" s="47"/>
      <c r="C1385" s="47"/>
      <c r="D1385" s="78"/>
      <c r="E1385" s="47"/>
      <c r="F1385" s="47"/>
      <c r="G1385" s="47"/>
      <c r="H1385" s="47"/>
      <c r="I1385" s="48"/>
      <c r="J1385" s="47"/>
      <c r="K1385" s="47"/>
      <c r="L1385" s="47"/>
      <c r="M1385" s="47"/>
      <c r="N1385" s="48"/>
      <c r="O1385" s="48"/>
    </row>
    <row r="1386" spans="2:15" x14ac:dyDescent="0.2">
      <c r="B1386" s="47"/>
      <c r="C1386" s="47"/>
      <c r="D1386" s="78"/>
      <c r="E1386" s="47"/>
      <c r="F1386" s="47"/>
      <c r="G1386" s="47"/>
      <c r="H1386" s="47"/>
      <c r="I1386" s="48"/>
      <c r="J1386" s="47"/>
      <c r="K1386" s="47"/>
      <c r="L1386" s="47"/>
      <c r="M1386" s="47"/>
      <c r="N1386" s="48"/>
      <c r="O1386" s="48"/>
    </row>
    <row r="1387" spans="2:15" x14ac:dyDescent="0.2">
      <c r="B1387" s="47"/>
      <c r="C1387" s="47"/>
      <c r="D1387" s="78"/>
      <c r="E1387" s="47"/>
      <c r="F1387" s="47"/>
      <c r="G1387" s="47"/>
      <c r="H1387" s="47"/>
      <c r="I1387" s="48"/>
      <c r="J1387" s="47"/>
      <c r="K1387" s="47"/>
      <c r="L1387" s="47"/>
      <c r="M1387" s="47"/>
      <c r="N1387" s="48"/>
      <c r="O1387" s="48"/>
    </row>
    <row r="1388" spans="2:15" x14ac:dyDescent="0.2">
      <c r="B1388" s="47"/>
      <c r="C1388" s="47"/>
      <c r="D1388" s="78"/>
      <c r="E1388" s="47"/>
      <c r="F1388" s="47"/>
      <c r="G1388" s="47"/>
      <c r="H1388" s="47"/>
      <c r="I1388" s="48"/>
      <c r="J1388" s="47"/>
      <c r="K1388" s="47"/>
      <c r="L1388" s="47"/>
      <c r="M1388" s="47"/>
      <c r="N1388" s="48"/>
      <c r="O1388" s="48"/>
    </row>
    <row r="1389" spans="2:15" x14ac:dyDescent="0.2">
      <c r="B1389" s="47"/>
      <c r="C1389" s="47"/>
      <c r="D1389" s="78"/>
      <c r="E1389" s="47"/>
      <c r="F1389" s="47"/>
      <c r="G1389" s="47"/>
      <c r="H1389" s="47"/>
      <c r="I1389" s="48"/>
      <c r="J1389" s="47"/>
      <c r="K1389" s="47"/>
      <c r="L1389" s="47"/>
      <c r="M1389" s="47"/>
      <c r="N1389" s="48"/>
      <c r="O1389" s="48"/>
    </row>
    <row r="1390" spans="2:15" x14ac:dyDescent="0.2">
      <c r="B1390" s="47"/>
      <c r="C1390" s="47"/>
      <c r="D1390" s="78"/>
      <c r="E1390" s="47"/>
      <c r="F1390" s="47"/>
      <c r="G1390" s="47"/>
      <c r="H1390" s="47"/>
      <c r="I1390" s="48"/>
      <c r="J1390" s="47"/>
      <c r="K1390" s="47"/>
      <c r="L1390" s="47"/>
      <c r="M1390" s="47"/>
      <c r="N1390" s="48"/>
      <c r="O1390" s="48"/>
    </row>
    <row r="1391" spans="2:15" x14ac:dyDescent="0.2">
      <c r="B1391" s="47"/>
      <c r="C1391" s="47"/>
      <c r="D1391" s="78"/>
      <c r="E1391" s="47"/>
      <c r="F1391" s="47"/>
      <c r="G1391" s="47"/>
      <c r="H1391" s="47"/>
      <c r="I1391" s="48"/>
      <c r="J1391" s="47"/>
      <c r="K1391" s="47"/>
      <c r="L1391" s="47"/>
      <c r="M1391" s="47"/>
      <c r="N1391" s="48"/>
      <c r="O1391" s="48"/>
    </row>
    <row r="1392" spans="2:15" x14ac:dyDescent="0.2">
      <c r="B1392" s="47"/>
      <c r="C1392" s="47"/>
      <c r="D1392" s="78"/>
      <c r="E1392" s="47"/>
      <c r="F1392" s="47"/>
      <c r="G1392" s="47"/>
      <c r="H1392" s="47"/>
      <c r="I1392" s="48"/>
      <c r="J1392" s="47"/>
      <c r="K1392" s="47"/>
      <c r="L1392" s="47"/>
      <c r="M1392" s="47"/>
      <c r="N1392" s="48"/>
      <c r="O1392" s="48"/>
    </row>
    <row r="1393" spans="2:15" x14ac:dyDescent="0.2">
      <c r="B1393" s="47"/>
      <c r="C1393" s="47"/>
      <c r="D1393" s="78"/>
      <c r="E1393" s="47"/>
      <c r="F1393" s="47"/>
      <c r="G1393" s="47"/>
      <c r="H1393" s="47"/>
      <c r="I1393" s="48"/>
      <c r="J1393" s="47"/>
      <c r="K1393" s="47"/>
      <c r="L1393" s="47"/>
      <c r="M1393" s="47"/>
      <c r="N1393" s="48"/>
      <c r="O1393" s="48"/>
    </row>
    <row r="1394" spans="2:15" x14ac:dyDescent="0.2">
      <c r="B1394" s="47"/>
      <c r="C1394" s="47"/>
      <c r="D1394" s="78"/>
      <c r="E1394" s="47"/>
      <c r="F1394" s="47"/>
      <c r="G1394" s="47"/>
      <c r="H1394" s="47"/>
      <c r="I1394" s="48"/>
      <c r="J1394" s="47"/>
      <c r="K1394" s="47"/>
      <c r="L1394" s="47"/>
      <c r="M1394" s="47"/>
      <c r="N1394" s="48"/>
      <c r="O1394" s="48"/>
    </row>
    <row r="1395" spans="2:15" x14ac:dyDescent="0.2">
      <c r="B1395" s="47"/>
      <c r="C1395" s="47"/>
      <c r="D1395" s="78"/>
      <c r="E1395" s="47"/>
      <c r="F1395" s="47"/>
      <c r="G1395" s="47"/>
      <c r="H1395" s="47"/>
      <c r="I1395" s="48"/>
      <c r="J1395" s="47"/>
      <c r="K1395" s="47"/>
      <c r="L1395" s="47"/>
      <c r="M1395" s="47"/>
      <c r="N1395" s="48"/>
      <c r="O1395" s="48"/>
    </row>
    <row r="1396" spans="2:15" x14ac:dyDescent="0.2">
      <c r="B1396" s="47"/>
      <c r="C1396" s="47"/>
      <c r="D1396" s="78"/>
      <c r="E1396" s="47"/>
      <c r="F1396" s="47"/>
      <c r="G1396" s="47"/>
      <c r="H1396" s="47"/>
      <c r="I1396" s="48"/>
      <c r="J1396" s="47"/>
      <c r="K1396" s="47"/>
      <c r="L1396" s="47"/>
      <c r="M1396" s="47"/>
      <c r="N1396" s="48"/>
      <c r="O1396" s="48"/>
    </row>
    <row r="1397" spans="2:15" x14ac:dyDescent="0.2">
      <c r="B1397" s="47"/>
      <c r="C1397" s="47"/>
      <c r="D1397" s="78"/>
      <c r="E1397" s="47"/>
      <c r="F1397" s="47"/>
      <c r="G1397" s="47"/>
      <c r="H1397" s="47"/>
      <c r="I1397" s="48"/>
      <c r="J1397" s="47"/>
      <c r="K1397" s="47"/>
      <c r="L1397" s="47"/>
      <c r="M1397" s="47"/>
      <c r="N1397" s="48"/>
      <c r="O1397" s="48"/>
    </row>
    <row r="1398" spans="2:15" x14ac:dyDescent="0.2">
      <c r="B1398" s="47"/>
      <c r="C1398" s="47"/>
      <c r="D1398" s="78"/>
      <c r="E1398" s="47"/>
      <c r="F1398" s="47"/>
      <c r="G1398" s="47"/>
      <c r="H1398" s="47"/>
      <c r="I1398" s="48"/>
      <c r="J1398" s="47"/>
      <c r="K1398" s="47"/>
      <c r="L1398" s="47"/>
      <c r="M1398" s="47"/>
      <c r="N1398" s="48"/>
      <c r="O1398" s="48"/>
    </row>
    <row r="1399" spans="2:15" x14ac:dyDescent="0.2">
      <c r="B1399" s="47"/>
      <c r="C1399" s="47"/>
      <c r="D1399" s="78"/>
      <c r="E1399" s="47"/>
      <c r="F1399" s="47"/>
      <c r="G1399" s="47"/>
      <c r="H1399" s="47"/>
      <c r="I1399" s="48"/>
      <c r="J1399" s="47"/>
      <c r="K1399" s="47"/>
      <c r="L1399" s="47"/>
      <c r="M1399" s="47"/>
      <c r="N1399" s="48"/>
      <c r="O1399" s="48"/>
    </row>
    <row r="1400" spans="2:15" x14ac:dyDescent="0.2">
      <c r="B1400" s="47"/>
      <c r="C1400" s="47"/>
      <c r="D1400" s="78"/>
      <c r="E1400" s="47"/>
      <c r="F1400" s="47"/>
      <c r="G1400" s="47"/>
      <c r="H1400" s="47"/>
      <c r="I1400" s="48"/>
      <c r="J1400" s="47"/>
      <c r="K1400" s="47"/>
      <c r="L1400" s="47"/>
      <c r="M1400" s="47"/>
      <c r="N1400" s="48"/>
      <c r="O1400" s="48"/>
    </row>
    <row r="1401" spans="2:15" x14ac:dyDescent="0.2">
      <c r="B1401" s="47"/>
      <c r="C1401" s="47"/>
      <c r="D1401" s="78"/>
      <c r="E1401" s="47"/>
      <c r="F1401" s="47"/>
      <c r="G1401" s="47"/>
      <c r="H1401" s="47"/>
      <c r="I1401" s="48"/>
      <c r="J1401" s="47"/>
      <c r="K1401" s="47"/>
      <c r="L1401" s="47"/>
      <c r="M1401" s="47"/>
      <c r="N1401" s="48"/>
      <c r="O1401" s="48"/>
    </row>
    <row r="1402" spans="2:15" x14ac:dyDescent="0.2">
      <c r="B1402" s="47"/>
      <c r="C1402" s="47"/>
      <c r="D1402" s="78"/>
      <c r="E1402" s="47"/>
      <c r="F1402" s="47"/>
      <c r="G1402" s="47"/>
      <c r="H1402" s="47"/>
      <c r="I1402" s="48"/>
      <c r="J1402" s="47"/>
      <c r="K1402" s="47"/>
      <c r="L1402" s="47"/>
      <c r="M1402" s="47"/>
      <c r="N1402" s="48"/>
      <c r="O1402" s="48"/>
    </row>
    <row r="1403" spans="2:15" x14ac:dyDescent="0.2">
      <c r="B1403" s="47"/>
      <c r="C1403" s="47"/>
      <c r="D1403" s="78"/>
      <c r="E1403" s="47"/>
      <c r="F1403" s="47"/>
      <c r="G1403" s="47"/>
      <c r="H1403" s="47"/>
      <c r="I1403" s="48"/>
      <c r="J1403" s="47"/>
      <c r="K1403" s="47"/>
      <c r="L1403" s="47"/>
      <c r="M1403" s="47"/>
      <c r="N1403" s="48"/>
      <c r="O1403" s="48"/>
    </row>
    <row r="1404" spans="2:15" x14ac:dyDescent="0.2">
      <c r="B1404" s="47"/>
      <c r="C1404" s="47"/>
      <c r="D1404" s="78"/>
      <c r="E1404" s="47"/>
      <c r="F1404" s="47"/>
      <c r="G1404" s="47"/>
      <c r="H1404" s="47"/>
      <c r="I1404" s="48"/>
      <c r="J1404" s="47"/>
      <c r="K1404" s="47"/>
      <c r="L1404" s="47"/>
      <c r="M1404" s="47"/>
      <c r="N1404" s="48"/>
      <c r="O1404" s="48"/>
    </row>
    <row r="1405" spans="2:15" x14ac:dyDescent="0.2">
      <c r="B1405" s="47"/>
      <c r="C1405" s="47"/>
      <c r="D1405" s="78"/>
      <c r="E1405" s="47"/>
      <c r="F1405" s="47"/>
      <c r="G1405" s="47"/>
      <c r="H1405" s="47"/>
      <c r="I1405" s="48"/>
      <c r="J1405" s="47"/>
      <c r="K1405" s="47"/>
      <c r="L1405" s="47"/>
      <c r="M1405" s="47"/>
      <c r="N1405" s="48"/>
      <c r="O1405" s="48"/>
    </row>
    <row r="1406" spans="2:15" x14ac:dyDescent="0.2">
      <c r="B1406" s="47"/>
      <c r="C1406" s="47"/>
      <c r="D1406" s="78"/>
      <c r="E1406" s="47"/>
      <c r="F1406" s="47"/>
      <c r="G1406" s="47"/>
      <c r="H1406" s="47"/>
      <c r="I1406" s="48"/>
      <c r="J1406" s="47"/>
      <c r="K1406" s="47"/>
      <c r="L1406" s="47"/>
      <c r="M1406" s="47"/>
      <c r="N1406" s="48"/>
      <c r="O1406" s="48"/>
    </row>
    <row r="1407" spans="2:15" x14ac:dyDescent="0.2">
      <c r="B1407" s="47"/>
      <c r="C1407" s="47"/>
      <c r="D1407" s="78"/>
      <c r="E1407" s="47"/>
      <c r="F1407" s="47"/>
      <c r="G1407" s="47"/>
      <c r="H1407" s="47"/>
      <c r="I1407" s="48"/>
      <c r="J1407" s="47"/>
      <c r="K1407" s="47"/>
      <c r="L1407" s="47"/>
      <c r="M1407" s="47"/>
      <c r="N1407" s="48"/>
      <c r="O1407" s="48"/>
    </row>
    <row r="1408" spans="2:15" x14ac:dyDescent="0.2">
      <c r="B1408" s="47"/>
      <c r="C1408" s="47"/>
      <c r="D1408" s="78"/>
      <c r="E1408" s="47"/>
      <c r="F1408" s="47"/>
      <c r="G1408" s="47"/>
      <c r="H1408" s="47"/>
      <c r="I1408" s="48"/>
      <c r="J1408" s="47"/>
      <c r="K1408" s="47"/>
      <c r="L1408" s="47"/>
      <c r="M1408" s="47"/>
      <c r="N1408" s="48"/>
      <c r="O1408" s="48"/>
    </row>
    <row r="1409" spans="2:15" x14ac:dyDescent="0.2">
      <c r="B1409" s="47"/>
      <c r="C1409" s="47"/>
      <c r="D1409" s="78"/>
      <c r="E1409" s="47"/>
      <c r="F1409" s="47"/>
      <c r="G1409" s="47"/>
      <c r="H1409" s="47"/>
      <c r="I1409" s="48"/>
      <c r="J1409" s="47"/>
      <c r="K1409" s="47"/>
      <c r="L1409" s="47"/>
      <c r="M1409" s="47"/>
      <c r="N1409" s="48"/>
      <c r="O1409" s="48"/>
    </row>
    <row r="1410" spans="2:15" x14ac:dyDescent="0.2">
      <c r="B1410" s="47"/>
      <c r="C1410" s="47"/>
      <c r="D1410" s="78"/>
      <c r="E1410" s="47"/>
      <c r="F1410" s="47"/>
      <c r="G1410" s="47"/>
      <c r="H1410" s="47"/>
      <c r="I1410" s="48"/>
      <c r="J1410" s="47"/>
      <c r="K1410" s="47"/>
      <c r="L1410" s="47"/>
      <c r="M1410" s="47"/>
      <c r="N1410" s="48"/>
      <c r="O1410" s="48"/>
    </row>
    <row r="1411" spans="2:15" x14ac:dyDescent="0.2">
      <c r="B1411" s="47"/>
      <c r="C1411" s="47"/>
      <c r="D1411" s="78"/>
      <c r="E1411" s="47"/>
      <c r="F1411" s="47"/>
      <c r="G1411" s="47"/>
      <c r="H1411" s="47"/>
      <c r="I1411" s="48"/>
      <c r="J1411" s="47"/>
      <c r="K1411" s="47"/>
      <c r="L1411" s="47"/>
      <c r="M1411" s="47"/>
      <c r="N1411" s="48"/>
      <c r="O1411" s="48"/>
    </row>
    <row r="1412" spans="2:15" x14ac:dyDescent="0.2">
      <c r="B1412" s="47"/>
      <c r="C1412" s="47"/>
      <c r="D1412" s="78"/>
      <c r="E1412" s="47"/>
      <c r="F1412" s="47"/>
      <c r="G1412" s="47"/>
      <c r="H1412" s="47"/>
      <c r="I1412" s="48"/>
      <c r="J1412" s="47"/>
      <c r="K1412" s="47"/>
      <c r="L1412" s="47"/>
      <c r="M1412" s="47"/>
      <c r="N1412" s="48"/>
      <c r="O1412" s="48"/>
    </row>
    <row r="1413" spans="2:15" x14ac:dyDescent="0.2">
      <c r="B1413" s="47"/>
      <c r="C1413" s="47"/>
      <c r="D1413" s="78"/>
      <c r="E1413" s="47"/>
      <c r="F1413" s="47"/>
      <c r="G1413" s="47"/>
      <c r="H1413" s="47"/>
      <c r="I1413" s="48"/>
      <c r="J1413" s="47"/>
      <c r="K1413" s="47"/>
      <c r="L1413" s="47"/>
      <c r="M1413" s="47"/>
      <c r="N1413" s="48"/>
      <c r="O1413" s="48"/>
    </row>
    <row r="1414" spans="2:15" x14ac:dyDescent="0.2">
      <c r="B1414" s="47"/>
      <c r="C1414" s="47"/>
      <c r="D1414" s="78"/>
      <c r="E1414" s="47"/>
      <c r="F1414" s="47"/>
      <c r="G1414" s="47"/>
      <c r="H1414" s="47"/>
      <c r="I1414" s="48"/>
      <c r="J1414" s="47"/>
      <c r="K1414" s="47"/>
      <c r="L1414" s="47"/>
      <c r="M1414" s="47"/>
      <c r="N1414" s="48"/>
      <c r="O1414" s="48"/>
    </row>
    <row r="1415" spans="2:15" x14ac:dyDescent="0.2">
      <c r="B1415" s="47"/>
      <c r="C1415" s="47"/>
      <c r="D1415" s="78"/>
      <c r="E1415" s="47"/>
      <c r="F1415" s="47"/>
      <c r="G1415" s="47"/>
      <c r="H1415" s="47"/>
      <c r="I1415" s="48"/>
      <c r="J1415" s="47"/>
      <c r="K1415" s="47"/>
      <c r="L1415" s="47"/>
      <c r="M1415" s="47"/>
      <c r="N1415" s="48"/>
      <c r="O1415" s="48"/>
    </row>
    <row r="1416" spans="2:15" x14ac:dyDescent="0.2">
      <c r="B1416" s="47"/>
      <c r="C1416" s="47"/>
      <c r="D1416" s="78"/>
      <c r="E1416" s="47"/>
      <c r="F1416" s="47"/>
      <c r="G1416" s="47"/>
      <c r="H1416" s="47"/>
      <c r="I1416" s="48"/>
      <c r="J1416" s="47"/>
      <c r="K1416" s="47"/>
      <c r="L1416" s="47"/>
      <c r="M1416" s="47"/>
      <c r="N1416" s="48"/>
      <c r="O1416" s="48"/>
    </row>
    <row r="1417" spans="2:15" x14ac:dyDescent="0.2">
      <c r="B1417" s="47"/>
      <c r="C1417" s="47"/>
      <c r="D1417" s="78"/>
      <c r="E1417" s="47"/>
      <c r="F1417" s="47"/>
      <c r="G1417" s="47"/>
      <c r="H1417" s="47"/>
      <c r="I1417" s="48"/>
      <c r="J1417" s="47"/>
      <c r="K1417" s="47"/>
      <c r="L1417" s="47"/>
      <c r="M1417" s="47"/>
      <c r="N1417" s="48"/>
      <c r="O1417" s="48"/>
    </row>
    <row r="1418" spans="2:15" x14ac:dyDescent="0.2">
      <c r="B1418" s="47"/>
      <c r="C1418" s="47"/>
      <c r="D1418" s="78"/>
      <c r="E1418" s="47"/>
      <c r="F1418" s="47"/>
      <c r="G1418" s="47"/>
      <c r="H1418" s="47"/>
      <c r="I1418" s="48"/>
      <c r="J1418" s="47"/>
      <c r="K1418" s="47"/>
      <c r="L1418" s="47"/>
      <c r="M1418" s="47"/>
      <c r="N1418" s="48"/>
      <c r="O1418" s="48"/>
    </row>
    <row r="1419" spans="2:15" x14ac:dyDescent="0.2">
      <c r="B1419" s="47"/>
      <c r="C1419" s="47"/>
      <c r="D1419" s="78"/>
      <c r="E1419" s="47"/>
      <c r="F1419" s="47"/>
      <c r="G1419" s="47"/>
      <c r="H1419" s="47"/>
      <c r="I1419" s="48"/>
      <c r="J1419" s="47"/>
      <c r="K1419" s="47"/>
      <c r="L1419" s="47"/>
      <c r="M1419" s="47"/>
      <c r="N1419" s="48"/>
      <c r="O1419" s="48"/>
    </row>
    <row r="1420" spans="2:15" x14ac:dyDescent="0.2">
      <c r="B1420" s="47"/>
      <c r="C1420" s="47"/>
      <c r="D1420" s="78"/>
      <c r="E1420" s="47"/>
      <c r="F1420" s="47"/>
      <c r="G1420" s="47"/>
      <c r="H1420" s="47"/>
      <c r="I1420" s="48"/>
      <c r="J1420" s="47"/>
      <c r="K1420" s="47"/>
      <c r="L1420" s="47"/>
      <c r="M1420" s="47"/>
      <c r="N1420" s="48"/>
      <c r="O1420" s="48"/>
    </row>
    <row r="1421" spans="2:15" x14ac:dyDescent="0.2">
      <c r="B1421" s="47"/>
      <c r="C1421" s="47"/>
      <c r="D1421" s="78"/>
      <c r="E1421" s="47"/>
      <c r="F1421" s="47"/>
      <c r="G1421" s="47"/>
      <c r="H1421" s="47"/>
      <c r="I1421" s="48"/>
      <c r="J1421" s="47"/>
      <c r="K1421" s="47"/>
      <c r="L1421" s="47"/>
      <c r="M1421" s="47"/>
      <c r="N1421" s="48"/>
      <c r="O1421" s="48"/>
    </row>
    <row r="1422" spans="2:15" x14ac:dyDescent="0.2">
      <c r="B1422" s="47"/>
      <c r="C1422" s="47"/>
      <c r="D1422" s="78"/>
      <c r="E1422" s="47"/>
      <c r="F1422" s="47"/>
      <c r="G1422" s="47"/>
      <c r="H1422" s="47"/>
      <c r="I1422" s="48"/>
      <c r="J1422" s="47"/>
      <c r="K1422" s="47"/>
      <c r="L1422" s="47"/>
      <c r="M1422" s="47"/>
      <c r="N1422" s="48"/>
      <c r="O1422" s="48"/>
    </row>
    <row r="1423" spans="2:15" x14ac:dyDescent="0.2">
      <c r="B1423" s="47"/>
      <c r="C1423" s="47"/>
      <c r="D1423" s="78"/>
      <c r="E1423" s="47"/>
      <c r="F1423" s="47"/>
      <c r="G1423" s="47"/>
      <c r="H1423" s="47"/>
      <c r="I1423" s="48"/>
      <c r="J1423" s="47"/>
      <c r="K1423" s="47"/>
      <c r="L1423" s="47"/>
      <c r="M1423" s="47"/>
      <c r="N1423" s="48"/>
      <c r="O1423" s="48"/>
    </row>
    <row r="1424" spans="2:15" x14ac:dyDescent="0.2">
      <c r="B1424" s="47"/>
      <c r="C1424" s="47"/>
      <c r="D1424" s="78"/>
      <c r="E1424" s="47"/>
      <c r="F1424" s="47"/>
      <c r="G1424" s="47"/>
      <c r="H1424" s="47"/>
      <c r="I1424" s="48"/>
      <c r="J1424" s="47"/>
      <c r="K1424" s="47"/>
      <c r="L1424" s="47"/>
      <c r="M1424" s="47"/>
      <c r="N1424" s="48"/>
      <c r="O1424" s="48"/>
    </row>
    <row r="1425" spans="2:15" x14ac:dyDescent="0.2">
      <c r="B1425" s="47"/>
      <c r="C1425" s="47"/>
      <c r="D1425" s="78"/>
      <c r="E1425" s="47"/>
      <c r="F1425" s="47"/>
      <c r="G1425" s="47"/>
      <c r="H1425" s="47"/>
      <c r="I1425" s="48"/>
      <c r="J1425" s="47"/>
      <c r="K1425" s="47"/>
      <c r="L1425" s="47"/>
      <c r="M1425" s="47"/>
      <c r="N1425" s="48"/>
      <c r="O1425" s="48"/>
    </row>
    <row r="1426" spans="2:15" x14ac:dyDescent="0.2">
      <c r="B1426" s="47"/>
      <c r="C1426" s="47"/>
      <c r="D1426" s="78"/>
      <c r="E1426" s="47"/>
      <c r="F1426" s="47"/>
      <c r="G1426" s="47"/>
      <c r="H1426" s="47"/>
      <c r="I1426" s="48"/>
      <c r="J1426" s="47"/>
      <c r="K1426" s="47"/>
      <c r="L1426" s="47"/>
      <c r="M1426" s="47"/>
      <c r="N1426" s="48"/>
      <c r="O1426" s="48"/>
    </row>
    <row r="1427" spans="2:15" x14ac:dyDescent="0.2">
      <c r="B1427" s="47"/>
      <c r="C1427" s="47"/>
      <c r="D1427" s="78"/>
      <c r="E1427" s="47"/>
      <c r="F1427" s="47"/>
      <c r="G1427" s="47"/>
      <c r="H1427" s="47"/>
      <c r="I1427" s="48"/>
      <c r="J1427" s="47"/>
      <c r="K1427" s="47"/>
      <c r="L1427" s="47"/>
      <c r="M1427" s="47"/>
      <c r="N1427" s="48"/>
      <c r="O1427" s="48"/>
    </row>
    <row r="1428" spans="2:15" x14ac:dyDescent="0.2">
      <c r="B1428" s="47"/>
      <c r="C1428" s="47"/>
      <c r="D1428" s="78"/>
      <c r="E1428" s="47"/>
      <c r="F1428" s="47"/>
      <c r="G1428" s="47"/>
      <c r="H1428" s="47"/>
      <c r="I1428" s="48"/>
      <c r="J1428" s="47"/>
      <c r="K1428" s="47"/>
      <c r="L1428" s="47"/>
      <c r="M1428" s="47"/>
      <c r="N1428" s="48"/>
      <c r="O1428" s="48"/>
    </row>
    <row r="1429" spans="2:15" x14ac:dyDescent="0.2">
      <c r="B1429" s="47"/>
      <c r="C1429" s="47"/>
      <c r="D1429" s="78"/>
      <c r="E1429" s="47"/>
      <c r="F1429" s="47"/>
      <c r="G1429" s="47"/>
      <c r="H1429" s="47"/>
      <c r="I1429" s="48"/>
      <c r="J1429" s="47"/>
      <c r="K1429" s="47"/>
      <c r="L1429" s="47"/>
      <c r="M1429" s="47"/>
      <c r="N1429" s="48"/>
      <c r="O1429" s="48"/>
    </row>
    <row r="1430" spans="2:15" x14ac:dyDescent="0.2">
      <c r="B1430" s="47"/>
      <c r="C1430" s="47"/>
      <c r="D1430" s="78"/>
      <c r="E1430" s="47"/>
      <c r="F1430" s="47"/>
      <c r="G1430" s="47"/>
      <c r="H1430" s="47"/>
      <c r="I1430" s="48"/>
      <c r="J1430" s="47"/>
      <c r="K1430" s="47"/>
      <c r="L1430" s="47"/>
      <c r="M1430" s="47"/>
      <c r="N1430" s="48"/>
      <c r="O1430" s="48"/>
    </row>
    <row r="1431" spans="2:15" x14ac:dyDescent="0.2">
      <c r="B1431" s="47"/>
      <c r="C1431" s="47"/>
      <c r="D1431" s="78"/>
      <c r="E1431" s="47"/>
      <c r="F1431" s="47"/>
      <c r="G1431" s="47"/>
      <c r="H1431" s="47"/>
      <c r="I1431" s="48"/>
      <c r="J1431" s="47"/>
      <c r="K1431" s="47"/>
      <c r="L1431" s="47"/>
      <c r="M1431" s="47"/>
      <c r="N1431" s="48"/>
      <c r="O1431" s="48"/>
    </row>
    <row r="1432" spans="2:15" x14ac:dyDescent="0.2">
      <c r="B1432" s="47"/>
      <c r="C1432" s="47"/>
      <c r="D1432" s="78"/>
      <c r="E1432" s="47"/>
      <c r="F1432" s="47"/>
      <c r="G1432" s="47"/>
      <c r="H1432" s="47"/>
      <c r="I1432" s="48"/>
      <c r="J1432" s="47"/>
      <c r="K1432" s="47"/>
      <c r="L1432" s="47"/>
      <c r="M1432" s="47"/>
      <c r="N1432" s="48"/>
      <c r="O1432" s="48"/>
    </row>
    <row r="1433" spans="2:15" x14ac:dyDescent="0.2">
      <c r="B1433" s="47"/>
      <c r="C1433" s="47"/>
      <c r="D1433" s="78"/>
      <c r="E1433" s="47"/>
      <c r="F1433" s="47"/>
      <c r="G1433" s="47"/>
      <c r="H1433" s="47"/>
      <c r="I1433" s="48"/>
      <c r="J1433" s="47"/>
      <c r="K1433" s="47"/>
      <c r="L1433" s="47"/>
      <c r="M1433" s="47"/>
      <c r="N1433" s="48"/>
      <c r="O1433" s="48"/>
    </row>
    <row r="1434" spans="2:15" x14ac:dyDescent="0.2">
      <c r="B1434" s="47"/>
      <c r="C1434" s="47"/>
      <c r="D1434" s="78"/>
      <c r="E1434" s="47"/>
      <c r="F1434" s="47"/>
      <c r="G1434" s="47"/>
      <c r="H1434" s="47"/>
      <c r="I1434" s="48"/>
      <c r="J1434" s="47"/>
      <c r="K1434" s="47"/>
      <c r="L1434" s="47"/>
      <c r="M1434" s="47"/>
      <c r="N1434" s="48"/>
      <c r="O1434" s="48"/>
    </row>
    <row r="1435" spans="2:15" x14ac:dyDescent="0.2">
      <c r="B1435" s="47"/>
      <c r="C1435" s="47"/>
      <c r="D1435" s="78"/>
      <c r="E1435" s="47"/>
      <c r="F1435" s="47"/>
      <c r="G1435" s="47"/>
      <c r="H1435" s="47"/>
      <c r="I1435" s="48"/>
      <c r="J1435" s="47"/>
      <c r="K1435" s="47"/>
      <c r="L1435" s="47"/>
      <c r="M1435" s="47"/>
      <c r="N1435" s="48"/>
      <c r="O1435" s="48"/>
    </row>
    <row r="1436" spans="2:15" x14ac:dyDescent="0.2">
      <c r="B1436" s="47"/>
      <c r="C1436" s="47"/>
      <c r="D1436" s="78"/>
      <c r="E1436" s="47"/>
      <c r="F1436" s="47"/>
      <c r="G1436" s="47"/>
      <c r="H1436" s="47"/>
      <c r="I1436" s="48"/>
      <c r="J1436" s="47"/>
      <c r="K1436" s="47"/>
      <c r="L1436" s="47"/>
      <c r="M1436" s="47"/>
      <c r="N1436" s="48"/>
      <c r="O1436" s="48"/>
    </row>
    <row r="1437" spans="2:15" x14ac:dyDescent="0.2">
      <c r="B1437" s="47"/>
      <c r="C1437" s="47"/>
      <c r="D1437" s="78"/>
      <c r="E1437" s="47"/>
      <c r="F1437" s="47"/>
      <c r="G1437" s="47"/>
      <c r="H1437" s="47"/>
      <c r="I1437" s="48"/>
      <c r="J1437" s="47"/>
      <c r="K1437" s="47"/>
      <c r="L1437" s="47"/>
      <c r="M1437" s="47"/>
      <c r="N1437" s="48"/>
      <c r="O1437" s="48"/>
    </row>
    <row r="1438" spans="2:15" x14ac:dyDescent="0.2">
      <c r="B1438" s="47"/>
      <c r="C1438" s="47"/>
      <c r="D1438" s="78"/>
      <c r="E1438" s="47"/>
      <c r="F1438" s="47"/>
      <c r="G1438" s="47"/>
      <c r="H1438" s="47"/>
      <c r="I1438" s="48"/>
      <c r="J1438" s="47"/>
      <c r="K1438" s="47"/>
      <c r="L1438" s="47"/>
      <c r="M1438" s="47"/>
      <c r="N1438" s="48"/>
      <c r="O1438" s="48"/>
    </row>
    <row r="1439" spans="2:15" x14ac:dyDescent="0.2">
      <c r="B1439" s="47"/>
      <c r="C1439" s="47"/>
      <c r="D1439" s="78"/>
      <c r="E1439" s="47"/>
      <c r="F1439" s="47"/>
      <c r="G1439" s="47"/>
      <c r="H1439" s="47"/>
      <c r="I1439" s="48"/>
      <c r="J1439" s="47"/>
      <c r="K1439" s="47"/>
      <c r="L1439" s="47"/>
      <c r="M1439" s="47"/>
      <c r="N1439" s="48"/>
      <c r="O1439" s="48"/>
    </row>
    <row r="1440" spans="2:15" x14ac:dyDescent="0.2">
      <c r="B1440" s="47"/>
      <c r="C1440" s="47"/>
      <c r="D1440" s="78"/>
      <c r="E1440" s="47"/>
      <c r="F1440" s="47"/>
      <c r="G1440" s="47"/>
      <c r="H1440" s="47"/>
      <c r="I1440" s="48"/>
      <c r="J1440" s="47"/>
      <c r="K1440" s="47"/>
      <c r="L1440" s="47"/>
      <c r="M1440" s="47"/>
      <c r="N1440" s="48"/>
      <c r="O1440" s="48"/>
    </row>
    <row r="1441" spans="2:15" x14ac:dyDescent="0.2">
      <c r="B1441" s="47"/>
      <c r="C1441" s="47"/>
      <c r="D1441" s="78"/>
      <c r="E1441" s="47"/>
      <c r="F1441" s="47"/>
      <c r="G1441" s="47"/>
      <c r="H1441" s="47"/>
      <c r="I1441" s="48"/>
      <c r="J1441" s="47"/>
      <c r="K1441" s="47"/>
      <c r="L1441" s="47"/>
      <c r="M1441" s="47"/>
      <c r="N1441" s="48"/>
      <c r="O1441" s="48"/>
    </row>
    <row r="1442" spans="2:15" x14ac:dyDescent="0.2">
      <c r="B1442" s="47"/>
      <c r="C1442" s="47"/>
      <c r="D1442" s="78"/>
      <c r="E1442" s="47"/>
      <c r="F1442" s="47"/>
      <c r="G1442" s="47"/>
      <c r="H1442" s="47"/>
      <c r="I1442" s="48"/>
      <c r="J1442" s="47"/>
      <c r="K1442" s="47"/>
      <c r="L1442" s="47"/>
      <c r="M1442" s="47"/>
      <c r="N1442" s="48"/>
      <c r="O1442" s="48"/>
    </row>
    <row r="1443" spans="2:15" x14ac:dyDescent="0.2">
      <c r="B1443" s="47"/>
      <c r="C1443" s="47"/>
      <c r="D1443" s="78"/>
      <c r="E1443" s="47"/>
      <c r="F1443" s="47"/>
      <c r="G1443" s="47"/>
      <c r="H1443" s="47"/>
      <c r="I1443" s="48"/>
      <c r="J1443" s="47"/>
      <c r="K1443" s="47"/>
      <c r="L1443" s="47"/>
      <c r="M1443" s="47"/>
      <c r="N1443" s="48"/>
      <c r="O1443" s="48"/>
    </row>
    <row r="1444" spans="2:15" x14ac:dyDescent="0.2">
      <c r="B1444" s="47"/>
      <c r="C1444" s="47"/>
      <c r="D1444" s="78"/>
      <c r="E1444" s="47"/>
      <c r="F1444" s="47"/>
      <c r="G1444" s="47"/>
      <c r="H1444" s="47"/>
      <c r="I1444" s="48"/>
      <c r="J1444" s="47"/>
      <c r="K1444" s="47"/>
      <c r="L1444" s="47"/>
      <c r="M1444" s="47"/>
      <c r="N1444" s="48"/>
      <c r="O1444" s="48"/>
    </row>
    <row r="1445" spans="2:15" x14ac:dyDescent="0.2">
      <c r="B1445" s="47"/>
      <c r="C1445" s="47"/>
      <c r="D1445" s="78"/>
      <c r="E1445" s="47"/>
      <c r="F1445" s="47"/>
      <c r="G1445" s="47"/>
      <c r="H1445" s="47"/>
      <c r="I1445" s="48"/>
      <c r="J1445" s="47"/>
      <c r="K1445" s="47"/>
      <c r="L1445" s="47"/>
      <c r="M1445" s="47"/>
      <c r="N1445" s="48"/>
      <c r="O1445" s="48"/>
    </row>
    <row r="1446" spans="2:15" x14ac:dyDescent="0.2">
      <c r="B1446" s="47"/>
      <c r="C1446" s="47"/>
      <c r="D1446" s="78"/>
      <c r="E1446" s="47"/>
      <c r="F1446" s="47"/>
      <c r="G1446" s="47"/>
      <c r="H1446" s="47"/>
      <c r="I1446" s="48"/>
      <c r="J1446" s="47"/>
      <c r="K1446" s="47"/>
      <c r="L1446" s="47"/>
      <c r="M1446" s="47"/>
      <c r="N1446" s="48"/>
      <c r="O1446" s="48"/>
    </row>
    <row r="1447" spans="2:15" x14ac:dyDescent="0.2">
      <c r="B1447" s="47"/>
      <c r="C1447" s="47"/>
      <c r="D1447" s="78"/>
      <c r="E1447" s="47"/>
      <c r="F1447" s="47"/>
      <c r="G1447" s="47"/>
      <c r="H1447" s="47"/>
      <c r="I1447" s="48"/>
      <c r="J1447" s="47"/>
      <c r="K1447" s="47"/>
      <c r="L1447" s="47"/>
      <c r="M1447" s="47"/>
      <c r="N1447" s="48"/>
      <c r="O1447" s="48"/>
    </row>
    <row r="1448" spans="2:15" x14ac:dyDescent="0.2">
      <c r="B1448" s="47"/>
      <c r="C1448" s="47"/>
      <c r="D1448" s="78"/>
      <c r="E1448" s="47"/>
      <c r="F1448" s="47"/>
      <c r="G1448" s="47"/>
      <c r="H1448" s="47"/>
      <c r="I1448" s="48"/>
      <c r="J1448" s="47"/>
      <c r="K1448" s="47"/>
      <c r="L1448" s="47"/>
      <c r="M1448" s="47"/>
      <c r="N1448" s="48"/>
      <c r="O1448" s="48"/>
    </row>
    <row r="1449" spans="2:15" x14ac:dyDescent="0.2">
      <c r="B1449" s="47"/>
      <c r="C1449" s="47"/>
      <c r="D1449" s="78"/>
      <c r="E1449" s="47"/>
      <c r="F1449" s="47"/>
      <c r="G1449" s="47"/>
      <c r="H1449" s="47"/>
      <c r="I1449" s="48"/>
      <c r="J1449" s="47"/>
      <c r="K1449" s="47"/>
      <c r="L1449" s="47"/>
      <c r="M1449" s="47"/>
      <c r="N1449" s="48"/>
      <c r="O1449" s="48"/>
    </row>
    <row r="1450" spans="2:15" x14ac:dyDescent="0.2">
      <c r="B1450" s="47"/>
      <c r="C1450" s="47"/>
      <c r="D1450" s="78"/>
      <c r="E1450" s="47"/>
      <c r="F1450" s="47"/>
      <c r="G1450" s="47"/>
      <c r="H1450" s="47"/>
      <c r="I1450" s="48"/>
      <c r="J1450" s="47"/>
      <c r="K1450" s="47"/>
      <c r="L1450" s="47"/>
      <c r="M1450" s="47"/>
      <c r="N1450" s="48"/>
      <c r="O1450" s="48"/>
    </row>
    <row r="1451" spans="2:15" x14ac:dyDescent="0.2">
      <c r="B1451" s="47"/>
      <c r="C1451" s="47"/>
      <c r="D1451" s="78"/>
      <c r="E1451" s="47"/>
      <c r="F1451" s="47"/>
      <c r="G1451" s="47"/>
      <c r="H1451" s="47"/>
      <c r="I1451" s="48"/>
      <c r="J1451" s="47"/>
      <c r="K1451" s="47"/>
      <c r="L1451" s="47"/>
      <c r="M1451" s="47"/>
      <c r="N1451" s="48"/>
      <c r="O1451" s="48"/>
    </row>
    <row r="1452" spans="2:15" x14ac:dyDescent="0.2">
      <c r="B1452" s="47"/>
      <c r="C1452" s="47"/>
      <c r="D1452" s="78"/>
      <c r="E1452" s="47"/>
      <c r="F1452" s="47"/>
      <c r="G1452" s="47"/>
      <c r="H1452" s="47"/>
      <c r="I1452" s="48"/>
      <c r="J1452" s="47"/>
      <c r="K1452" s="47"/>
      <c r="L1452" s="47"/>
      <c r="M1452" s="47"/>
      <c r="N1452" s="48"/>
      <c r="O1452" s="48"/>
    </row>
    <row r="1453" spans="2:15" x14ac:dyDescent="0.2">
      <c r="B1453" s="47"/>
      <c r="C1453" s="47"/>
      <c r="D1453" s="78"/>
      <c r="E1453" s="47"/>
      <c r="F1453" s="47"/>
      <c r="G1453" s="47"/>
      <c r="H1453" s="47"/>
      <c r="I1453" s="48"/>
      <c r="J1453" s="47"/>
      <c r="K1453" s="47"/>
      <c r="L1453" s="47"/>
      <c r="M1453" s="47"/>
      <c r="N1453" s="48"/>
      <c r="O1453" s="48"/>
    </row>
    <row r="1454" spans="2:15" x14ac:dyDescent="0.2">
      <c r="B1454" s="47"/>
      <c r="C1454" s="47"/>
      <c r="D1454" s="78"/>
      <c r="E1454" s="47"/>
      <c r="F1454" s="47"/>
      <c r="G1454" s="47"/>
      <c r="H1454" s="47"/>
      <c r="I1454" s="48"/>
      <c r="J1454" s="47"/>
      <c r="K1454" s="47"/>
      <c r="L1454" s="47"/>
      <c r="M1454" s="47"/>
      <c r="N1454" s="48"/>
      <c r="O1454" s="48"/>
    </row>
    <row r="1455" spans="2:15" x14ac:dyDescent="0.2">
      <c r="B1455" s="47"/>
      <c r="C1455" s="47"/>
      <c r="D1455" s="78"/>
      <c r="E1455" s="47"/>
      <c r="F1455" s="47"/>
      <c r="G1455" s="47"/>
      <c r="H1455" s="47"/>
      <c r="I1455" s="48"/>
      <c r="J1455" s="47"/>
      <c r="K1455" s="47"/>
      <c r="L1455" s="47"/>
      <c r="M1455" s="47"/>
      <c r="N1455" s="48"/>
      <c r="O1455" s="48"/>
    </row>
    <row r="1456" spans="2:15" x14ac:dyDescent="0.2">
      <c r="B1456" s="47"/>
      <c r="C1456" s="47"/>
      <c r="D1456" s="78"/>
      <c r="E1456" s="47"/>
      <c r="F1456" s="47"/>
      <c r="G1456" s="47"/>
      <c r="H1456" s="47"/>
      <c r="I1456" s="48"/>
      <c r="J1456" s="47"/>
      <c r="K1456" s="47"/>
      <c r="L1456" s="47"/>
      <c r="M1456" s="47"/>
      <c r="N1456" s="48"/>
      <c r="O1456" s="48"/>
    </row>
    <row r="1457" spans="2:15" x14ac:dyDescent="0.2">
      <c r="B1457" s="47"/>
      <c r="C1457" s="47"/>
      <c r="D1457" s="78"/>
      <c r="E1457" s="47"/>
      <c r="F1457" s="47"/>
      <c r="G1457" s="47"/>
      <c r="H1457" s="47"/>
      <c r="I1457" s="48"/>
      <c r="J1457" s="47"/>
      <c r="K1457" s="47"/>
      <c r="L1457" s="47"/>
      <c r="M1457" s="47"/>
      <c r="N1457" s="48"/>
      <c r="O1457" s="48"/>
    </row>
    <row r="1458" spans="2:15" x14ac:dyDescent="0.2">
      <c r="B1458" s="47"/>
      <c r="C1458" s="47"/>
      <c r="D1458" s="78"/>
      <c r="E1458" s="47"/>
      <c r="F1458" s="47"/>
      <c r="G1458" s="47"/>
      <c r="H1458" s="47"/>
      <c r="I1458" s="48"/>
      <c r="J1458" s="47"/>
      <c r="K1458" s="47"/>
      <c r="L1458" s="47"/>
      <c r="M1458" s="47"/>
      <c r="N1458" s="48"/>
      <c r="O1458" s="48"/>
    </row>
    <row r="1459" spans="2:15" x14ac:dyDescent="0.2">
      <c r="B1459" s="47"/>
      <c r="C1459" s="47"/>
      <c r="D1459" s="78"/>
      <c r="E1459" s="47"/>
      <c r="F1459" s="47"/>
      <c r="G1459" s="47"/>
      <c r="H1459" s="47"/>
      <c r="I1459" s="48"/>
      <c r="J1459" s="47"/>
      <c r="K1459" s="47"/>
      <c r="L1459" s="47"/>
      <c r="M1459" s="47"/>
      <c r="N1459" s="48"/>
      <c r="O1459" s="48"/>
    </row>
    <row r="1460" spans="2:15" x14ac:dyDescent="0.2">
      <c r="B1460" s="47"/>
      <c r="C1460" s="47"/>
      <c r="D1460" s="78"/>
      <c r="E1460" s="47"/>
      <c r="F1460" s="47"/>
      <c r="G1460" s="47"/>
      <c r="H1460" s="47"/>
      <c r="I1460" s="48"/>
      <c r="J1460" s="47"/>
      <c r="K1460" s="47"/>
      <c r="L1460" s="47"/>
      <c r="M1460" s="47"/>
      <c r="N1460" s="48"/>
      <c r="O1460" s="48"/>
    </row>
    <row r="1461" spans="2:15" x14ac:dyDescent="0.2">
      <c r="B1461" s="47"/>
      <c r="C1461" s="47"/>
      <c r="D1461" s="78"/>
      <c r="E1461" s="47"/>
      <c r="F1461" s="47"/>
      <c r="G1461" s="47"/>
      <c r="H1461" s="47"/>
      <c r="I1461" s="48"/>
      <c r="J1461" s="47"/>
      <c r="K1461" s="47"/>
      <c r="L1461" s="47"/>
      <c r="M1461" s="47"/>
      <c r="N1461" s="48"/>
      <c r="O1461" s="48"/>
    </row>
    <row r="1462" spans="2:15" x14ac:dyDescent="0.2">
      <c r="B1462" s="47"/>
      <c r="C1462" s="47"/>
      <c r="D1462" s="78"/>
      <c r="E1462" s="47"/>
      <c r="F1462" s="47"/>
      <c r="G1462" s="47"/>
      <c r="H1462" s="47"/>
      <c r="I1462" s="48"/>
      <c r="J1462" s="47"/>
      <c r="K1462" s="47"/>
      <c r="L1462" s="47"/>
      <c r="M1462" s="47"/>
      <c r="N1462" s="48"/>
      <c r="O1462" s="48"/>
    </row>
    <row r="1463" spans="2:15" x14ac:dyDescent="0.2">
      <c r="B1463" s="47"/>
      <c r="C1463" s="47"/>
      <c r="D1463" s="78"/>
      <c r="E1463" s="47"/>
      <c r="F1463" s="47"/>
      <c r="G1463" s="47"/>
      <c r="H1463" s="47"/>
      <c r="I1463" s="48"/>
      <c r="J1463" s="47"/>
      <c r="K1463" s="47"/>
      <c r="L1463" s="47"/>
      <c r="M1463" s="47"/>
      <c r="N1463" s="48"/>
      <c r="O1463" s="48"/>
    </row>
    <row r="1464" spans="2:15" x14ac:dyDescent="0.2">
      <c r="B1464" s="47"/>
      <c r="C1464" s="47"/>
      <c r="D1464" s="78"/>
      <c r="E1464" s="47"/>
      <c r="F1464" s="47"/>
      <c r="G1464" s="47"/>
      <c r="H1464" s="47"/>
      <c r="I1464" s="48"/>
      <c r="J1464" s="47"/>
      <c r="K1464" s="47"/>
      <c r="L1464" s="47"/>
      <c r="M1464" s="47"/>
      <c r="N1464" s="48"/>
      <c r="O1464" s="48"/>
    </row>
    <row r="1465" spans="2:15" x14ac:dyDescent="0.2">
      <c r="B1465" s="47"/>
      <c r="C1465" s="47"/>
      <c r="D1465" s="78"/>
      <c r="E1465" s="47"/>
      <c r="F1465" s="47"/>
      <c r="G1465" s="47"/>
      <c r="H1465" s="47"/>
      <c r="I1465" s="48"/>
      <c r="J1465" s="47"/>
      <c r="K1465" s="47"/>
      <c r="L1465" s="47"/>
      <c r="M1465" s="47"/>
      <c r="N1465" s="48"/>
      <c r="O1465" s="48"/>
    </row>
    <row r="1466" spans="2:15" x14ac:dyDescent="0.2">
      <c r="B1466" s="47"/>
      <c r="C1466" s="47"/>
      <c r="D1466" s="78"/>
      <c r="E1466" s="47"/>
      <c r="F1466" s="47"/>
      <c r="G1466" s="47"/>
      <c r="H1466" s="47"/>
      <c r="I1466" s="48"/>
      <c r="J1466" s="47"/>
      <c r="K1466" s="47"/>
      <c r="L1466" s="47"/>
      <c r="M1466" s="47"/>
      <c r="N1466" s="48"/>
      <c r="O1466" s="48"/>
    </row>
    <row r="1467" spans="2:15" x14ac:dyDescent="0.2">
      <c r="B1467" s="47"/>
      <c r="C1467" s="47"/>
      <c r="D1467" s="78"/>
      <c r="E1467" s="47"/>
      <c r="F1467" s="47"/>
      <c r="G1467" s="47"/>
      <c r="H1467" s="47"/>
      <c r="I1467" s="48"/>
      <c r="J1467" s="47"/>
      <c r="K1467" s="47"/>
      <c r="L1467" s="47"/>
      <c r="M1467" s="47"/>
      <c r="N1467" s="48"/>
      <c r="O1467" s="48"/>
    </row>
    <row r="1468" spans="2:15" x14ac:dyDescent="0.2">
      <c r="B1468" s="47"/>
      <c r="C1468" s="47"/>
      <c r="D1468" s="78"/>
      <c r="E1468" s="47"/>
      <c r="F1468" s="47"/>
      <c r="G1468" s="47"/>
      <c r="H1468" s="47"/>
      <c r="I1468" s="48"/>
      <c r="J1468" s="47"/>
      <c r="K1468" s="47"/>
      <c r="L1468" s="47"/>
      <c r="M1468" s="47"/>
      <c r="N1468" s="48"/>
      <c r="O1468" s="48"/>
    </row>
    <row r="1469" spans="2:15" x14ac:dyDescent="0.2">
      <c r="B1469" s="47"/>
      <c r="C1469" s="47"/>
      <c r="D1469" s="78"/>
      <c r="E1469" s="47"/>
      <c r="F1469" s="47"/>
      <c r="G1469" s="47"/>
      <c r="H1469" s="47"/>
      <c r="I1469" s="48"/>
      <c r="J1469" s="47"/>
      <c r="K1469" s="47"/>
      <c r="L1469" s="47"/>
      <c r="M1469" s="47"/>
      <c r="N1469" s="48"/>
      <c r="O1469" s="48"/>
    </row>
    <row r="1470" spans="2:15" x14ac:dyDescent="0.2">
      <c r="B1470" s="47"/>
      <c r="C1470" s="47"/>
      <c r="D1470" s="78"/>
      <c r="E1470" s="47"/>
      <c r="F1470" s="47"/>
      <c r="G1470" s="47"/>
      <c r="H1470" s="47"/>
      <c r="I1470" s="48"/>
      <c r="J1470" s="47"/>
      <c r="K1470" s="47"/>
      <c r="L1470" s="47"/>
      <c r="M1470" s="47"/>
      <c r="N1470" s="48"/>
      <c r="O1470" s="48"/>
    </row>
    <row r="1471" spans="2:15" x14ac:dyDescent="0.2">
      <c r="B1471" s="47"/>
      <c r="C1471" s="47"/>
      <c r="D1471" s="78"/>
      <c r="E1471" s="47"/>
      <c r="F1471" s="47"/>
      <c r="G1471" s="47"/>
      <c r="H1471" s="47"/>
      <c r="I1471" s="48"/>
      <c r="J1471" s="47"/>
      <c r="K1471" s="47"/>
      <c r="L1471" s="47"/>
      <c r="M1471" s="47"/>
      <c r="N1471" s="48"/>
      <c r="O1471" s="48"/>
    </row>
    <row r="1472" spans="2:15" x14ac:dyDescent="0.2">
      <c r="B1472" s="47"/>
      <c r="C1472" s="47"/>
      <c r="D1472" s="78"/>
      <c r="E1472" s="47"/>
      <c r="F1472" s="47"/>
      <c r="G1472" s="47"/>
      <c r="H1472" s="47"/>
      <c r="I1472" s="48"/>
      <c r="J1472" s="47"/>
      <c r="K1472" s="47"/>
      <c r="L1472" s="47"/>
      <c r="M1472" s="47"/>
      <c r="N1472" s="48"/>
      <c r="O1472" s="48"/>
    </row>
    <row r="1473" spans="2:15" x14ac:dyDescent="0.2">
      <c r="B1473" s="47"/>
      <c r="C1473" s="47"/>
      <c r="D1473" s="78"/>
      <c r="E1473" s="47"/>
      <c r="F1473" s="47"/>
      <c r="G1473" s="47"/>
      <c r="H1473" s="47"/>
      <c r="I1473" s="48"/>
      <c r="J1473" s="47"/>
      <c r="K1473" s="47"/>
      <c r="L1473" s="47"/>
      <c r="M1473" s="47"/>
      <c r="N1473" s="48"/>
      <c r="O1473" s="48"/>
    </row>
    <row r="1474" spans="2:15" x14ac:dyDescent="0.2">
      <c r="B1474" s="47"/>
      <c r="C1474" s="47"/>
      <c r="D1474" s="78"/>
      <c r="E1474" s="47"/>
      <c r="F1474" s="47"/>
      <c r="G1474" s="47"/>
      <c r="H1474" s="47"/>
      <c r="I1474" s="48"/>
      <c r="J1474" s="47"/>
      <c r="K1474" s="47"/>
      <c r="L1474" s="47"/>
      <c r="M1474" s="47"/>
      <c r="N1474" s="48"/>
      <c r="O1474" s="48"/>
    </row>
    <row r="1475" spans="2:15" x14ac:dyDescent="0.2">
      <c r="B1475" s="47"/>
      <c r="C1475" s="47"/>
      <c r="D1475" s="78"/>
      <c r="E1475" s="47"/>
      <c r="F1475" s="47"/>
      <c r="G1475" s="47"/>
      <c r="H1475" s="47"/>
      <c r="I1475" s="48"/>
      <c r="J1475" s="47"/>
      <c r="K1475" s="47"/>
      <c r="L1475" s="47"/>
      <c r="M1475" s="47"/>
      <c r="N1475" s="48"/>
      <c r="O1475" s="48"/>
    </row>
    <row r="1476" spans="2:15" x14ac:dyDescent="0.2">
      <c r="B1476" s="47"/>
      <c r="C1476" s="47"/>
      <c r="D1476" s="78"/>
      <c r="E1476" s="47"/>
      <c r="F1476" s="47"/>
      <c r="G1476" s="47"/>
      <c r="H1476" s="47"/>
      <c r="I1476" s="48"/>
      <c r="J1476" s="47"/>
      <c r="K1476" s="47"/>
      <c r="L1476" s="47"/>
      <c r="M1476" s="47"/>
      <c r="N1476" s="48"/>
      <c r="O1476" s="48"/>
    </row>
    <row r="1477" spans="2:15" x14ac:dyDescent="0.2">
      <c r="B1477" s="47"/>
      <c r="C1477" s="47"/>
      <c r="D1477" s="78"/>
      <c r="E1477" s="47"/>
      <c r="F1477" s="47"/>
      <c r="G1477" s="47"/>
      <c r="H1477" s="47"/>
      <c r="I1477" s="48"/>
      <c r="J1477" s="47"/>
      <c r="K1477" s="47"/>
      <c r="L1477" s="47"/>
      <c r="M1477" s="47"/>
      <c r="N1477" s="48"/>
      <c r="O1477" s="48"/>
    </row>
    <row r="1478" spans="2:15" x14ac:dyDescent="0.2">
      <c r="B1478" s="47"/>
      <c r="C1478" s="47"/>
      <c r="D1478" s="78"/>
      <c r="E1478" s="47"/>
      <c r="F1478" s="47"/>
      <c r="G1478" s="47"/>
      <c r="H1478" s="47"/>
      <c r="I1478" s="48"/>
      <c r="J1478" s="47"/>
      <c r="K1478" s="47"/>
      <c r="L1478" s="47"/>
      <c r="M1478" s="47"/>
      <c r="N1478" s="48"/>
      <c r="O1478" s="48"/>
    </row>
    <row r="1479" spans="2:15" x14ac:dyDescent="0.2">
      <c r="B1479" s="47"/>
      <c r="C1479" s="47"/>
      <c r="D1479" s="78"/>
      <c r="E1479" s="47"/>
      <c r="F1479" s="47"/>
      <c r="G1479" s="47"/>
      <c r="H1479" s="47"/>
      <c r="I1479" s="48"/>
      <c r="J1479" s="47"/>
      <c r="K1479" s="47"/>
      <c r="L1479" s="47"/>
      <c r="M1479" s="47"/>
      <c r="N1479" s="48"/>
      <c r="O1479" s="48"/>
    </row>
    <row r="1480" spans="2:15" x14ac:dyDescent="0.2">
      <c r="B1480" s="47"/>
      <c r="C1480" s="47"/>
      <c r="D1480" s="78"/>
      <c r="E1480" s="47"/>
      <c r="F1480" s="47"/>
      <c r="G1480" s="47"/>
      <c r="H1480" s="47"/>
      <c r="I1480" s="48"/>
      <c r="J1480" s="47"/>
      <c r="K1480" s="47"/>
      <c r="L1480" s="47"/>
      <c r="M1480" s="47"/>
      <c r="N1480" s="48"/>
      <c r="O1480" s="48"/>
    </row>
    <row r="1481" spans="2:15" x14ac:dyDescent="0.2">
      <c r="B1481" s="47"/>
      <c r="C1481" s="47"/>
      <c r="D1481" s="78"/>
      <c r="E1481" s="47"/>
      <c r="F1481" s="47"/>
      <c r="G1481" s="47"/>
      <c r="H1481" s="47"/>
      <c r="I1481" s="48"/>
      <c r="J1481" s="47"/>
      <c r="K1481" s="47"/>
      <c r="L1481" s="47"/>
      <c r="M1481" s="47"/>
      <c r="N1481" s="48"/>
      <c r="O1481" s="48"/>
    </row>
    <row r="1482" spans="2:15" x14ac:dyDescent="0.2">
      <c r="B1482" s="47"/>
      <c r="C1482" s="47"/>
      <c r="D1482" s="78"/>
      <c r="E1482" s="47"/>
      <c r="F1482" s="47"/>
      <c r="G1482" s="47"/>
      <c r="H1482" s="47"/>
      <c r="I1482" s="48"/>
      <c r="J1482" s="47"/>
      <c r="K1482" s="47"/>
      <c r="L1482" s="47"/>
      <c r="M1482" s="47"/>
      <c r="N1482" s="48"/>
      <c r="O1482" s="48"/>
    </row>
    <row r="1483" spans="2:15" x14ac:dyDescent="0.2">
      <c r="B1483" s="47"/>
      <c r="C1483" s="47"/>
      <c r="D1483" s="78"/>
      <c r="E1483" s="47"/>
      <c r="F1483" s="47"/>
      <c r="G1483" s="47"/>
      <c r="H1483" s="47"/>
      <c r="I1483" s="48"/>
      <c r="J1483" s="47"/>
      <c r="K1483" s="47"/>
      <c r="L1483" s="47"/>
      <c r="M1483" s="47"/>
      <c r="N1483" s="48"/>
      <c r="O1483" s="48"/>
    </row>
    <row r="1484" spans="2:15" x14ac:dyDescent="0.2">
      <c r="B1484" s="47"/>
      <c r="C1484" s="47"/>
      <c r="D1484" s="78"/>
      <c r="E1484" s="47"/>
      <c r="F1484" s="47"/>
      <c r="G1484" s="47"/>
      <c r="H1484" s="47"/>
      <c r="I1484" s="48"/>
      <c r="J1484" s="47"/>
      <c r="K1484" s="47"/>
      <c r="L1484" s="47"/>
      <c r="M1484" s="47"/>
      <c r="N1484" s="48"/>
      <c r="O1484" s="48"/>
    </row>
    <row r="1485" spans="2:15" x14ac:dyDescent="0.2">
      <c r="B1485" s="47"/>
      <c r="C1485" s="47"/>
      <c r="D1485" s="78"/>
      <c r="E1485" s="47"/>
      <c r="F1485" s="47"/>
      <c r="G1485" s="47"/>
      <c r="H1485" s="47"/>
      <c r="I1485" s="48"/>
      <c r="J1485" s="47"/>
      <c r="K1485" s="47"/>
      <c r="L1485" s="47"/>
      <c r="M1485" s="47"/>
      <c r="N1485" s="48"/>
      <c r="O1485" s="48"/>
    </row>
    <row r="1486" spans="2:15" x14ac:dyDescent="0.2">
      <c r="B1486" s="47"/>
      <c r="C1486" s="47"/>
      <c r="D1486" s="78"/>
      <c r="E1486" s="47"/>
      <c r="F1486" s="47"/>
      <c r="G1486" s="47"/>
      <c r="H1486" s="47"/>
      <c r="I1486" s="48"/>
      <c r="J1486" s="47"/>
      <c r="K1486" s="47"/>
      <c r="L1486" s="47"/>
      <c r="M1486" s="47"/>
      <c r="N1486" s="48"/>
      <c r="O1486" s="48"/>
    </row>
    <row r="1487" spans="2:15" x14ac:dyDescent="0.2">
      <c r="B1487" s="47"/>
      <c r="C1487" s="47"/>
      <c r="D1487" s="78"/>
      <c r="E1487" s="47"/>
      <c r="F1487" s="47"/>
      <c r="G1487" s="47"/>
      <c r="H1487" s="47"/>
      <c r="I1487" s="48"/>
      <c r="J1487" s="47"/>
      <c r="K1487" s="47"/>
      <c r="L1487" s="47"/>
      <c r="M1487" s="47"/>
      <c r="N1487" s="48"/>
      <c r="O1487" s="48"/>
    </row>
    <row r="1488" spans="2:15" x14ac:dyDescent="0.2">
      <c r="B1488" s="47"/>
      <c r="C1488" s="47"/>
      <c r="D1488" s="78"/>
      <c r="E1488" s="47"/>
      <c r="F1488" s="47"/>
      <c r="G1488" s="47"/>
      <c r="H1488" s="47"/>
      <c r="I1488" s="48"/>
      <c r="J1488" s="47"/>
      <c r="K1488" s="47"/>
      <c r="L1488" s="47"/>
      <c r="M1488" s="47"/>
      <c r="N1488" s="48"/>
      <c r="O1488" s="48"/>
    </row>
    <row r="1489" spans="2:15" x14ac:dyDescent="0.2">
      <c r="B1489" s="47"/>
      <c r="C1489" s="47"/>
      <c r="D1489" s="78"/>
      <c r="E1489" s="47"/>
      <c r="F1489" s="47"/>
      <c r="G1489" s="47"/>
      <c r="H1489" s="47"/>
      <c r="I1489" s="48"/>
      <c r="J1489" s="47"/>
      <c r="K1489" s="47"/>
      <c r="L1489" s="47"/>
      <c r="M1489" s="47"/>
      <c r="N1489" s="48"/>
      <c r="O1489" s="48"/>
    </row>
    <row r="1490" spans="2:15" x14ac:dyDescent="0.2">
      <c r="B1490" s="47"/>
      <c r="C1490" s="47"/>
      <c r="D1490" s="78"/>
      <c r="E1490" s="47"/>
      <c r="F1490" s="47"/>
      <c r="G1490" s="47"/>
      <c r="H1490" s="47"/>
      <c r="I1490" s="48"/>
      <c r="J1490" s="47"/>
      <c r="K1490" s="47"/>
      <c r="L1490" s="47"/>
      <c r="M1490" s="47"/>
      <c r="N1490" s="48"/>
      <c r="O1490" s="48"/>
    </row>
    <row r="1491" spans="2:15" x14ac:dyDescent="0.2">
      <c r="B1491" s="47"/>
      <c r="C1491" s="47"/>
      <c r="D1491" s="78"/>
      <c r="E1491" s="47"/>
      <c r="F1491" s="47"/>
      <c r="G1491" s="47"/>
      <c r="H1491" s="47"/>
      <c r="I1491" s="48"/>
      <c r="J1491" s="47"/>
      <c r="K1491" s="47"/>
      <c r="L1491" s="47"/>
      <c r="M1491" s="47"/>
      <c r="N1491" s="48"/>
      <c r="O1491" s="48"/>
    </row>
    <row r="1492" spans="2:15" x14ac:dyDescent="0.2">
      <c r="B1492" s="47"/>
      <c r="C1492" s="47"/>
      <c r="D1492" s="78"/>
      <c r="E1492" s="47"/>
      <c r="F1492" s="47"/>
      <c r="G1492" s="47"/>
      <c r="H1492" s="47"/>
      <c r="I1492" s="48"/>
      <c r="J1492" s="47"/>
      <c r="K1492" s="47"/>
      <c r="L1492" s="47"/>
      <c r="M1492" s="47"/>
      <c r="N1492" s="48"/>
      <c r="O1492" s="48"/>
    </row>
    <row r="1493" spans="2:15" x14ac:dyDescent="0.2">
      <c r="B1493" s="47"/>
      <c r="C1493" s="47"/>
      <c r="D1493" s="78"/>
      <c r="E1493" s="47"/>
      <c r="F1493" s="47"/>
      <c r="G1493" s="47"/>
      <c r="H1493" s="47"/>
      <c r="I1493" s="48"/>
      <c r="J1493" s="47"/>
      <c r="K1493" s="47"/>
      <c r="L1493" s="47"/>
      <c r="M1493" s="47"/>
      <c r="N1493" s="48"/>
      <c r="O1493" s="48"/>
    </row>
    <row r="1494" spans="2:15" x14ac:dyDescent="0.2">
      <c r="B1494" s="47"/>
      <c r="C1494" s="47"/>
      <c r="D1494" s="78"/>
      <c r="E1494" s="47"/>
      <c r="F1494" s="47"/>
      <c r="G1494" s="47"/>
      <c r="H1494" s="47"/>
      <c r="I1494" s="48"/>
      <c r="J1494" s="47"/>
      <c r="K1494" s="47"/>
      <c r="L1494" s="47"/>
      <c r="M1494" s="47"/>
      <c r="N1494" s="48"/>
      <c r="O1494" s="48"/>
    </row>
    <row r="1495" spans="2:15" x14ac:dyDescent="0.2">
      <c r="B1495" s="47"/>
      <c r="C1495" s="47"/>
      <c r="D1495" s="78"/>
      <c r="E1495" s="47"/>
      <c r="F1495" s="47"/>
      <c r="G1495" s="47"/>
      <c r="H1495" s="47"/>
      <c r="I1495" s="48"/>
      <c r="J1495" s="47"/>
      <c r="K1495" s="47"/>
      <c r="L1495" s="47"/>
      <c r="M1495" s="47"/>
      <c r="N1495" s="48"/>
      <c r="O1495" s="48"/>
    </row>
    <row r="1496" spans="2:15" x14ac:dyDescent="0.2">
      <c r="B1496" s="47"/>
      <c r="C1496" s="47"/>
      <c r="D1496" s="78"/>
      <c r="E1496" s="47"/>
      <c r="F1496" s="47"/>
      <c r="G1496" s="47"/>
      <c r="H1496" s="47"/>
      <c r="I1496" s="48"/>
      <c r="J1496" s="47"/>
      <c r="K1496" s="47"/>
      <c r="L1496" s="47"/>
      <c r="M1496" s="47"/>
      <c r="N1496" s="48"/>
      <c r="O1496" s="48"/>
    </row>
    <row r="1497" spans="2:15" x14ac:dyDescent="0.2">
      <c r="B1497" s="47"/>
      <c r="C1497" s="47"/>
      <c r="D1497" s="78"/>
      <c r="E1497" s="47"/>
      <c r="F1497" s="47"/>
      <c r="G1497" s="47"/>
      <c r="H1497" s="47"/>
      <c r="I1497" s="48"/>
      <c r="J1497" s="47"/>
      <c r="K1497" s="47"/>
      <c r="L1497" s="47"/>
      <c r="M1497" s="47"/>
      <c r="N1497" s="48"/>
      <c r="O1497" s="48"/>
    </row>
    <row r="1498" spans="2:15" x14ac:dyDescent="0.2">
      <c r="B1498" s="47"/>
      <c r="C1498" s="47"/>
      <c r="D1498" s="78"/>
      <c r="E1498" s="47"/>
      <c r="F1498" s="47"/>
      <c r="G1498" s="47"/>
      <c r="H1498" s="47"/>
      <c r="I1498" s="48"/>
      <c r="J1498" s="47"/>
      <c r="K1498" s="47"/>
      <c r="L1498" s="47"/>
      <c r="M1498" s="47"/>
      <c r="N1498" s="48"/>
      <c r="O1498" s="48"/>
    </row>
    <row r="1499" spans="2:15" x14ac:dyDescent="0.2">
      <c r="B1499" s="47"/>
      <c r="C1499" s="47"/>
      <c r="D1499" s="78"/>
      <c r="E1499" s="47"/>
      <c r="F1499" s="47"/>
      <c r="G1499" s="47"/>
      <c r="H1499" s="47"/>
      <c r="I1499" s="48"/>
      <c r="J1499" s="47"/>
      <c r="K1499" s="47"/>
      <c r="L1499" s="47"/>
      <c r="M1499" s="47"/>
      <c r="N1499" s="48"/>
      <c r="O1499" s="48"/>
    </row>
    <row r="1500" spans="2:15" x14ac:dyDescent="0.2">
      <c r="B1500" s="47"/>
      <c r="C1500" s="47"/>
      <c r="D1500" s="78"/>
      <c r="E1500" s="47"/>
      <c r="F1500" s="47"/>
      <c r="G1500" s="47"/>
      <c r="H1500" s="47"/>
      <c r="I1500" s="48"/>
      <c r="J1500" s="47"/>
      <c r="K1500" s="47"/>
      <c r="L1500" s="47"/>
      <c r="M1500" s="47"/>
      <c r="N1500" s="48"/>
      <c r="O1500" s="48"/>
    </row>
    <row r="1501" spans="2:15" x14ac:dyDescent="0.2">
      <c r="B1501" s="47"/>
      <c r="C1501" s="47"/>
      <c r="D1501" s="78"/>
      <c r="E1501" s="47"/>
      <c r="F1501" s="47"/>
      <c r="G1501" s="47"/>
      <c r="H1501" s="47"/>
      <c r="I1501" s="48"/>
      <c r="J1501" s="47"/>
      <c r="K1501" s="47"/>
      <c r="L1501" s="47"/>
      <c r="M1501" s="47"/>
      <c r="N1501" s="48"/>
      <c r="O1501" s="48"/>
    </row>
    <row r="1502" spans="2:15" x14ac:dyDescent="0.2">
      <c r="B1502" s="47"/>
      <c r="C1502" s="47"/>
      <c r="D1502" s="78"/>
      <c r="E1502" s="47"/>
      <c r="F1502" s="47"/>
      <c r="G1502" s="47"/>
      <c r="H1502" s="47"/>
      <c r="I1502" s="48"/>
      <c r="J1502" s="47"/>
      <c r="K1502" s="47"/>
      <c r="L1502" s="47"/>
      <c r="M1502" s="47"/>
      <c r="N1502" s="48"/>
      <c r="O1502" s="48"/>
    </row>
    <row r="1503" spans="2:15" x14ac:dyDescent="0.2">
      <c r="B1503" s="47"/>
      <c r="C1503" s="47"/>
      <c r="D1503" s="78"/>
      <c r="E1503" s="47"/>
      <c r="F1503" s="47"/>
      <c r="G1503" s="47"/>
      <c r="H1503" s="47"/>
      <c r="I1503" s="48"/>
      <c r="J1503" s="47"/>
      <c r="K1503" s="47"/>
      <c r="L1503" s="47"/>
      <c r="M1503" s="47"/>
      <c r="N1503" s="48"/>
      <c r="O1503" s="48"/>
    </row>
    <row r="1504" spans="2:15" x14ac:dyDescent="0.2">
      <c r="B1504" s="47"/>
      <c r="C1504" s="47"/>
      <c r="D1504" s="78"/>
      <c r="E1504" s="47"/>
      <c r="F1504" s="47"/>
      <c r="G1504" s="47"/>
      <c r="H1504" s="47"/>
      <c r="I1504" s="48"/>
      <c r="J1504" s="47"/>
      <c r="K1504" s="47"/>
      <c r="L1504" s="47"/>
      <c r="M1504" s="47"/>
      <c r="N1504" s="48"/>
      <c r="O1504" s="48"/>
    </row>
    <row r="1505" spans="2:15" x14ac:dyDescent="0.2">
      <c r="B1505" s="47"/>
      <c r="C1505" s="47"/>
      <c r="D1505" s="78"/>
      <c r="E1505" s="47"/>
      <c r="F1505" s="47"/>
      <c r="G1505" s="47"/>
      <c r="H1505" s="47"/>
      <c r="I1505" s="48"/>
      <c r="J1505" s="47"/>
      <c r="K1505" s="47"/>
      <c r="L1505" s="47"/>
      <c r="M1505" s="47"/>
      <c r="N1505" s="48"/>
      <c r="O1505" s="48"/>
    </row>
    <row r="1506" spans="2:15" x14ac:dyDescent="0.2">
      <c r="B1506" s="47"/>
      <c r="C1506" s="47"/>
      <c r="D1506" s="78"/>
      <c r="E1506" s="47"/>
      <c r="F1506" s="47"/>
      <c r="G1506" s="47"/>
      <c r="H1506" s="47"/>
      <c r="I1506" s="48"/>
      <c r="J1506" s="47"/>
      <c r="K1506" s="47"/>
      <c r="L1506" s="47"/>
      <c r="M1506" s="47"/>
      <c r="N1506" s="48"/>
      <c r="O1506" s="48"/>
    </row>
    <row r="1507" spans="2:15" x14ac:dyDescent="0.2">
      <c r="B1507" s="47"/>
      <c r="C1507" s="47"/>
      <c r="D1507" s="78"/>
      <c r="E1507" s="47"/>
      <c r="F1507" s="47"/>
      <c r="G1507" s="47"/>
      <c r="H1507" s="47"/>
      <c r="I1507" s="48"/>
      <c r="J1507" s="47"/>
      <c r="K1507" s="47"/>
      <c r="L1507" s="47"/>
      <c r="M1507" s="47"/>
      <c r="N1507" s="48"/>
      <c r="O1507" s="48"/>
    </row>
    <row r="1508" spans="2:15" x14ac:dyDescent="0.2">
      <c r="B1508" s="47"/>
      <c r="C1508" s="47"/>
      <c r="D1508" s="78"/>
      <c r="E1508" s="47"/>
      <c r="F1508" s="47"/>
      <c r="G1508" s="47"/>
      <c r="H1508" s="47"/>
      <c r="I1508" s="48"/>
      <c r="J1508" s="47"/>
      <c r="K1508" s="47"/>
      <c r="L1508" s="47"/>
      <c r="M1508" s="47"/>
      <c r="N1508" s="48"/>
      <c r="O1508" s="48"/>
    </row>
    <row r="1509" spans="2:15" x14ac:dyDescent="0.2">
      <c r="B1509" s="47"/>
      <c r="C1509" s="47"/>
      <c r="D1509" s="78"/>
      <c r="E1509" s="47"/>
      <c r="F1509" s="47"/>
      <c r="G1509" s="47"/>
      <c r="H1509" s="47"/>
      <c r="I1509" s="48"/>
      <c r="J1509" s="47"/>
      <c r="K1509" s="47"/>
      <c r="L1509" s="47"/>
      <c r="M1509" s="47"/>
      <c r="N1509" s="48"/>
      <c r="O1509" s="48"/>
    </row>
    <row r="1510" spans="2:15" x14ac:dyDescent="0.2">
      <c r="B1510" s="47"/>
      <c r="C1510" s="47"/>
      <c r="D1510" s="78"/>
      <c r="E1510" s="47"/>
      <c r="F1510" s="47"/>
      <c r="G1510" s="47"/>
      <c r="H1510" s="47"/>
      <c r="I1510" s="48"/>
      <c r="J1510" s="47"/>
      <c r="K1510" s="47"/>
      <c r="L1510" s="47"/>
      <c r="M1510" s="47"/>
      <c r="N1510" s="48"/>
      <c r="O1510" s="48"/>
    </row>
    <row r="1511" spans="2:15" x14ac:dyDescent="0.2">
      <c r="B1511" s="47"/>
      <c r="C1511" s="47"/>
      <c r="D1511" s="78"/>
      <c r="E1511" s="47"/>
      <c r="F1511" s="47"/>
      <c r="G1511" s="47"/>
      <c r="H1511" s="47"/>
      <c r="I1511" s="48"/>
      <c r="J1511" s="47"/>
      <c r="K1511" s="47"/>
      <c r="L1511" s="47"/>
      <c r="M1511" s="47"/>
      <c r="N1511" s="48"/>
      <c r="O1511" s="48"/>
    </row>
    <row r="1512" spans="2:15" x14ac:dyDescent="0.2">
      <c r="B1512" s="47"/>
      <c r="C1512" s="47"/>
      <c r="D1512" s="78"/>
      <c r="E1512" s="47"/>
      <c r="F1512" s="47"/>
      <c r="G1512" s="47"/>
      <c r="H1512" s="47"/>
      <c r="I1512" s="48"/>
      <c r="J1512" s="47"/>
      <c r="K1512" s="47"/>
      <c r="L1512" s="47"/>
      <c r="M1512" s="47"/>
      <c r="N1512" s="48"/>
      <c r="O1512" s="48"/>
    </row>
    <row r="1513" spans="2:15" x14ac:dyDescent="0.2">
      <c r="B1513" s="47"/>
      <c r="C1513" s="47"/>
      <c r="D1513" s="78"/>
      <c r="E1513" s="47"/>
      <c r="F1513" s="47"/>
      <c r="G1513" s="47"/>
      <c r="H1513" s="47"/>
      <c r="I1513" s="48"/>
      <c r="J1513" s="47"/>
      <c r="K1513" s="47"/>
      <c r="L1513" s="47"/>
      <c r="M1513" s="47"/>
      <c r="N1513" s="48"/>
      <c r="O1513" s="48"/>
    </row>
    <row r="1514" spans="2:15" x14ac:dyDescent="0.2">
      <c r="B1514" s="47"/>
      <c r="C1514" s="47"/>
      <c r="D1514" s="78"/>
      <c r="E1514" s="47"/>
      <c r="F1514" s="47"/>
      <c r="G1514" s="47"/>
      <c r="H1514" s="47"/>
      <c r="I1514" s="48"/>
      <c r="J1514" s="47"/>
      <c r="K1514" s="47"/>
      <c r="L1514" s="47"/>
      <c r="M1514" s="47"/>
      <c r="N1514" s="48"/>
      <c r="O1514" s="48"/>
    </row>
    <row r="1515" spans="2:15" x14ac:dyDescent="0.2">
      <c r="B1515" s="47"/>
      <c r="C1515" s="47"/>
      <c r="D1515" s="78"/>
      <c r="E1515" s="47"/>
      <c r="F1515" s="47"/>
      <c r="G1515" s="47"/>
      <c r="H1515" s="47"/>
      <c r="I1515" s="48"/>
      <c r="J1515" s="47"/>
      <c r="K1515" s="47"/>
      <c r="L1515" s="47"/>
      <c r="M1515" s="47"/>
      <c r="N1515" s="48"/>
      <c r="O1515" s="48"/>
    </row>
    <row r="1516" spans="2:15" x14ac:dyDescent="0.2">
      <c r="B1516" s="47"/>
      <c r="C1516" s="47"/>
      <c r="D1516" s="78"/>
      <c r="E1516" s="47"/>
      <c r="F1516" s="47"/>
      <c r="G1516" s="47"/>
      <c r="H1516" s="47"/>
      <c r="I1516" s="48"/>
      <c r="J1516" s="47"/>
      <c r="K1516" s="47"/>
      <c r="L1516" s="47"/>
      <c r="M1516" s="47"/>
      <c r="N1516" s="48"/>
      <c r="O1516" s="48"/>
    </row>
    <row r="1517" spans="2:15" x14ac:dyDescent="0.2">
      <c r="B1517" s="47"/>
      <c r="C1517" s="47"/>
      <c r="D1517" s="78"/>
      <c r="E1517" s="47"/>
      <c r="F1517" s="47"/>
      <c r="G1517" s="47"/>
      <c r="H1517" s="47"/>
      <c r="I1517" s="48"/>
      <c r="J1517" s="47"/>
      <c r="K1517" s="47"/>
      <c r="L1517" s="47"/>
      <c r="M1517" s="47"/>
      <c r="N1517" s="48"/>
      <c r="O1517" s="48"/>
    </row>
    <row r="1518" spans="2:15" x14ac:dyDescent="0.2">
      <c r="B1518" s="47"/>
      <c r="C1518" s="47"/>
      <c r="D1518" s="78"/>
      <c r="E1518" s="47"/>
      <c r="F1518" s="47"/>
      <c r="G1518" s="47"/>
      <c r="H1518" s="47"/>
      <c r="I1518" s="48"/>
      <c r="J1518" s="47"/>
      <c r="K1518" s="47"/>
      <c r="L1518" s="47"/>
      <c r="M1518" s="47"/>
      <c r="N1518" s="48"/>
      <c r="O1518" s="48"/>
    </row>
    <row r="1519" spans="2:15" x14ac:dyDescent="0.2">
      <c r="B1519" s="47"/>
      <c r="C1519" s="47"/>
      <c r="D1519" s="78"/>
      <c r="E1519" s="47"/>
      <c r="F1519" s="47"/>
      <c r="G1519" s="47"/>
      <c r="H1519" s="47"/>
      <c r="I1519" s="48"/>
      <c r="J1519" s="47"/>
      <c r="K1519" s="47"/>
      <c r="L1519" s="47"/>
      <c r="M1519" s="47"/>
      <c r="N1519" s="48"/>
      <c r="O1519" s="48"/>
    </row>
    <row r="1520" spans="2:15" x14ac:dyDescent="0.2">
      <c r="B1520" s="47"/>
      <c r="C1520" s="47"/>
      <c r="D1520" s="78"/>
      <c r="E1520" s="47"/>
      <c r="F1520" s="47"/>
      <c r="G1520" s="47"/>
      <c r="H1520" s="47"/>
      <c r="I1520" s="48"/>
      <c r="J1520" s="47"/>
      <c r="K1520" s="47"/>
      <c r="L1520" s="47"/>
      <c r="M1520" s="47"/>
      <c r="N1520" s="48"/>
      <c r="O1520" s="48"/>
    </row>
    <row r="1521" spans="2:15" x14ac:dyDescent="0.2">
      <c r="B1521" s="47"/>
      <c r="C1521" s="47"/>
      <c r="D1521" s="78"/>
      <c r="E1521" s="47"/>
      <c r="F1521" s="47"/>
      <c r="G1521" s="47"/>
      <c r="H1521" s="47"/>
      <c r="I1521" s="48"/>
      <c r="J1521" s="47"/>
      <c r="K1521" s="47"/>
      <c r="L1521" s="47"/>
      <c r="M1521" s="47"/>
      <c r="N1521" s="48"/>
      <c r="O1521" s="48"/>
    </row>
    <row r="1522" spans="2:15" x14ac:dyDescent="0.2">
      <c r="B1522" s="47"/>
      <c r="C1522" s="47"/>
      <c r="D1522" s="78"/>
      <c r="E1522" s="47"/>
      <c r="F1522" s="47"/>
      <c r="G1522" s="47"/>
      <c r="H1522" s="47"/>
      <c r="I1522" s="48"/>
      <c r="J1522" s="47"/>
      <c r="K1522" s="47"/>
      <c r="L1522" s="47"/>
      <c r="M1522" s="47"/>
      <c r="N1522" s="48"/>
      <c r="O1522" s="48"/>
    </row>
    <row r="1523" spans="2:15" x14ac:dyDescent="0.2">
      <c r="B1523" s="47"/>
      <c r="C1523" s="47"/>
      <c r="D1523" s="78"/>
      <c r="E1523" s="47"/>
      <c r="F1523" s="47"/>
      <c r="G1523" s="47"/>
      <c r="H1523" s="47"/>
      <c r="I1523" s="48"/>
      <c r="J1523" s="47"/>
      <c r="K1523" s="47"/>
      <c r="L1523" s="47"/>
      <c r="M1523" s="47"/>
      <c r="N1523" s="48"/>
      <c r="O1523" s="48"/>
    </row>
    <row r="1524" spans="2:15" x14ac:dyDescent="0.2">
      <c r="B1524" s="47"/>
      <c r="C1524" s="47"/>
      <c r="D1524" s="78"/>
      <c r="E1524" s="47"/>
      <c r="F1524" s="47"/>
      <c r="G1524" s="47"/>
      <c r="H1524" s="47"/>
      <c r="I1524" s="48"/>
      <c r="J1524" s="47"/>
      <c r="K1524" s="47"/>
      <c r="L1524" s="47"/>
      <c r="M1524" s="47"/>
      <c r="N1524" s="48"/>
      <c r="O1524" s="48"/>
    </row>
    <row r="1525" spans="2:15" x14ac:dyDescent="0.2">
      <c r="B1525" s="47"/>
      <c r="C1525" s="47"/>
      <c r="D1525" s="78"/>
      <c r="E1525" s="47"/>
      <c r="F1525" s="47"/>
      <c r="G1525" s="47"/>
      <c r="H1525" s="47"/>
      <c r="I1525" s="48"/>
      <c r="J1525" s="47"/>
      <c r="K1525" s="47"/>
      <c r="L1525" s="47"/>
      <c r="M1525" s="47"/>
      <c r="N1525" s="48"/>
      <c r="O1525" s="48"/>
    </row>
    <row r="1526" spans="2:15" x14ac:dyDescent="0.2">
      <c r="B1526" s="47"/>
      <c r="C1526" s="47"/>
      <c r="D1526" s="78"/>
      <c r="E1526" s="47"/>
      <c r="F1526" s="47"/>
      <c r="G1526" s="47"/>
      <c r="H1526" s="47"/>
      <c r="I1526" s="48"/>
      <c r="J1526" s="47"/>
      <c r="K1526" s="47"/>
      <c r="L1526" s="47"/>
      <c r="M1526" s="47"/>
      <c r="N1526" s="48"/>
      <c r="O1526" s="48"/>
    </row>
    <row r="1527" spans="2:15" x14ac:dyDescent="0.2">
      <c r="B1527" s="47"/>
      <c r="C1527" s="47"/>
      <c r="D1527" s="78"/>
      <c r="E1527" s="47"/>
      <c r="F1527" s="47"/>
      <c r="G1527" s="47"/>
      <c r="H1527" s="47"/>
      <c r="I1527" s="48"/>
      <c r="J1527" s="47"/>
      <c r="K1527" s="47"/>
      <c r="L1527" s="47"/>
      <c r="M1527" s="47"/>
      <c r="N1527" s="48"/>
      <c r="O1527" s="48"/>
    </row>
    <row r="1528" spans="2:15" x14ac:dyDescent="0.2">
      <c r="B1528" s="47"/>
      <c r="C1528" s="47"/>
      <c r="D1528" s="78"/>
      <c r="E1528" s="47"/>
      <c r="F1528" s="47"/>
      <c r="G1528" s="47"/>
      <c r="H1528" s="47"/>
      <c r="I1528" s="48"/>
      <c r="J1528" s="47"/>
      <c r="K1528" s="47"/>
      <c r="L1528" s="47"/>
      <c r="M1528" s="47"/>
      <c r="N1528" s="48"/>
      <c r="O1528" s="48"/>
    </row>
    <row r="1529" spans="2:15" x14ac:dyDescent="0.2">
      <c r="B1529" s="47"/>
      <c r="C1529" s="47"/>
      <c r="D1529" s="78"/>
      <c r="E1529" s="47"/>
      <c r="F1529" s="47"/>
      <c r="G1529" s="47"/>
      <c r="H1529" s="47"/>
      <c r="I1529" s="48"/>
      <c r="J1529" s="47"/>
      <c r="K1529" s="47"/>
      <c r="L1529" s="47"/>
      <c r="M1529" s="47"/>
      <c r="N1529" s="48"/>
      <c r="O1529" s="48"/>
    </row>
    <row r="1530" spans="2:15" x14ac:dyDescent="0.2">
      <c r="B1530" s="47"/>
      <c r="C1530" s="47"/>
      <c r="D1530" s="78"/>
      <c r="E1530" s="47"/>
      <c r="F1530" s="47"/>
      <c r="G1530" s="47"/>
      <c r="H1530" s="47"/>
      <c r="I1530" s="48"/>
      <c r="J1530" s="47"/>
      <c r="K1530" s="47"/>
      <c r="L1530" s="47"/>
      <c r="M1530" s="47"/>
      <c r="N1530" s="48"/>
      <c r="O1530" s="48"/>
    </row>
    <row r="1531" spans="2:15" x14ac:dyDescent="0.2">
      <c r="B1531" s="47"/>
      <c r="C1531" s="47"/>
      <c r="D1531" s="78"/>
      <c r="E1531" s="47"/>
      <c r="F1531" s="47"/>
      <c r="G1531" s="47"/>
      <c r="H1531" s="47"/>
      <c r="I1531" s="48"/>
      <c r="J1531" s="47"/>
      <c r="K1531" s="47"/>
      <c r="L1531" s="47"/>
      <c r="M1531" s="47"/>
      <c r="N1531" s="48"/>
      <c r="O1531" s="48"/>
    </row>
    <row r="1532" spans="2:15" x14ac:dyDescent="0.2">
      <c r="B1532" s="47"/>
      <c r="C1532" s="47"/>
      <c r="D1532" s="78"/>
      <c r="E1532" s="47"/>
      <c r="F1532" s="47"/>
      <c r="G1532" s="47"/>
      <c r="H1532" s="47"/>
      <c r="I1532" s="48"/>
      <c r="J1532" s="47"/>
      <c r="K1532" s="47"/>
      <c r="L1532" s="47"/>
      <c r="M1532" s="47"/>
      <c r="N1532" s="48"/>
      <c r="O1532" s="48"/>
    </row>
    <row r="1533" spans="2:15" x14ac:dyDescent="0.2">
      <c r="B1533" s="47"/>
      <c r="C1533" s="47"/>
      <c r="D1533" s="78"/>
      <c r="E1533" s="47"/>
      <c r="F1533" s="47"/>
      <c r="G1533" s="47"/>
      <c r="H1533" s="47"/>
      <c r="I1533" s="48"/>
      <c r="J1533" s="47"/>
      <c r="K1533" s="47"/>
      <c r="L1533" s="47"/>
      <c r="M1533" s="47"/>
      <c r="N1533" s="48"/>
      <c r="O1533" s="48"/>
    </row>
    <row r="1534" spans="2:15" x14ac:dyDescent="0.2">
      <c r="B1534" s="47"/>
      <c r="C1534" s="47"/>
      <c r="D1534" s="78"/>
      <c r="E1534" s="47"/>
      <c r="F1534" s="47"/>
      <c r="G1534" s="47"/>
      <c r="H1534" s="47"/>
      <c r="I1534" s="48"/>
      <c r="J1534" s="47"/>
      <c r="K1534" s="47"/>
      <c r="L1534" s="47"/>
      <c r="M1534" s="47"/>
      <c r="N1534" s="48"/>
      <c r="O1534" s="48"/>
    </row>
    <row r="1535" spans="2:15" x14ac:dyDescent="0.2">
      <c r="B1535" s="47"/>
      <c r="C1535" s="47"/>
      <c r="D1535" s="78"/>
      <c r="E1535" s="47"/>
      <c r="F1535" s="47"/>
      <c r="G1535" s="47"/>
      <c r="H1535" s="47"/>
      <c r="I1535" s="48"/>
      <c r="J1535" s="47"/>
      <c r="K1535" s="47"/>
      <c r="L1535" s="47"/>
      <c r="M1535" s="47"/>
      <c r="N1535" s="48"/>
      <c r="O1535" s="48"/>
    </row>
    <row r="1536" spans="2:15" x14ac:dyDescent="0.2">
      <c r="B1536" s="47"/>
      <c r="C1536" s="47"/>
      <c r="D1536" s="78"/>
      <c r="E1536" s="47"/>
      <c r="F1536" s="47"/>
      <c r="G1536" s="47"/>
      <c r="H1536" s="47"/>
      <c r="I1536" s="48"/>
      <c r="J1536" s="47"/>
      <c r="K1536" s="47"/>
      <c r="L1536" s="47"/>
      <c r="M1536" s="47"/>
      <c r="N1536" s="48"/>
      <c r="O1536" s="48"/>
    </row>
    <row r="1537" spans="2:15" x14ac:dyDescent="0.2">
      <c r="B1537" s="47"/>
      <c r="C1537" s="47"/>
      <c r="D1537" s="78"/>
      <c r="E1537" s="47"/>
      <c r="F1537" s="47"/>
      <c r="G1537" s="47"/>
      <c r="H1537" s="47"/>
      <c r="I1537" s="48"/>
      <c r="J1537" s="47"/>
      <c r="K1537" s="47"/>
      <c r="L1537" s="47"/>
      <c r="M1537" s="47"/>
      <c r="N1537" s="48"/>
      <c r="O1537" s="48"/>
    </row>
    <row r="1538" spans="2:15" x14ac:dyDescent="0.2">
      <c r="B1538" s="47"/>
      <c r="C1538" s="47"/>
      <c r="D1538" s="78"/>
      <c r="E1538" s="47"/>
      <c r="F1538" s="47"/>
      <c r="G1538" s="47"/>
      <c r="H1538" s="47"/>
      <c r="I1538" s="48"/>
      <c r="J1538" s="47"/>
      <c r="K1538" s="47"/>
      <c r="L1538" s="47"/>
      <c r="M1538" s="47"/>
      <c r="N1538" s="48"/>
      <c r="O1538" s="48"/>
    </row>
    <row r="1539" spans="2:15" x14ac:dyDescent="0.2">
      <c r="B1539" s="47"/>
      <c r="C1539" s="47"/>
      <c r="D1539" s="78"/>
      <c r="E1539" s="47"/>
      <c r="F1539" s="47"/>
      <c r="G1539" s="47"/>
      <c r="H1539" s="47"/>
      <c r="I1539" s="48"/>
      <c r="J1539" s="47"/>
      <c r="K1539" s="47"/>
      <c r="L1539" s="47"/>
      <c r="M1539" s="47"/>
      <c r="N1539" s="48"/>
      <c r="O1539" s="48"/>
    </row>
    <row r="1540" spans="2:15" x14ac:dyDescent="0.2">
      <c r="B1540" s="47"/>
      <c r="C1540" s="47"/>
      <c r="D1540" s="78"/>
      <c r="E1540" s="47"/>
      <c r="F1540" s="47"/>
      <c r="G1540" s="47"/>
      <c r="H1540" s="47"/>
      <c r="I1540" s="48"/>
      <c r="J1540" s="47"/>
      <c r="K1540" s="47"/>
      <c r="L1540" s="47"/>
      <c r="M1540" s="47"/>
      <c r="N1540" s="48"/>
      <c r="O1540" s="48"/>
    </row>
    <row r="1541" spans="2:15" x14ac:dyDescent="0.2">
      <c r="B1541" s="47"/>
      <c r="C1541" s="47"/>
      <c r="D1541" s="78"/>
      <c r="E1541" s="47"/>
      <c r="F1541" s="47"/>
      <c r="G1541" s="47"/>
      <c r="H1541" s="47"/>
      <c r="I1541" s="48"/>
      <c r="J1541" s="47"/>
      <c r="K1541" s="47"/>
      <c r="L1541" s="47"/>
      <c r="M1541" s="47"/>
      <c r="N1541" s="48"/>
      <c r="O1541" s="48"/>
    </row>
    <row r="1542" spans="2:15" x14ac:dyDescent="0.2">
      <c r="B1542" s="47"/>
      <c r="C1542" s="47"/>
      <c r="D1542" s="78"/>
      <c r="E1542" s="47"/>
      <c r="F1542" s="47"/>
      <c r="G1542" s="47"/>
      <c r="H1542" s="47"/>
      <c r="I1542" s="48"/>
      <c r="J1542" s="47"/>
      <c r="K1542" s="47"/>
      <c r="L1542" s="47"/>
      <c r="M1542" s="47"/>
      <c r="N1542" s="48"/>
      <c r="O1542" s="48"/>
    </row>
    <row r="1543" spans="2:15" x14ac:dyDescent="0.2">
      <c r="B1543" s="47"/>
      <c r="C1543" s="47"/>
      <c r="D1543" s="78"/>
      <c r="E1543" s="47"/>
      <c r="F1543" s="47"/>
      <c r="G1543" s="47"/>
      <c r="H1543" s="47"/>
      <c r="I1543" s="48"/>
      <c r="J1543" s="47"/>
      <c r="K1543" s="47"/>
      <c r="L1543" s="47"/>
      <c r="M1543" s="47"/>
      <c r="N1543" s="48"/>
      <c r="O1543" s="48"/>
    </row>
    <row r="1544" spans="2:15" x14ac:dyDescent="0.2">
      <c r="B1544" s="47"/>
      <c r="C1544" s="47"/>
      <c r="D1544" s="78"/>
      <c r="E1544" s="47"/>
      <c r="F1544" s="47"/>
      <c r="G1544" s="47"/>
      <c r="H1544" s="47"/>
      <c r="I1544" s="48"/>
      <c r="J1544" s="47"/>
      <c r="K1544" s="47"/>
      <c r="L1544" s="47"/>
      <c r="M1544" s="47"/>
      <c r="N1544" s="48"/>
      <c r="O1544" s="48"/>
    </row>
    <row r="1545" spans="2:15" x14ac:dyDescent="0.2">
      <c r="B1545" s="47"/>
      <c r="C1545" s="47"/>
      <c r="D1545" s="78"/>
      <c r="E1545" s="47"/>
      <c r="F1545" s="47"/>
      <c r="G1545" s="47"/>
      <c r="H1545" s="47"/>
      <c r="I1545" s="48"/>
      <c r="J1545" s="47"/>
      <c r="K1545" s="47"/>
      <c r="L1545" s="47"/>
      <c r="M1545" s="47"/>
      <c r="N1545" s="48"/>
      <c r="O1545" s="48"/>
    </row>
    <row r="1546" spans="2:15" x14ac:dyDescent="0.2">
      <c r="B1546" s="47"/>
      <c r="C1546" s="47"/>
      <c r="D1546" s="78"/>
      <c r="E1546" s="47"/>
      <c r="F1546" s="47"/>
      <c r="G1546" s="47"/>
      <c r="H1546" s="47"/>
      <c r="I1546" s="48"/>
      <c r="J1546" s="47"/>
      <c r="K1546" s="47"/>
      <c r="L1546" s="47"/>
      <c r="M1546" s="47"/>
      <c r="N1546" s="48"/>
      <c r="O1546" s="48"/>
    </row>
    <row r="1547" spans="2:15" x14ac:dyDescent="0.2">
      <c r="B1547" s="47"/>
      <c r="C1547" s="47"/>
      <c r="D1547" s="78"/>
      <c r="E1547" s="47"/>
      <c r="F1547" s="47"/>
      <c r="G1547" s="47"/>
      <c r="H1547" s="47"/>
      <c r="I1547" s="48"/>
      <c r="J1547" s="47"/>
      <c r="K1547" s="47"/>
      <c r="L1547" s="47"/>
      <c r="M1547" s="47"/>
      <c r="N1547" s="48"/>
      <c r="O1547" s="48"/>
    </row>
    <row r="1548" spans="2:15" x14ac:dyDescent="0.2">
      <c r="B1548" s="47"/>
      <c r="C1548" s="47"/>
      <c r="D1548" s="78"/>
      <c r="E1548" s="47"/>
      <c r="F1548" s="47"/>
      <c r="G1548" s="47"/>
      <c r="H1548" s="47"/>
      <c r="I1548" s="48"/>
      <c r="J1548" s="47"/>
      <c r="K1548" s="47"/>
      <c r="L1548" s="47"/>
      <c r="M1548" s="47"/>
      <c r="N1548" s="48"/>
      <c r="O1548" s="48"/>
    </row>
    <row r="1549" spans="2:15" x14ac:dyDescent="0.2">
      <c r="B1549" s="47"/>
      <c r="C1549" s="47"/>
      <c r="D1549" s="78"/>
      <c r="E1549" s="47"/>
      <c r="F1549" s="47"/>
      <c r="G1549" s="47"/>
      <c r="H1549" s="47"/>
      <c r="I1549" s="48"/>
      <c r="J1549" s="47"/>
      <c r="K1549" s="47"/>
      <c r="L1549" s="47"/>
      <c r="M1549" s="47"/>
      <c r="N1549" s="48"/>
      <c r="O1549" s="48"/>
    </row>
    <row r="1550" spans="2:15" x14ac:dyDescent="0.2">
      <c r="B1550" s="47"/>
      <c r="C1550" s="47"/>
      <c r="D1550" s="78"/>
      <c r="E1550" s="47"/>
      <c r="F1550" s="47"/>
      <c r="G1550" s="47"/>
      <c r="H1550" s="47"/>
      <c r="I1550" s="48"/>
      <c r="J1550" s="47"/>
      <c r="K1550" s="47"/>
      <c r="L1550" s="47"/>
      <c r="M1550" s="47"/>
      <c r="N1550" s="48"/>
      <c r="O1550" s="48"/>
    </row>
    <row r="1551" spans="2:15" x14ac:dyDescent="0.2">
      <c r="B1551" s="47"/>
      <c r="C1551" s="47"/>
      <c r="D1551" s="78"/>
      <c r="E1551" s="47"/>
      <c r="F1551" s="47"/>
      <c r="G1551" s="47"/>
      <c r="H1551" s="47"/>
      <c r="I1551" s="48"/>
      <c r="J1551" s="47"/>
      <c r="K1551" s="47"/>
      <c r="L1551" s="47"/>
      <c r="M1551" s="47"/>
      <c r="N1551" s="48"/>
      <c r="O1551" s="48"/>
    </row>
    <row r="1552" spans="2:15" x14ac:dyDescent="0.2">
      <c r="B1552" s="47"/>
      <c r="C1552" s="47"/>
      <c r="D1552" s="78"/>
      <c r="E1552" s="47"/>
      <c r="F1552" s="47"/>
      <c r="G1552" s="47"/>
      <c r="H1552" s="47"/>
      <c r="I1552" s="48"/>
      <c r="J1552" s="47"/>
      <c r="K1552" s="47"/>
      <c r="L1552" s="47"/>
      <c r="M1552" s="47"/>
      <c r="N1552" s="48"/>
      <c r="O1552" s="48"/>
    </row>
    <row r="1553" spans="2:15" x14ac:dyDescent="0.2">
      <c r="B1553" s="47"/>
      <c r="C1553" s="47"/>
      <c r="D1553" s="78"/>
      <c r="E1553" s="47"/>
      <c r="F1553" s="47"/>
      <c r="G1553" s="47"/>
      <c r="H1553" s="47"/>
      <c r="I1553" s="48"/>
      <c r="J1553" s="47"/>
      <c r="K1553" s="47"/>
      <c r="L1553" s="47"/>
      <c r="M1553" s="47"/>
      <c r="N1553" s="48"/>
      <c r="O1553" s="48"/>
    </row>
    <row r="1554" spans="2:15" x14ac:dyDescent="0.2">
      <c r="B1554" s="47"/>
      <c r="C1554" s="47"/>
      <c r="D1554" s="78"/>
      <c r="E1554" s="47"/>
      <c r="F1554" s="47"/>
      <c r="G1554" s="47"/>
      <c r="H1554" s="47"/>
      <c r="I1554" s="48"/>
      <c r="J1554" s="47"/>
      <c r="K1554" s="47"/>
      <c r="L1554" s="47"/>
      <c r="M1554" s="47"/>
      <c r="N1554" s="48"/>
      <c r="O1554" s="48"/>
    </row>
    <row r="1555" spans="2:15" x14ac:dyDescent="0.2">
      <c r="B1555" s="47"/>
      <c r="C1555" s="47"/>
      <c r="D1555" s="78"/>
      <c r="E1555" s="47"/>
      <c r="F1555" s="47"/>
      <c r="G1555" s="47"/>
      <c r="H1555" s="47"/>
      <c r="I1555" s="48"/>
      <c r="J1555" s="47"/>
      <c r="K1555" s="47"/>
      <c r="L1555" s="47"/>
      <c r="M1555" s="47"/>
      <c r="N1555" s="48"/>
      <c r="O1555" s="48"/>
    </row>
    <row r="1556" spans="2:15" x14ac:dyDescent="0.2">
      <c r="B1556" s="47"/>
      <c r="C1556" s="47"/>
      <c r="D1556" s="78"/>
      <c r="E1556" s="47"/>
      <c r="F1556" s="47"/>
      <c r="G1556" s="47"/>
      <c r="H1556" s="47"/>
      <c r="I1556" s="48"/>
      <c r="J1556" s="47"/>
      <c r="K1556" s="47"/>
      <c r="L1556" s="47"/>
      <c r="M1556" s="47"/>
      <c r="N1556" s="48"/>
      <c r="O1556" s="48"/>
    </row>
    <row r="1557" spans="2:15" x14ac:dyDescent="0.2">
      <c r="B1557" s="47"/>
      <c r="C1557" s="47"/>
      <c r="D1557" s="78"/>
      <c r="E1557" s="47"/>
      <c r="F1557" s="47"/>
      <c r="G1557" s="47"/>
      <c r="H1557" s="47"/>
      <c r="I1557" s="48"/>
      <c r="J1557" s="47"/>
      <c r="K1557" s="47"/>
      <c r="L1557" s="47"/>
      <c r="M1557" s="47"/>
      <c r="N1557" s="48"/>
      <c r="O1557" s="48"/>
    </row>
    <row r="1558" spans="2:15" x14ac:dyDescent="0.2">
      <c r="B1558" s="47"/>
      <c r="C1558" s="47"/>
      <c r="D1558" s="78"/>
      <c r="E1558" s="47"/>
      <c r="F1558" s="47"/>
      <c r="G1558" s="47"/>
      <c r="H1558" s="47"/>
      <c r="I1558" s="48"/>
      <c r="J1558" s="47"/>
      <c r="K1558" s="47"/>
      <c r="L1558" s="47"/>
      <c r="M1558" s="47"/>
      <c r="N1558" s="48"/>
      <c r="O1558" s="48"/>
    </row>
    <row r="1559" spans="2:15" x14ac:dyDescent="0.2">
      <c r="B1559" s="47"/>
      <c r="C1559" s="47"/>
      <c r="D1559" s="78"/>
      <c r="E1559" s="47"/>
      <c r="F1559" s="47"/>
      <c r="G1559" s="47"/>
      <c r="H1559" s="47"/>
      <c r="I1559" s="48"/>
      <c r="J1559" s="47"/>
      <c r="K1559" s="47"/>
      <c r="L1559" s="47"/>
      <c r="M1559" s="47"/>
      <c r="N1559" s="48"/>
      <c r="O1559" s="48"/>
    </row>
    <row r="1560" spans="2:15" x14ac:dyDescent="0.2">
      <c r="B1560" s="47"/>
      <c r="C1560" s="47"/>
      <c r="D1560" s="78"/>
      <c r="E1560" s="47"/>
      <c r="F1560" s="47"/>
      <c r="G1560" s="47"/>
      <c r="H1560" s="47"/>
      <c r="I1560" s="48"/>
      <c r="J1560" s="47"/>
      <c r="K1560" s="47"/>
      <c r="L1560" s="47"/>
      <c r="M1560" s="47"/>
      <c r="N1560" s="48"/>
      <c r="O1560" s="48"/>
    </row>
    <row r="1561" spans="2:15" x14ac:dyDescent="0.2">
      <c r="B1561" s="47"/>
      <c r="C1561" s="47"/>
      <c r="D1561" s="78"/>
      <c r="E1561" s="47"/>
      <c r="F1561" s="47"/>
      <c r="G1561" s="47"/>
      <c r="H1561" s="47"/>
      <c r="I1561" s="48"/>
      <c r="J1561" s="47"/>
      <c r="K1561" s="47"/>
      <c r="L1561" s="47"/>
      <c r="M1561" s="47"/>
      <c r="N1561" s="48"/>
      <c r="O1561" s="48"/>
    </row>
    <row r="1562" spans="2:15" x14ac:dyDescent="0.2">
      <c r="B1562" s="47"/>
      <c r="C1562" s="47"/>
      <c r="D1562" s="78"/>
      <c r="E1562" s="47"/>
      <c r="F1562" s="47"/>
      <c r="G1562" s="47"/>
      <c r="H1562" s="47"/>
      <c r="I1562" s="48"/>
      <c r="J1562" s="47"/>
      <c r="K1562" s="47"/>
      <c r="L1562" s="47"/>
      <c r="M1562" s="47"/>
      <c r="N1562" s="48"/>
      <c r="O1562" s="48"/>
    </row>
    <row r="1563" spans="2:15" x14ac:dyDescent="0.2">
      <c r="B1563" s="47"/>
      <c r="C1563" s="47"/>
      <c r="D1563" s="78"/>
      <c r="E1563" s="47"/>
      <c r="F1563" s="47"/>
      <c r="G1563" s="47"/>
      <c r="H1563" s="47"/>
      <c r="I1563" s="48"/>
      <c r="J1563" s="47"/>
      <c r="K1563" s="47"/>
      <c r="L1563" s="47"/>
      <c r="M1563" s="47"/>
      <c r="N1563" s="48"/>
      <c r="O1563" s="48"/>
    </row>
    <row r="1564" spans="2:15" x14ac:dyDescent="0.2">
      <c r="B1564" s="47"/>
      <c r="C1564" s="47"/>
      <c r="D1564" s="78"/>
      <c r="E1564" s="47"/>
      <c r="F1564" s="47"/>
      <c r="G1564" s="47"/>
      <c r="H1564" s="47"/>
      <c r="I1564" s="48"/>
      <c r="J1564" s="47"/>
      <c r="K1564" s="47"/>
      <c r="L1564" s="47"/>
      <c r="M1564" s="47"/>
      <c r="N1564" s="48"/>
      <c r="O1564" s="48"/>
    </row>
    <row r="1565" spans="2:15" x14ac:dyDescent="0.2">
      <c r="B1565" s="47"/>
      <c r="C1565" s="47"/>
      <c r="D1565" s="78"/>
      <c r="E1565" s="47"/>
      <c r="F1565" s="47"/>
      <c r="G1565" s="47"/>
      <c r="H1565" s="47"/>
      <c r="I1565" s="48"/>
      <c r="J1565" s="47"/>
      <c r="K1565" s="47"/>
      <c r="L1565" s="47"/>
      <c r="M1565" s="47"/>
      <c r="N1565" s="48"/>
      <c r="O1565" s="48"/>
    </row>
    <row r="1566" spans="2:15" x14ac:dyDescent="0.2">
      <c r="B1566" s="47"/>
      <c r="C1566" s="47"/>
      <c r="D1566" s="78"/>
      <c r="E1566" s="47"/>
      <c r="F1566" s="47"/>
      <c r="G1566" s="47"/>
      <c r="H1566" s="47"/>
      <c r="I1566" s="48"/>
      <c r="J1566" s="47"/>
      <c r="K1566" s="47"/>
      <c r="L1566" s="47"/>
      <c r="M1566" s="47"/>
      <c r="N1566" s="48"/>
      <c r="O1566" s="48"/>
    </row>
    <row r="1567" spans="2:15" x14ac:dyDescent="0.2">
      <c r="B1567" s="47"/>
      <c r="C1567" s="47"/>
      <c r="D1567" s="78"/>
      <c r="E1567" s="47"/>
      <c r="F1567" s="47"/>
      <c r="G1567" s="47"/>
      <c r="H1567" s="47"/>
      <c r="I1567" s="48"/>
      <c r="J1567" s="47"/>
      <c r="K1567" s="47"/>
      <c r="L1567" s="47"/>
      <c r="M1567" s="47"/>
      <c r="N1567" s="48"/>
      <c r="O1567" s="48"/>
    </row>
    <row r="1568" spans="2:15" x14ac:dyDescent="0.2">
      <c r="B1568" s="47"/>
      <c r="C1568" s="47"/>
      <c r="D1568" s="78"/>
      <c r="E1568" s="47"/>
      <c r="F1568" s="47"/>
      <c r="G1568" s="47"/>
      <c r="H1568" s="47"/>
      <c r="I1568" s="48"/>
      <c r="J1568" s="47"/>
      <c r="K1568" s="47"/>
      <c r="L1568" s="47"/>
      <c r="M1568" s="47"/>
      <c r="N1568" s="48"/>
      <c r="O1568" s="48"/>
    </row>
    <row r="1569" spans="2:15" x14ac:dyDescent="0.2">
      <c r="B1569" s="47"/>
      <c r="C1569" s="47"/>
      <c r="D1569" s="78"/>
      <c r="E1569" s="47"/>
      <c r="F1569" s="47"/>
      <c r="G1569" s="47"/>
      <c r="H1569" s="47"/>
      <c r="I1569" s="48"/>
      <c r="J1569" s="47"/>
      <c r="K1569" s="47"/>
      <c r="L1569" s="47"/>
      <c r="M1569" s="47"/>
      <c r="N1569" s="48"/>
      <c r="O1569" s="48"/>
    </row>
    <row r="1570" spans="2:15" x14ac:dyDescent="0.2">
      <c r="B1570" s="47"/>
      <c r="C1570" s="47"/>
      <c r="D1570" s="78"/>
      <c r="E1570" s="47"/>
      <c r="F1570" s="47"/>
      <c r="G1570" s="47"/>
      <c r="H1570" s="47"/>
      <c r="I1570" s="48"/>
      <c r="J1570" s="47"/>
      <c r="K1570" s="47"/>
      <c r="L1570" s="47"/>
      <c r="M1570" s="47"/>
      <c r="N1570" s="48"/>
      <c r="O1570" s="48"/>
    </row>
    <row r="1571" spans="2:15" x14ac:dyDescent="0.2">
      <c r="B1571" s="47"/>
      <c r="C1571" s="47"/>
      <c r="D1571" s="78"/>
      <c r="E1571" s="47"/>
      <c r="F1571" s="47"/>
      <c r="G1571" s="47"/>
      <c r="H1571" s="47"/>
      <c r="I1571" s="48"/>
      <c r="J1571" s="47"/>
      <c r="K1571" s="47"/>
      <c r="L1571" s="47"/>
      <c r="M1571" s="47"/>
      <c r="N1571" s="48"/>
      <c r="O1571" s="48"/>
    </row>
    <row r="1572" spans="2:15" x14ac:dyDescent="0.2">
      <c r="B1572" s="47"/>
      <c r="C1572" s="47"/>
      <c r="D1572" s="78"/>
      <c r="E1572" s="47"/>
      <c r="F1572" s="47"/>
      <c r="G1572" s="47"/>
      <c r="H1572" s="47"/>
      <c r="I1572" s="48"/>
      <c r="J1572" s="47"/>
      <c r="K1572" s="47"/>
      <c r="L1572" s="47"/>
      <c r="M1572" s="47"/>
      <c r="N1572" s="48"/>
      <c r="O1572" s="48"/>
    </row>
    <row r="1573" spans="2:15" x14ac:dyDescent="0.2">
      <c r="B1573" s="47"/>
      <c r="C1573" s="47"/>
      <c r="D1573" s="78"/>
      <c r="E1573" s="47"/>
      <c r="F1573" s="47"/>
      <c r="G1573" s="47"/>
      <c r="H1573" s="47"/>
      <c r="I1573" s="48"/>
      <c r="J1573" s="47"/>
      <c r="K1573" s="47"/>
      <c r="L1573" s="47"/>
      <c r="M1573" s="47"/>
      <c r="N1573" s="48"/>
      <c r="O1573" s="48"/>
    </row>
    <row r="1574" spans="2:15" x14ac:dyDescent="0.2">
      <c r="B1574" s="47"/>
      <c r="C1574" s="47"/>
      <c r="D1574" s="78"/>
      <c r="E1574" s="47"/>
      <c r="F1574" s="47"/>
      <c r="G1574" s="47"/>
      <c r="H1574" s="47"/>
      <c r="I1574" s="48"/>
      <c r="J1574" s="47"/>
      <c r="K1574" s="47"/>
      <c r="L1574" s="47"/>
      <c r="M1574" s="47"/>
      <c r="N1574" s="48"/>
      <c r="O1574" s="48"/>
    </row>
    <row r="1575" spans="2:15" x14ac:dyDescent="0.2">
      <c r="B1575" s="47"/>
      <c r="C1575" s="47"/>
      <c r="D1575" s="78"/>
      <c r="E1575" s="47"/>
      <c r="F1575" s="47"/>
      <c r="G1575" s="47"/>
      <c r="H1575" s="47"/>
      <c r="I1575" s="48"/>
      <c r="J1575" s="47"/>
      <c r="K1575" s="47"/>
      <c r="L1575" s="47"/>
      <c r="M1575" s="47"/>
      <c r="N1575" s="48"/>
      <c r="O1575" s="48"/>
    </row>
    <row r="1576" spans="2:15" x14ac:dyDescent="0.2">
      <c r="B1576" s="47"/>
      <c r="C1576" s="47"/>
      <c r="D1576" s="78"/>
      <c r="E1576" s="47"/>
      <c r="F1576" s="47"/>
      <c r="G1576" s="47"/>
      <c r="H1576" s="47"/>
      <c r="I1576" s="48"/>
      <c r="J1576" s="47"/>
      <c r="K1576" s="47"/>
      <c r="L1576" s="47"/>
      <c r="M1576" s="47"/>
      <c r="N1576" s="48"/>
      <c r="O1576" s="48"/>
    </row>
    <row r="1577" spans="2:15" x14ac:dyDescent="0.2">
      <c r="B1577" s="47"/>
      <c r="C1577" s="47"/>
      <c r="D1577" s="78"/>
      <c r="E1577" s="47"/>
      <c r="F1577" s="47"/>
      <c r="G1577" s="47"/>
      <c r="H1577" s="47"/>
      <c r="I1577" s="48"/>
      <c r="J1577" s="47"/>
      <c r="K1577" s="47"/>
      <c r="L1577" s="47"/>
      <c r="M1577" s="47"/>
      <c r="N1577" s="48"/>
      <c r="O1577" s="48"/>
    </row>
    <row r="1578" spans="2:15" x14ac:dyDescent="0.2">
      <c r="B1578" s="47"/>
      <c r="C1578" s="47"/>
      <c r="D1578" s="78"/>
      <c r="E1578" s="47"/>
      <c r="F1578" s="47"/>
      <c r="G1578" s="47"/>
      <c r="H1578" s="47"/>
      <c r="I1578" s="48"/>
      <c r="J1578" s="47"/>
      <c r="K1578" s="47"/>
      <c r="L1578" s="47"/>
      <c r="M1578" s="47"/>
      <c r="N1578" s="48"/>
      <c r="O1578" s="48"/>
    </row>
    <row r="1579" spans="2:15" x14ac:dyDescent="0.2">
      <c r="B1579" s="47"/>
      <c r="C1579" s="47"/>
      <c r="D1579" s="78"/>
      <c r="E1579" s="47"/>
      <c r="F1579" s="47"/>
      <c r="G1579" s="47"/>
      <c r="H1579" s="47"/>
      <c r="I1579" s="48"/>
      <c r="J1579" s="47"/>
      <c r="K1579" s="47"/>
      <c r="L1579" s="47"/>
      <c r="M1579" s="47"/>
      <c r="N1579" s="48"/>
      <c r="O1579" s="48"/>
    </row>
    <row r="1580" spans="2:15" x14ac:dyDescent="0.2">
      <c r="B1580" s="47"/>
      <c r="C1580" s="47"/>
      <c r="D1580" s="78"/>
      <c r="E1580" s="47"/>
      <c r="F1580" s="47"/>
      <c r="G1580" s="47"/>
      <c r="H1580" s="47"/>
      <c r="I1580" s="48"/>
      <c r="J1580" s="47"/>
      <c r="K1580" s="47"/>
      <c r="L1580" s="47"/>
      <c r="M1580" s="47"/>
      <c r="N1580" s="48"/>
      <c r="O1580" s="48"/>
    </row>
    <row r="1581" spans="2:15" x14ac:dyDescent="0.2">
      <c r="B1581" s="47"/>
      <c r="C1581" s="47"/>
      <c r="D1581" s="78"/>
      <c r="E1581" s="47"/>
      <c r="F1581" s="47"/>
      <c r="G1581" s="47"/>
      <c r="H1581" s="47"/>
      <c r="I1581" s="48"/>
      <c r="J1581" s="47"/>
      <c r="K1581" s="47"/>
      <c r="L1581" s="47"/>
      <c r="M1581" s="47"/>
      <c r="N1581" s="48"/>
      <c r="O1581" s="48"/>
    </row>
    <row r="1582" spans="2:15" x14ac:dyDescent="0.2">
      <c r="B1582" s="47"/>
      <c r="C1582" s="47"/>
      <c r="D1582" s="78"/>
      <c r="E1582" s="47"/>
      <c r="F1582" s="47"/>
      <c r="G1582" s="47"/>
      <c r="H1582" s="47"/>
      <c r="I1582" s="48"/>
      <c r="J1582" s="47"/>
      <c r="K1582" s="47"/>
      <c r="L1582" s="47"/>
      <c r="M1582" s="47"/>
      <c r="N1582" s="48"/>
      <c r="O1582" s="48"/>
    </row>
    <row r="1583" spans="2:15" x14ac:dyDescent="0.2">
      <c r="B1583" s="47"/>
      <c r="C1583" s="47"/>
      <c r="D1583" s="78"/>
      <c r="E1583" s="47"/>
      <c r="F1583" s="47"/>
      <c r="G1583" s="47"/>
      <c r="H1583" s="47"/>
      <c r="I1583" s="48"/>
      <c r="J1583" s="47"/>
      <c r="K1583" s="47"/>
      <c r="L1583" s="47"/>
      <c r="M1583" s="47"/>
      <c r="N1583" s="48"/>
      <c r="O1583" s="48"/>
    </row>
    <row r="1584" spans="2:15" x14ac:dyDescent="0.2">
      <c r="B1584" s="47"/>
      <c r="C1584" s="47"/>
      <c r="D1584" s="78"/>
      <c r="E1584" s="47"/>
      <c r="F1584" s="47"/>
      <c r="G1584" s="47"/>
      <c r="H1584" s="47"/>
      <c r="I1584" s="48"/>
      <c r="J1584" s="47"/>
      <c r="K1584" s="47"/>
      <c r="L1584" s="47"/>
      <c r="M1584" s="47"/>
      <c r="N1584" s="48"/>
      <c r="O1584" s="48"/>
    </row>
    <row r="1585" spans="2:15" x14ac:dyDescent="0.2">
      <c r="B1585" s="47"/>
      <c r="C1585" s="47"/>
      <c r="D1585" s="78"/>
      <c r="E1585" s="47"/>
      <c r="F1585" s="47"/>
      <c r="G1585" s="47"/>
      <c r="H1585" s="47"/>
      <c r="I1585" s="48"/>
      <c r="J1585" s="47"/>
      <c r="K1585" s="47"/>
      <c r="L1585" s="47"/>
      <c r="M1585" s="47"/>
      <c r="N1585" s="48"/>
      <c r="O1585" s="48"/>
    </row>
    <row r="1586" spans="2:15" x14ac:dyDescent="0.2">
      <c r="B1586" s="47"/>
      <c r="C1586" s="47"/>
      <c r="D1586" s="78"/>
      <c r="E1586" s="47"/>
      <c r="F1586" s="47"/>
      <c r="G1586" s="47"/>
      <c r="H1586" s="47"/>
      <c r="I1586" s="48"/>
      <c r="J1586" s="47"/>
      <c r="K1586" s="47"/>
      <c r="L1586" s="47"/>
      <c r="M1586" s="47"/>
      <c r="N1586" s="48"/>
      <c r="O1586" s="48"/>
    </row>
    <row r="1587" spans="2:15" x14ac:dyDescent="0.2">
      <c r="B1587" s="47"/>
      <c r="C1587" s="47"/>
      <c r="D1587" s="78"/>
      <c r="E1587" s="47"/>
      <c r="F1587" s="47"/>
      <c r="G1587" s="47"/>
      <c r="H1587" s="47"/>
      <c r="I1587" s="48"/>
      <c r="J1587" s="47"/>
      <c r="K1587" s="47"/>
      <c r="L1587" s="47"/>
      <c r="M1587" s="47"/>
      <c r="N1587" s="48"/>
      <c r="O1587" s="48"/>
    </row>
    <row r="1588" spans="2:15" x14ac:dyDescent="0.2">
      <c r="B1588" s="47"/>
      <c r="C1588" s="47"/>
      <c r="D1588" s="78"/>
      <c r="E1588" s="47"/>
      <c r="F1588" s="47"/>
      <c r="G1588" s="47"/>
      <c r="H1588" s="47"/>
      <c r="I1588" s="48"/>
      <c r="J1588" s="47"/>
      <c r="K1588" s="47"/>
      <c r="L1588" s="47"/>
      <c r="M1588" s="47"/>
      <c r="N1588" s="48"/>
      <c r="O1588" s="48"/>
    </row>
    <row r="1589" spans="2:15" x14ac:dyDescent="0.2">
      <c r="B1589" s="47"/>
      <c r="C1589" s="47"/>
      <c r="D1589" s="78"/>
      <c r="E1589" s="47"/>
      <c r="F1589" s="47"/>
      <c r="G1589" s="47"/>
      <c r="H1589" s="47"/>
      <c r="I1589" s="48"/>
      <c r="J1589" s="47"/>
      <c r="K1589" s="47"/>
      <c r="L1589" s="47"/>
      <c r="M1589" s="47"/>
      <c r="N1589" s="48"/>
      <c r="O1589" s="48"/>
    </row>
    <row r="1590" spans="2:15" x14ac:dyDescent="0.2">
      <c r="B1590" s="47"/>
      <c r="C1590" s="47"/>
      <c r="D1590" s="78"/>
      <c r="E1590" s="47"/>
      <c r="F1590" s="47"/>
      <c r="G1590" s="47"/>
      <c r="H1590" s="47"/>
      <c r="I1590" s="48"/>
      <c r="J1590" s="47"/>
      <c r="K1590" s="47"/>
      <c r="L1590" s="47"/>
      <c r="M1590" s="47"/>
      <c r="N1590" s="48"/>
      <c r="O1590" s="48"/>
    </row>
    <row r="1591" spans="2:15" x14ac:dyDescent="0.2">
      <c r="B1591" s="47"/>
      <c r="C1591" s="47"/>
      <c r="D1591" s="78"/>
      <c r="E1591" s="47"/>
      <c r="F1591" s="47"/>
      <c r="G1591" s="47"/>
      <c r="H1591" s="47"/>
      <c r="I1591" s="48"/>
      <c r="J1591" s="47"/>
      <c r="K1591" s="47"/>
      <c r="L1591" s="47"/>
      <c r="M1591" s="47"/>
      <c r="N1591" s="48"/>
      <c r="O1591" s="48"/>
    </row>
    <row r="1592" spans="2:15" x14ac:dyDescent="0.2">
      <c r="B1592" s="47"/>
      <c r="C1592" s="47"/>
      <c r="D1592" s="78"/>
      <c r="E1592" s="47"/>
      <c r="F1592" s="47"/>
      <c r="G1592" s="47"/>
      <c r="H1592" s="47"/>
      <c r="I1592" s="48"/>
      <c r="J1592" s="47"/>
      <c r="K1592" s="47"/>
      <c r="L1592" s="47"/>
      <c r="M1592" s="47"/>
      <c r="N1592" s="48"/>
      <c r="O1592" s="48"/>
    </row>
    <row r="1593" spans="2:15" x14ac:dyDescent="0.2">
      <c r="B1593" s="47"/>
      <c r="C1593" s="47"/>
      <c r="D1593" s="78"/>
      <c r="E1593" s="47"/>
      <c r="F1593" s="47"/>
      <c r="G1593" s="47"/>
      <c r="H1593" s="47"/>
      <c r="I1593" s="48"/>
      <c r="J1593" s="47"/>
      <c r="K1593" s="47"/>
      <c r="L1593" s="47"/>
      <c r="M1593" s="47"/>
      <c r="N1593" s="48"/>
      <c r="O1593" s="48"/>
    </row>
    <row r="1594" spans="2:15" x14ac:dyDescent="0.2">
      <c r="B1594" s="47"/>
      <c r="C1594" s="47"/>
      <c r="D1594" s="78"/>
      <c r="E1594" s="47"/>
      <c r="F1594" s="47"/>
      <c r="G1594" s="47"/>
      <c r="H1594" s="47"/>
      <c r="I1594" s="48"/>
      <c r="J1594" s="47"/>
      <c r="K1594" s="47"/>
      <c r="L1594" s="47"/>
      <c r="M1594" s="47"/>
      <c r="N1594" s="48"/>
      <c r="O1594" s="48"/>
    </row>
    <row r="1595" spans="2:15" x14ac:dyDescent="0.2">
      <c r="B1595" s="47"/>
      <c r="C1595" s="47"/>
      <c r="D1595" s="78"/>
      <c r="E1595" s="47"/>
      <c r="F1595" s="47"/>
      <c r="G1595" s="47"/>
      <c r="H1595" s="47"/>
      <c r="I1595" s="48"/>
      <c r="J1595" s="47"/>
      <c r="K1595" s="47"/>
      <c r="L1595" s="47"/>
      <c r="M1595" s="47"/>
      <c r="N1595" s="48"/>
      <c r="O1595" s="48"/>
    </row>
    <row r="1596" spans="2:15" x14ac:dyDescent="0.2">
      <c r="B1596" s="47"/>
      <c r="C1596" s="47"/>
      <c r="D1596" s="78"/>
      <c r="E1596" s="47"/>
      <c r="F1596" s="47"/>
      <c r="G1596" s="47"/>
      <c r="H1596" s="47"/>
      <c r="I1596" s="48"/>
      <c r="J1596" s="47"/>
      <c r="K1596" s="47"/>
      <c r="L1596" s="47"/>
      <c r="M1596" s="47"/>
      <c r="N1596" s="48"/>
      <c r="O1596" s="48"/>
    </row>
    <row r="1597" spans="2:15" x14ac:dyDescent="0.2">
      <c r="B1597" s="47"/>
      <c r="C1597" s="47"/>
      <c r="D1597" s="78"/>
      <c r="E1597" s="47"/>
      <c r="F1597" s="47"/>
      <c r="G1597" s="47"/>
      <c r="H1597" s="47"/>
      <c r="I1597" s="48"/>
      <c r="J1597" s="47"/>
      <c r="K1597" s="47"/>
      <c r="L1597" s="47"/>
      <c r="M1597" s="47"/>
      <c r="N1597" s="48"/>
      <c r="O1597" s="48"/>
    </row>
    <row r="1598" spans="2:15" x14ac:dyDescent="0.2">
      <c r="B1598" s="47"/>
      <c r="C1598" s="47"/>
      <c r="D1598" s="78"/>
      <c r="E1598" s="47"/>
      <c r="F1598" s="47"/>
      <c r="G1598" s="47"/>
      <c r="H1598" s="47"/>
      <c r="I1598" s="48"/>
      <c r="J1598" s="47"/>
      <c r="K1598" s="47"/>
      <c r="L1598" s="47"/>
      <c r="M1598" s="47"/>
      <c r="N1598" s="48"/>
      <c r="O1598" s="48"/>
    </row>
    <row r="1599" spans="2:15" x14ac:dyDescent="0.2">
      <c r="B1599" s="47"/>
      <c r="C1599" s="47"/>
      <c r="D1599" s="78"/>
      <c r="E1599" s="47"/>
      <c r="F1599" s="47"/>
      <c r="G1599" s="47"/>
      <c r="H1599" s="47"/>
      <c r="I1599" s="48"/>
      <c r="J1599" s="47"/>
      <c r="K1599" s="47"/>
      <c r="L1599" s="47"/>
      <c r="M1599" s="47"/>
      <c r="N1599" s="48"/>
      <c r="O1599" s="48"/>
    </row>
    <row r="1600" spans="2:15" x14ac:dyDescent="0.2">
      <c r="B1600" s="47"/>
      <c r="C1600" s="47"/>
      <c r="D1600" s="78"/>
      <c r="E1600" s="47"/>
      <c r="F1600" s="47"/>
      <c r="G1600" s="47"/>
      <c r="H1600" s="47"/>
      <c r="I1600" s="48"/>
      <c r="J1600" s="47"/>
      <c r="K1600" s="47"/>
      <c r="L1600" s="47"/>
      <c r="M1600" s="47"/>
      <c r="N1600" s="48"/>
      <c r="O1600" s="48"/>
    </row>
    <row r="1601" spans="2:15" x14ac:dyDescent="0.2">
      <c r="B1601" s="47"/>
      <c r="C1601" s="47"/>
      <c r="D1601" s="78"/>
      <c r="E1601" s="47"/>
      <c r="F1601" s="47"/>
      <c r="G1601" s="47"/>
      <c r="H1601" s="47"/>
      <c r="I1601" s="48"/>
      <c r="J1601" s="47"/>
      <c r="K1601" s="47"/>
      <c r="L1601" s="47"/>
      <c r="M1601" s="47"/>
      <c r="N1601" s="48"/>
      <c r="O1601" s="48"/>
    </row>
    <row r="1602" spans="2:15" x14ac:dyDescent="0.2">
      <c r="B1602" s="47"/>
      <c r="C1602" s="47"/>
      <c r="D1602" s="78"/>
      <c r="E1602" s="47"/>
      <c r="F1602" s="47"/>
      <c r="G1602" s="47"/>
      <c r="H1602" s="47"/>
      <c r="I1602" s="48"/>
      <c r="J1602" s="47"/>
      <c r="K1602" s="47"/>
      <c r="L1602" s="47"/>
      <c r="M1602" s="47"/>
      <c r="N1602" s="48"/>
      <c r="O1602" s="48"/>
    </row>
    <row r="1603" spans="2:15" x14ac:dyDescent="0.2">
      <c r="B1603" s="47"/>
      <c r="C1603" s="47"/>
      <c r="D1603" s="78"/>
      <c r="E1603" s="47"/>
      <c r="F1603" s="47"/>
      <c r="G1603" s="47"/>
      <c r="H1603" s="47"/>
      <c r="I1603" s="48"/>
      <c r="J1603" s="47"/>
      <c r="K1603" s="47"/>
      <c r="L1603" s="47"/>
      <c r="M1603" s="47"/>
      <c r="N1603" s="48"/>
      <c r="O1603" s="48"/>
    </row>
    <row r="1604" spans="2:15" x14ac:dyDescent="0.2">
      <c r="B1604" s="47"/>
      <c r="C1604" s="47"/>
      <c r="D1604" s="78"/>
      <c r="E1604" s="47"/>
      <c r="F1604" s="47"/>
      <c r="G1604" s="47"/>
      <c r="H1604" s="47"/>
      <c r="I1604" s="48"/>
      <c r="J1604" s="47"/>
      <c r="K1604" s="47"/>
      <c r="L1604" s="47"/>
      <c r="M1604" s="47"/>
      <c r="N1604" s="48"/>
      <c r="O1604" s="48"/>
    </row>
    <row r="1605" spans="2:15" x14ac:dyDescent="0.2">
      <c r="B1605" s="47"/>
      <c r="C1605" s="47"/>
      <c r="D1605" s="78"/>
      <c r="E1605" s="47"/>
      <c r="F1605" s="47"/>
      <c r="G1605" s="47"/>
      <c r="H1605" s="47"/>
      <c r="I1605" s="48"/>
      <c r="J1605" s="47"/>
      <c r="K1605" s="47"/>
      <c r="L1605" s="47"/>
      <c r="M1605" s="47"/>
      <c r="N1605" s="48"/>
      <c r="O1605" s="48"/>
    </row>
    <row r="1606" spans="2:15" x14ac:dyDescent="0.2">
      <c r="B1606" s="47"/>
      <c r="C1606" s="47"/>
      <c r="D1606" s="78"/>
      <c r="E1606" s="47"/>
      <c r="F1606" s="47"/>
      <c r="G1606" s="47"/>
      <c r="H1606" s="47"/>
      <c r="I1606" s="48"/>
      <c r="J1606" s="47"/>
      <c r="K1606" s="47"/>
      <c r="L1606" s="47"/>
      <c r="M1606" s="47"/>
      <c r="N1606" s="48"/>
      <c r="O1606" s="48"/>
    </row>
    <row r="1607" spans="2:15" x14ac:dyDescent="0.2">
      <c r="B1607" s="47"/>
      <c r="C1607" s="47"/>
      <c r="D1607" s="78"/>
      <c r="E1607" s="47"/>
      <c r="F1607" s="47"/>
      <c r="G1607" s="47"/>
      <c r="H1607" s="47"/>
      <c r="I1607" s="48"/>
      <c r="J1607" s="47"/>
      <c r="K1607" s="47"/>
      <c r="L1607" s="47"/>
      <c r="M1607" s="47"/>
      <c r="N1607" s="48"/>
      <c r="O1607" s="48"/>
    </row>
    <row r="1608" spans="2:15" x14ac:dyDescent="0.2">
      <c r="B1608" s="47"/>
      <c r="C1608" s="47"/>
      <c r="D1608" s="78"/>
      <c r="E1608" s="47"/>
      <c r="F1608" s="47"/>
      <c r="G1608" s="47"/>
      <c r="H1608" s="47"/>
      <c r="I1608" s="48"/>
      <c r="J1608" s="47"/>
      <c r="K1608" s="47"/>
      <c r="L1608" s="47"/>
      <c r="M1608" s="47"/>
      <c r="N1608" s="48"/>
      <c r="O1608" s="48"/>
    </row>
    <row r="1609" spans="2:15" x14ac:dyDescent="0.2">
      <c r="B1609" s="47"/>
      <c r="C1609" s="47"/>
      <c r="D1609" s="78"/>
      <c r="E1609" s="47"/>
      <c r="F1609" s="47"/>
      <c r="G1609" s="47"/>
      <c r="H1609" s="47"/>
      <c r="I1609" s="48"/>
      <c r="J1609" s="47"/>
      <c r="K1609" s="47"/>
      <c r="L1609" s="47"/>
      <c r="M1609" s="47"/>
      <c r="N1609" s="48"/>
      <c r="O1609" s="48"/>
    </row>
    <row r="1610" spans="2:15" x14ac:dyDescent="0.2">
      <c r="B1610" s="47"/>
      <c r="C1610" s="47"/>
      <c r="D1610" s="78"/>
      <c r="E1610" s="47"/>
      <c r="F1610" s="47"/>
      <c r="G1610" s="47"/>
      <c r="H1610" s="47"/>
      <c r="I1610" s="48"/>
      <c r="J1610" s="47"/>
      <c r="K1610" s="47"/>
      <c r="L1610" s="47"/>
      <c r="M1610" s="47"/>
      <c r="N1610" s="48"/>
      <c r="O1610" s="48"/>
    </row>
    <row r="1611" spans="2:15" x14ac:dyDescent="0.2">
      <c r="B1611" s="47"/>
      <c r="C1611" s="47"/>
      <c r="D1611" s="78"/>
      <c r="E1611" s="47"/>
      <c r="F1611" s="47"/>
      <c r="G1611" s="47"/>
      <c r="H1611" s="47"/>
      <c r="I1611" s="48"/>
      <c r="J1611" s="47"/>
      <c r="K1611" s="47"/>
      <c r="L1611" s="47"/>
      <c r="M1611" s="47"/>
      <c r="N1611" s="48"/>
      <c r="O1611" s="48"/>
    </row>
    <row r="1612" spans="2:15" x14ac:dyDescent="0.2">
      <c r="B1612" s="47"/>
      <c r="C1612" s="47"/>
      <c r="D1612" s="78"/>
      <c r="E1612" s="47"/>
      <c r="F1612" s="47"/>
      <c r="G1612" s="47"/>
      <c r="H1612" s="47"/>
      <c r="I1612" s="48"/>
      <c r="J1612" s="47"/>
      <c r="K1612" s="47"/>
      <c r="L1612" s="47"/>
      <c r="M1612" s="47"/>
      <c r="N1612" s="48"/>
      <c r="O1612" s="48"/>
    </row>
    <row r="1613" spans="2:15" x14ac:dyDescent="0.2">
      <c r="B1613" s="47"/>
      <c r="C1613" s="47"/>
      <c r="D1613" s="78"/>
      <c r="E1613" s="47"/>
      <c r="F1613" s="47"/>
      <c r="G1613" s="47"/>
      <c r="H1613" s="47"/>
      <c r="I1613" s="48"/>
      <c r="J1613" s="47"/>
      <c r="K1613" s="47"/>
      <c r="L1613" s="47"/>
      <c r="M1613" s="47"/>
      <c r="N1613" s="48"/>
      <c r="O1613" s="48"/>
    </row>
    <row r="1614" spans="2:15" x14ac:dyDescent="0.2">
      <c r="B1614" s="47"/>
      <c r="C1614" s="47"/>
      <c r="D1614" s="78"/>
      <c r="E1614" s="47"/>
      <c r="F1614" s="47"/>
      <c r="G1614" s="47"/>
      <c r="H1614" s="47"/>
      <c r="I1614" s="48"/>
      <c r="J1614" s="47"/>
      <c r="K1614" s="47"/>
      <c r="L1614" s="47"/>
      <c r="M1614" s="47"/>
      <c r="N1614" s="48"/>
      <c r="O1614" s="48"/>
    </row>
    <row r="1615" spans="2:15" x14ac:dyDescent="0.2">
      <c r="B1615" s="47"/>
      <c r="C1615" s="47"/>
      <c r="D1615" s="78"/>
      <c r="E1615" s="47"/>
      <c r="F1615" s="47"/>
      <c r="G1615" s="47"/>
      <c r="H1615" s="47"/>
      <c r="I1615" s="48"/>
      <c r="J1615" s="47"/>
      <c r="K1615" s="47"/>
      <c r="L1615" s="47"/>
      <c r="M1615" s="47"/>
      <c r="N1615" s="48"/>
      <c r="O1615" s="48"/>
    </row>
    <row r="1616" spans="2:15" x14ac:dyDescent="0.2">
      <c r="B1616" s="47"/>
      <c r="C1616" s="47"/>
      <c r="D1616" s="78"/>
      <c r="E1616" s="47"/>
      <c r="F1616" s="47"/>
      <c r="G1616" s="47"/>
      <c r="H1616" s="47"/>
      <c r="I1616" s="48"/>
      <c r="J1616" s="47"/>
      <c r="K1616" s="47"/>
      <c r="L1616" s="47"/>
      <c r="M1616" s="47"/>
      <c r="N1616" s="48"/>
      <c r="O1616" s="48"/>
    </row>
    <row r="1617" spans="2:15" x14ac:dyDescent="0.2">
      <c r="B1617" s="47"/>
      <c r="C1617" s="47"/>
      <c r="D1617" s="78"/>
      <c r="E1617" s="47"/>
      <c r="F1617" s="47"/>
      <c r="G1617" s="47"/>
      <c r="H1617" s="47"/>
      <c r="I1617" s="48"/>
      <c r="J1617" s="47"/>
      <c r="K1617" s="47"/>
      <c r="L1617" s="47"/>
      <c r="M1617" s="47"/>
      <c r="N1617" s="48"/>
      <c r="O1617" s="48"/>
    </row>
    <row r="1618" spans="2:15" x14ac:dyDescent="0.2">
      <c r="B1618" s="47"/>
      <c r="C1618" s="47"/>
      <c r="D1618" s="78"/>
      <c r="E1618" s="47"/>
      <c r="F1618" s="47"/>
      <c r="G1618" s="47"/>
      <c r="H1618" s="47"/>
      <c r="I1618" s="48"/>
      <c r="J1618" s="47"/>
      <c r="K1618" s="47"/>
      <c r="L1618" s="47"/>
      <c r="M1618" s="47"/>
      <c r="N1618" s="48"/>
      <c r="O1618" s="48"/>
    </row>
    <row r="1619" spans="2:15" x14ac:dyDescent="0.2">
      <c r="B1619" s="47"/>
      <c r="C1619" s="47"/>
      <c r="D1619" s="78"/>
      <c r="E1619" s="47"/>
      <c r="F1619" s="47"/>
      <c r="G1619" s="47"/>
      <c r="H1619" s="47"/>
      <c r="I1619" s="48"/>
      <c r="J1619" s="47"/>
      <c r="K1619" s="47"/>
      <c r="L1619" s="47"/>
      <c r="M1619" s="47"/>
      <c r="N1619" s="48"/>
      <c r="O1619" s="48"/>
    </row>
    <row r="1620" spans="2:15" x14ac:dyDescent="0.2">
      <c r="B1620" s="47"/>
      <c r="C1620" s="47"/>
      <c r="D1620" s="78"/>
      <c r="E1620" s="47"/>
      <c r="F1620" s="47"/>
      <c r="G1620" s="47"/>
      <c r="H1620" s="47"/>
      <c r="I1620" s="48"/>
      <c r="J1620" s="47"/>
      <c r="K1620" s="47"/>
      <c r="L1620" s="47"/>
      <c r="M1620" s="47"/>
      <c r="N1620" s="48"/>
      <c r="O1620" s="48"/>
    </row>
    <row r="1621" spans="2:15" x14ac:dyDescent="0.2">
      <c r="B1621" s="47"/>
      <c r="C1621" s="47"/>
      <c r="D1621" s="78"/>
      <c r="E1621" s="47"/>
      <c r="F1621" s="47"/>
      <c r="G1621" s="47"/>
      <c r="H1621" s="47"/>
      <c r="I1621" s="48"/>
      <c r="J1621" s="47"/>
      <c r="K1621" s="47"/>
      <c r="L1621" s="47"/>
      <c r="M1621" s="47"/>
      <c r="N1621" s="48"/>
      <c r="O1621" s="48"/>
    </row>
    <row r="1622" spans="2:15" x14ac:dyDescent="0.2">
      <c r="B1622" s="47"/>
      <c r="C1622" s="47"/>
      <c r="D1622" s="78"/>
      <c r="E1622" s="47"/>
      <c r="F1622" s="47"/>
      <c r="G1622" s="47"/>
      <c r="H1622" s="47"/>
      <c r="I1622" s="48"/>
      <c r="J1622" s="47"/>
      <c r="K1622" s="47"/>
      <c r="L1622" s="47"/>
      <c r="M1622" s="47"/>
      <c r="N1622" s="48"/>
      <c r="O1622" s="48"/>
    </row>
    <row r="1623" spans="2:15" x14ac:dyDescent="0.2">
      <c r="B1623" s="47"/>
      <c r="C1623" s="47"/>
      <c r="D1623" s="78"/>
      <c r="E1623" s="47"/>
      <c r="F1623" s="47"/>
      <c r="G1623" s="47"/>
      <c r="H1623" s="47"/>
      <c r="I1623" s="48"/>
      <c r="J1623" s="47"/>
      <c r="K1623" s="47"/>
      <c r="L1623" s="47"/>
      <c r="M1623" s="47"/>
      <c r="N1623" s="48"/>
      <c r="O1623" s="48"/>
    </row>
    <row r="1624" spans="2:15" x14ac:dyDescent="0.2">
      <c r="B1624" s="47"/>
      <c r="C1624" s="47"/>
      <c r="D1624" s="78"/>
      <c r="E1624" s="47"/>
      <c r="F1624" s="47"/>
      <c r="G1624" s="47"/>
      <c r="H1624" s="47"/>
      <c r="I1624" s="48"/>
      <c r="J1624" s="47"/>
      <c r="K1624" s="47"/>
      <c r="L1624" s="47"/>
      <c r="M1624" s="47"/>
      <c r="N1624" s="48"/>
      <c r="O1624" s="48"/>
    </row>
    <row r="1625" spans="2:15" x14ac:dyDescent="0.2">
      <c r="B1625" s="47"/>
      <c r="C1625" s="47"/>
      <c r="D1625" s="78"/>
      <c r="E1625" s="47"/>
      <c r="F1625" s="47"/>
      <c r="G1625" s="47"/>
      <c r="H1625" s="47"/>
      <c r="I1625" s="48"/>
      <c r="J1625" s="47"/>
      <c r="K1625" s="47"/>
      <c r="L1625" s="47"/>
      <c r="M1625" s="47"/>
      <c r="N1625" s="48"/>
      <c r="O1625" s="48"/>
    </row>
    <row r="1626" spans="2:15" x14ac:dyDescent="0.2">
      <c r="B1626" s="47"/>
      <c r="C1626" s="47"/>
      <c r="D1626" s="78"/>
      <c r="E1626" s="47"/>
      <c r="F1626" s="47"/>
      <c r="G1626" s="47"/>
      <c r="H1626" s="47"/>
      <c r="I1626" s="48"/>
      <c r="J1626" s="47"/>
      <c r="K1626" s="47"/>
      <c r="L1626" s="47"/>
      <c r="M1626" s="47"/>
      <c r="N1626" s="48"/>
      <c r="O1626" s="48"/>
    </row>
    <row r="1627" spans="2:15" x14ac:dyDescent="0.2">
      <c r="B1627" s="47"/>
      <c r="C1627" s="47"/>
      <c r="D1627" s="78"/>
      <c r="E1627" s="47"/>
      <c r="F1627" s="47"/>
      <c r="G1627" s="47"/>
      <c r="H1627" s="47"/>
      <c r="I1627" s="48"/>
      <c r="J1627" s="47"/>
      <c r="K1627" s="47"/>
      <c r="L1627" s="47"/>
      <c r="M1627" s="47"/>
      <c r="N1627" s="48"/>
      <c r="O1627" s="48"/>
    </row>
    <row r="1628" spans="2:15" x14ac:dyDescent="0.2">
      <c r="B1628" s="47"/>
      <c r="C1628" s="47"/>
      <c r="D1628" s="78"/>
      <c r="E1628" s="47"/>
      <c r="F1628" s="47"/>
      <c r="G1628" s="47"/>
      <c r="H1628" s="47"/>
      <c r="I1628" s="48"/>
      <c r="J1628" s="47"/>
      <c r="K1628" s="47"/>
      <c r="L1628" s="47"/>
      <c r="M1628" s="47"/>
      <c r="N1628" s="48"/>
      <c r="O1628" s="48"/>
    </row>
    <row r="1629" spans="2:15" x14ac:dyDescent="0.2">
      <c r="B1629" s="47"/>
      <c r="C1629" s="47"/>
      <c r="D1629" s="78"/>
      <c r="E1629" s="47"/>
      <c r="F1629" s="47"/>
      <c r="G1629" s="47"/>
      <c r="H1629" s="47"/>
      <c r="I1629" s="48"/>
      <c r="J1629" s="47"/>
      <c r="K1629" s="47"/>
      <c r="L1629" s="47"/>
      <c r="M1629" s="47"/>
      <c r="N1629" s="48"/>
      <c r="O1629" s="48"/>
    </row>
    <row r="1630" spans="2:15" x14ac:dyDescent="0.2">
      <c r="B1630" s="47"/>
      <c r="C1630" s="47"/>
      <c r="D1630" s="78"/>
      <c r="E1630" s="47"/>
      <c r="F1630" s="47"/>
      <c r="G1630" s="47"/>
      <c r="H1630" s="47"/>
      <c r="I1630" s="48"/>
      <c r="J1630" s="47"/>
      <c r="K1630" s="47"/>
      <c r="L1630" s="47"/>
      <c r="M1630" s="47"/>
      <c r="N1630" s="48"/>
      <c r="O1630" s="48"/>
    </row>
    <row r="1631" spans="2:15" x14ac:dyDescent="0.2">
      <c r="B1631" s="47"/>
      <c r="C1631" s="47"/>
      <c r="D1631" s="78"/>
      <c r="E1631" s="47"/>
      <c r="F1631" s="47"/>
      <c r="G1631" s="47"/>
      <c r="H1631" s="47"/>
      <c r="I1631" s="48"/>
      <c r="J1631" s="47"/>
      <c r="K1631" s="47"/>
      <c r="L1631" s="47"/>
      <c r="M1631" s="47"/>
      <c r="N1631" s="48"/>
      <c r="O1631" s="48"/>
    </row>
    <row r="1632" spans="2:15" x14ac:dyDescent="0.2">
      <c r="B1632" s="47"/>
      <c r="C1632" s="47"/>
      <c r="D1632" s="78"/>
      <c r="E1632" s="47"/>
      <c r="F1632" s="47"/>
      <c r="G1632" s="47"/>
      <c r="H1632" s="47"/>
      <c r="I1632" s="48"/>
      <c r="J1632" s="47"/>
      <c r="K1632" s="47"/>
      <c r="L1632" s="47"/>
      <c r="M1632" s="47"/>
      <c r="N1632" s="48"/>
      <c r="O1632" s="48"/>
    </row>
    <row r="1633" spans="2:15" x14ac:dyDescent="0.2">
      <c r="B1633" s="47"/>
      <c r="C1633" s="47"/>
      <c r="D1633" s="78"/>
      <c r="E1633" s="47"/>
      <c r="F1633" s="47"/>
      <c r="G1633" s="47"/>
      <c r="H1633" s="47"/>
      <c r="I1633" s="48"/>
      <c r="J1633" s="47"/>
      <c r="K1633" s="47"/>
      <c r="L1633" s="47"/>
      <c r="M1633" s="47"/>
      <c r="N1633" s="48"/>
      <c r="O1633" s="48"/>
    </row>
    <row r="1634" spans="2:15" x14ac:dyDescent="0.2">
      <c r="B1634" s="47"/>
      <c r="C1634" s="47"/>
      <c r="D1634" s="78"/>
      <c r="E1634" s="47"/>
      <c r="F1634" s="47"/>
      <c r="G1634" s="47"/>
      <c r="H1634" s="47"/>
      <c r="I1634" s="48"/>
      <c r="J1634" s="47"/>
      <c r="K1634" s="47"/>
      <c r="L1634" s="47"/>
      <c r="M1634" s="47"/>
      <c r="N1634" s="48"/>
      <c r="O1634" s="48"/>
    </row>
    <row r="1635" spans="2:15" x14ac:dyDescent="0.2">
      <c r="B1635" s="47"/>
      <c r="C1635" s="47"/>
      <c r="D1635" s="78"/>
      <c r="E1635" s="47"/>
      <c r="F1635" s="47"/>
      <c r="G1635" s="47"/>
      <c r="H1635" s="47"/>
      <c r="I1635" s="48"/>
      <c r="J1635" s="47"/>
      <c r="K1635" s="47"/>
      <c r="L1635" s="47"/>
      <c r="M1635" s="47"/>
      <c r="N1635" s="48"/>
      <c r="O1635" s="48"/>
    </row>
    <row r="1636" spans="2:15" x14ac:dyDescent="0.2">
      <c r="B1636" s="47"/>
      <c r="C1636" s="47"/>
      <c r="D1636" s="78"/>
      <c r="E1636" s="47"/>
      <c r="F1636" s="47"/>
      <c r="G1636" s="47"/>
      <c r="H1636" s="47"/>
      <c r="I1636" s="48"/>
      <c r="J1636" s="47"/>
      <c r="K1636" s="47"/>
      <c r="L1636" s="47"/>
      <c r="M1636" s="47"/>
      <c r="N1636" s="48"/>
      <c r="O1636" s="48"/>
    </row>
    <row r="1637" spans="2:15" x14ac:dyDescent="0.2">
      <c r="B1637" s="47"/>
      <c r="C1637" s="47"/>
      <c r="D1637" s="78"/>
      <c r="E1637" s="47"/>
      <c r="F1637" s="47"/>
      <c r="G1637" s="47"/>
      <c r="H1637" s="47"/>
      <c r="I1637" s="48"/>
      <c r="J1637" s="47"/>
      <c r="K1637" s="47"/>
      <c r="L1637" s="47"/>
      <c r="M1637" s="47"/>
      <c r="N1637" s="48"/>
      <c r="O1637" s="48"/>
    </row>
    <row r="1638" spans="2:15" x14ac:dyDescent="0.2">
      <c r="B1638" s="47"/>
      <c r="C1638" s="47"/>
      <c r="D1638" s="78"/>
      <c r="E1638" s="47"/>
      <c r="F1638" s="47"/>
      <c r="G1638" s="47"/>
      <c r="H1638" s="47"/>
      <c r="I1638" s="48"/>
      <c r="J1638" s="47"/>
      <c r="K1638" s="47"/>
      <c r="L1638" s="47"/>
      <c r="M1638" s="47"/>
      <c r="N1638" s="48"/>
      <c r="O1638" s="48"/>
    </row>
    <row r="1639" spans="2:15" x14ac:dyDescent="0.2">
      <c r="B1639" s="47"/>
      <c r="C1639" s="47"/>
      <c r="D1639" s="78"/>
      <c r="E1639" s="47"/>
      <c r="F1639" s="47"/>
      <c r="G1639" s="47"/>
      <c r="H1639" s="47"/>
      <c r="I1639" s="48"/>
      <c r="J1639" s="47"/>
      <c r="K1639" s="47"/>
      <c r="L1639" s="47"/>
      <c r="M1639" s="47"/>
      <c r="N1639" s="48"/>
      <c r="O1639" s="48"/>
    </row>
    <row r="1640" spans="2:15" x14ac:dyDescent="0.2">
      <c r="B1640" s="47"/>
      <c r="C1640" s="47"/>
      <c r="D1640" s="78"/>
      <c r="E1640" s="47"/>
      <c r="F1640" s="47"/>
      <c r="G1640" s="47"/>
      <c r="H1640" s="47"/>
      <c r="I1640" s="48"/>
      <c r="J1640" s="47"/>
      <c r="K1640" s="47"/>
      <c r="L1640" s="47"/>
      <c r="M1640" s="47"/>
      <c r="N1640" s="48"/>
      <c r="O1640" s="48"/>
    </row>
    <row r="1641" spans="2:15" x14ac:dyDescent="0.2">
      <c r="B1641" s="47"/>
      <c r="C1641" s="47"/>
      <c r="D1641" s="78"/>
      <c r="E1641" s="47"/>
      <c r="F1641" s="47"/>
      <c r="G1641" s="47"/>
      <c r="H1641" s="47"/>
      <c r="I1641" s="48"/>
      <c r="J1641" s="47"/>
      <c r="K1641" s="47"/>
      <c r="L1641" s="47"/>
      <c r="M1641" s="47"/>
      <c r="N1641" s="48"/>
      <c r="O1641" s="48"/>
    </row>
    <row r="1642" spans="2:15" x14ac:dyDescent="0.2">
      <c r="B1642" s="47"/>
      <c r="C1642" s="47"/>
      <c r="D1642" s="78"/>
      <c r="E1642" s="47"/>
      <c r="F1642" s="47"/>
      <c r="G1642" s="47"/>
      <c r="H1642" s="47"/>
      <c r="I1642" s="48"/>
      <c r="J1642" s="47"/>
      <c r="K1642" s="47"/>
      <c r="L1642" s="47"/>
      <c r="M1642" s="47"/>
      <c r="N1642" s="48"/>
      <c r="O1642" s="48"/>
    </row>
    <row r="1643" spans="2:15" x14ac:dyDescent="0.2">
      <c r="B1643" s="47"/>
      <c r="C1643" s="47"/>
      <c r="D1643" s="78"/>
      <c r="E1643" s="47"/>
      <c r="F1643" s="47"/>
      <c r="G1643" s="47"/>
      <c r="H1643" s="47"/>
      <c r="I1643" s="48"/>
      <c r="J1643" s="47"/>
      <c r="K1643" s="47"/>
      <c r="L1643" s="47"/>
      <c r="M1643" s="47"/>
      <c r="N1643" s="48"/>
      <c r="O1643" s="48"/>
    </row>
    <row r="1644" spans="2:15" x14ac:dyDescent="0.2">
      <c r="B1644" s="47"/>
      <c r="C1644" s="47"/>
      <c r="D1644" s="78"/>
      <c r="E1644" s="47"/>
      <c r="F1644" s="47"/>
      <c r="G1644" s="47"/>
      <c r="H1644" s="47"/>
      <c r="I1644" s="48"/>
      <c r="J1644" s="47"/>
      <c r="K1644" s="47"/>
      <c r="L1644" s="47"/>
      <c r="M1644" s="47"/>
      <c r="N1644" s="48"/>
      <c r="O1644" s="48"/>
    </row>
    <row r="1645" spans="2:15" x14ac:dyDescent="0.2">
      <c r="B1645" s="47"/>
      <c r="C1645" s="47"/>
      <c r="D1645" s="78"/>
      <c r="E1645" s="47"/>
      <c r="F1645" s="47"/>
      <c r="G1645" s="47"/>
      <c r="H1645" s="47"/>
      <c r="I1645" s="48"/>
      <c r="J1645" s="47"/>
      <c r="K1645" s="47"/>
      <c r="L1645" s="47"/>
      <c r="M1645" s="47"/>
      <c r="N1645" s="48"/>
      <c r="O1645" s="48"/>
    </row>
    <row r="1646" spans="2:15" x14ac:dyDescent="0.2">
      <c r="B1646" s="47"/>
      <c r="C1646" s="47"/>
      <c r="D1646" s="78"/>
      <c r="E1646" s="47"/>
      <c r="F1646" s="47"/>
      <c r="G1646" s="47"/>
      <c r="H1646" s="47"/>
      <c r="I1646" s="48"/>
      <c r="J1646" s="47"/>
      <c r="K1646" s="47"/>
      <c r="L1646" s="47"/>
      <c r="M1646" s="47"/>
      <c r="N1646" s="48"/>
      <c r="O1646" s="48"/>
    </row>
    <row r="1647" spans="2:15" x14ac:dyDescent="0.2">
      <c r="B1647" s="47"/>
      <c r="C1647" s="47"/>
      <c r="D1647" s="78"/>
      <c r="E1647" s="47"/>
      <c r="F1647" s="47"/>
      <c r="G1647" s="47"/>
      <c r="H1647" s="47"/>
      <c r="I1647" s="48"/>
      <c r="J1647" s="47"/>
      <c r="K1647" s="47"/>
      <c r="L1647" s="47"/>
      <c r="M1647" s="47"/>
      <c r="N1647" s="48"/>
      <c r="O1647" s="48"/>
    </row>
    <row r="1648" spans="2:15" x14ac:dyDescent="0.2">
      <c r="B1648" s="47"/>
      <c r="C1648" s="47"/>
      <c r="D1648" s="78"/>
      <c r="E1648" s="47"/>
      <c r="F1648" s="47"/>
      <c r="G1648" s="47"/>
      <c r="H1648" s="47"/>
      <c r="I1648" s="48"/>
      <c r="J1648" s="47"/>
      <c r="K1648" s="47"/>
      <c r="L1648" s="47"/>
      <c r="M1648" s="47"/>
      <c r="N1648" s="48"/>
      <c r="O1648" s="48"/>
    </row>
    <row r="1649" spans="2:15" x14ac:dyDescent="0.2">
      <c r="B1649" s="47"/>
      <c r="C1649" s="47"/>
      <c r="D1649" s="78"/>
      <c r="E1649" s="47"/>
      <c r="F1649" s="47"/>
      <c r="G1649" s="47"/>
      <c r="H1649" s="47"/>
      <c r="I1649" s="48"/>
      <c r="J1649" s="47"/>
      <c r="K1649" s="47"/>
      <c r="L1649" s="47"/>
      <c r="M1649" s="47"/>
      <c r="N1649" s="48"/>
      <c r="O1649" s="48"/>
    </row>
    <row r="1650" spans="2:15" x14ac:dyDescent="0.2">
      <c r="B1650" s="47"/>
      <c r="C1650" s="47"/>
      <c r="D1650" s="78"/>
      <c r="E1650" s="47"/>
      <c r="F1650" s="47"/>
      <c r="G1650" s="47"/>
      <c r="H1650" s="47"/>
      <c r="I1650" s="48"/>
      <c r="J1650" s="47"/>
      <c r="K1650" s="47"/>
      <c r="L1650" s="47"/>
      <c r="M1650" s="47"/>
      <c r="N1650" s="48"/>
      <c r="O1650" s="48"/>
    </row>
    <row r="1651" spans="2:15" x14ac:dyDescent="0.2">
      <c r="B1651" s="47"/>
      <c r="C1651" s="47"/>
      <c r="D1651" s="78"/>
      <c r="E1651" s="47"/>
      <c r="F1651" s="47"/>
      <c r="G1651" s="47"/>
      <c r="H1651" s="47"/>
      <c r="I1651" s="48"/>
      <c r="J1651" s="47"/>
      <c r="K1651" s="47"/>
      <c r="L1651" s="47"/>
      <c r="M1651" s="47"/>
      <c r="N1651" s="48"/>
      <c r="O1651" s="48"/>
    </row>
    <row r="1652" spans="2:15" x14ac:dyDescent="0.2">
      <c r="B1652" s="47"/>
      <c r="C1652" s="47"/>
      <c r="D1652" s="78"/>
      <c r="E1652" s="47"/>
      <c r="F1652" s="47"/>
      <c r="G1652" s="47"/>
      <c r="H1652" s="47"/>
      <c r="I1652" s="48"/>
      <c r="J1652" s="47"/>
      <c r="K1652" s="47"/>
      <c r="L1652" s="47"/>
      <c r="M1652" s="47"/>
      <c r="N1652" s="48"/>
      <c r="O1652" s="48"/>
    </row>
    <row r="1653" spans="2:15" x14ac:dyDescent="0.2">
      <c r="B1653" s="47"/>
      <c r="C1653" s="47"/>
      <c r="D1653" s="78"/>
      <c r="E1653" s="47"/>
      <c r="F1653" s="47"/>
      <c r="G1653" s="47"/>
      <c r="H1653" s="47"/>
      <c r="I1653" s="48"/>
      <c r="J1653" s="47"/>
      <c r="K1653" s="47"/>
      <c r="L1653" s="47"/>
      <c r="M1653" s="47"/>
      <c r="N1653" s="48"/>
      <c r="O1653" s="48"/>
    </row>
    <row r="1654" spans="2:15" x14ac:dyDescent="0.2">
      <c r="B1654" s="47"/>
      <c r="C1654" s="47"/>
      <c r="D1654" s="78"/>
      <c r="E1654" s="47"/>
      <c r="F1654" s="47"/>
      <c r="G1654" s="47"/>
      <c r="H1654" s="47"/>
      <c r="I1654" s="48"/>
      <c r="J1654" s="47"/>
      <c r="K1654" s="47"/>
      <c r="L1654" s="47"/>
      <c r="M1654" s="47"/>
      <c r="N1654" s="48"/>
      <c r="O1654" s="48"/>
    </row>
    <row r="1655" spans="2:15" x14ac:dyDescent="0.2">
      <c r="B1655" s="47"/>
      <c r="C1655" s="47"/>
      <c r="D1655" s="78"/>
      <c r="E1655" s="47"/>
      <c r="F1655" s="47"/>
      <c r="G1655" s="47"/>
      <c r="H1655" s="47"/>
      <c r="I1655" s="48"/>
      <c r="J1655" s="47"/>
      <c r="K1655" s="47"/>
      <c r="L1655" s="47"/>
      <c r="M1655" s="47"/>
      <c r="N1655" s="48"/>
      <c r="O1655" s="48"/>
    </row>
    <row r="1656" spans="2:15" x14ac:dyDescent="0.2">
      <c r="B1656" s="47"/>
      <c r="C1656" s="47"/>
      <c r="D1656" s="78"/>
      <c r="E1656" s="47"/>
      <c r="F1656" s="47"/>
      <c r="G1656" s="47"/>
      <c r="H1656" s="47"/>
      <c r="I1656" s="48"/>
      <c r="J1656" s="47"/>
      <c r="K1656" s="47"/>
      <c r="L1656" s="47"/>
      <c r="M1656" s="47"/>
      <c r="N1656" s="48"/>
      <c r="O1656" s="48"/>
    </row>
    <row r="1657" spans="2:15" x14ac:dyDescent="0.2">
      <c r="B1657" s="47"/>
      <c r="C1657" s="47"/>
      <c r="D1657" s="78"/>
      <c r="E1657" s="47"/>
      <c r="F1657" s="47"/>
      <c r="G1657" s="47"/>
      <c r="H1657" s="47"/>
      <c r="I1657" s="48"/>
      <c r="J1657" s="47"/>
      <c r="K1657" s="47"/>
      <c r="L1657" s="47"/>
      <c r="M1657" s="47"/>
      <c r="N1657" s="48"/>
      <c r="O1657" s="48"/>
    </row>
    <row r="1658" spans="2:15" x14ac:dyDescent="0.2">
      <c r="B1658" s="47"/>
      <c r="C1658" s="47"/>
      <c r="D1658" s="78"/>
      <c r="E1658" s="47"/>
      <c r="F1658" s="47"/>
      <c r="G1658" s="47"/>
      <c r="H1658" s="47"/>
      <c r="I1658" s="48"/>
      <c r="J1658" s="47"/>
      <c r="K1658" s="47"/>
      <c r="L1658" s="47"/>
      <c r="M1658" s="47"/>
      <c r="N1658" s="48"/>
      <c r="O1658" s="48"/>
    </row>
    <row r="1659" spans="2:15" x14ac:dyDescent="0.2">
      <c r="B1659" s="47"/>
      <c r="C1659" s="47"/>
      <c r="D1659" s="78"/>
      <c r="E1659" s="47"/>
      <c r="F1659" s="47"/>
      <c r="G1659" s="47"/>
      <c r="H1659" s="47"/>
      <c r="I1659" s="48"/>
      <c r="J1659" s="47"/>
      <c r="K1659" s="47"/>
      <c r="L1659" s="47"/>
      <c r="M1659" s="47"/>
      <c r="N1659" s="48"/>
      <c r="O1659" s="48"/>
    </row>
    <row r="1660" spans="2:15" x14ac:dyDescent="0.2">
      <c r="B1660" s="47"/>
      <c r="C1660" s="47"/>
      <c r="D1660" s="78"/>
      <c r="E1660" s="47"/>
      <c r="F1660" s="47"/>
      <c r="G1660" s="47"/>
      <c r="H1660" s="47"/>
      <c r="I1660" s="48"/>
      <c r="J1660" s="47"/>
      <c r="K1660" s="47"/>
      <c r="L1660" s="47"/>
      <c r="M1660" s="47"/>
      <c r="N1660" s="48"/>
      <c r="O1660" s="48"/>
    </row>
    <row r="1661" spans="2:15" x14ac:dyDescent="0.2">
      <c r="B1661" s="47"/>
      <c r="C1661" s="47"/>
      <c r="D1661" s="78"/>
      <c r="E1661" s="47"/>
      <c r="F1661" s="47"/>
      <c r="G1661" s="47"/>
      <c r="H1661" s="47"/>
      <c r="I1661" s="48"/>
      <c r="J1661" s="47"/>
      <c r="K1661" s="47"/>
      <c r="L1661" s="47"/>
      <c r="M1661" s="47"/>
      <c r="N1661" s="48"/>
      <c r="O1661" s="48"/>
    </row>
    <row r="1662" spans="2:15" x14ac:dyDescent="0.2">
      <c r="B1662" s="47"/>
      <c r="C1662" s="47"/>
      <c r="D1662" s="78"/>
      <c r="E1662" s="47"/>
      <c r="F1662" s="47"/>
      <c r="G1662" s="47"/>
      <c r="H1662" s="47"/>
      <c r="I1662" s="48"/>
      <c r="J1662" s="47"/>
      <c r="K1662" s="47"/>
      <c r="L1662" s="47"/>
      <c r="M1662" s="47"/>
      <c r="N1662" s="48"/>
      <c r="O1662" s="48"/>
    </row>
    <row r="1663" spans="2:15" x14ac:dyDescent="0.2">
      <c r="B1663" s="47"/>
      <c r="C1663" s="47"/>
      <c r="D1663" s="78"/>
      <c r="E1663" s="47"/>
      <c r="F1663" s="47"/>
      <c r="G1663" s="47"/>
      <c r="H1663" s="47"/>
      <c r="I1663" s="48"/>
      <c r="J1663" s="47"/>
      <c r="K1663" s="47"/>
      <c r="L1663" s="47"/>
      <c r="M1663" s="47"/>
      <c r="N1663" s="48"/>
      <c r="O1663" s="48"/>
    </row>
    <row r="1664" spans="2:15" x14ac:dyDescent="0.2">
      <c r="B1664" s="47"/>
      <c r="C1664" s="47"/>
      <c r="D1664" s="78"/>
      <c r="E1664" s="47"/>
      <c r="F1664" s="47"/>
      <c r="G1664" s="47"/>
      <c r="H1664" s="47"/>
      <c r="I1664" s="48"/>
      <c r="J1664" s="47"/>
      <c r="K1664" s="47"/>
      <c r="L1664" s="47"/>
      <c r="M1664" s="47"/>
      <c r="N1664" s="48"/>
      <c r="O1664" s="48"/>
    </row>
    <row r="1665" spans="2:15" x14ac:dyDescent="0.2">
      <c r="B1665" s="47"/>
      <c r="C1665" s="47"/>
      <c r="D1665" s="78"/>
      <c r="E1665" s="47"/>
      <c r="F1665" s="47"/>
      <c r="G1665" s="47"/>
      <c r="H1665" s="47"/>
      <c r="I1665" s="48"/>
      <c r="J1665" s="47"/>
      <c r="K1665" s="47"/>
      <c r="L1665" s="47"/>
      <c r="M1665" s="47"/>
      <c r="N1665" s="48"/>
      <c r="O1665" s="48"/>
    </row>
    <row r="1666" spans="2:15" x14ac:dyDescent="0.2">
      <c r="B1666" s="47"/>
      <c r="C1666" s="47"/>
      <c r="D1666" s="78"/>
      <c r="E1666" s="47"/>
      <c r="F1666" s="47"/>
      <c r="G1666" s="47"/>
      <c r="H1666" s="47"/>
      <c r="I1666" s="48"/>
      <c r="J1666" s="47"/>
      <c r="K1666" s="47"/>
      <c r="L1666" s="47"/>
      <c r="M1666" s="47"/>
      <c r="N1666" s="48"/>
      <c r="O1666" s="48"/>
    </row>
    <row r="1667" spans="2:15" x14ac:dyDescent="0.2">
      <c r="B1667" s="47"/>
      <c r="C1667" s="47"/>
      <c r="D1667" s="78"/>
      <c r="E1667" s="47"/>
      <c r="F1667" s="47"/>
      <c r="G1667" s="47"/>
      <c r="H1667" s="47"/>
      <c r="I1667" s="48"/>
      <c r="J1667" s="47"/>
      <c r="K1667" s="47"/>
      <c r="L1667" s="47"/>
      <c r="M1667" s="47"/>
      <c r="N1667" s="48"/>
      <c r="O1667" s="48"/>
    </row>
    <row r="1668" spans="2:15" x14ac:dyDescent="0.2">
      <c r="B1668" s="47"/>
      <c r="C1668" s="47"/>
      <c r="D1668" s="78"/>
      <c r="E1668" s="47"/>
      <c r="F1668" s="47"/>
      <c r="G1668" s="47"/>
      <c r="H1668" s="47"/>
      <c r="I1668" s="48"/>
      <c r="J1668" s="47"/>
      <c r="K1668" s="47"/>
      <c r="L1668" s="47"/>
      <c r="M1668" s="47"/>
      <c r="N1668" s="48"/>
      <c r="O1668" s="48"/>
    </row>
    <row r="1669" spans="2:15" x14ac:dyDescent="0.2">
      <c r="B1669" s="47"/>
      <c r="C1669" s="47"/>
      <c r="D1669" s="78"/>
      <c r="E1669" s="47"/>
      <c r="F1669" s="47"/>
      <c r="G1669" s="47"/>
      <c r="H1669" s="47"/>
      <c r="I1669" s="48"/>
      <c r="J1669" s="47"/>
      <c r="K1669" s="47"/>
      <c r="L1669" s="47"/>
      <c r="M1669" s="47"/>
      <c r="N1669" s="48"/>
      <c r="O1669" s="48"/>
    </row>
    <row r="1670" spans="2:15" x14ac:dyDescent="0.2">
      <c r="B1670" s="47"/>
      <c r="C1670" s="47"/>
      <c r="D1670" s="78"/>
      <c r="E1670" s="47"/>
      <c r="F1670" s="47"/>
      <c r="G1670" s="47"/>
      <c r="H1670" s="47"/>
      <c r="I1670" s="48"/>
      <c r="J1670" s="47"/>
      <c r="K1670" s="47"/>
      <c r="L1670" s="47"/>
      <c r="M1670" s="47"/>
      <c r="N1670" s="48"/>
      <c r="O1670" s="48"/>
    </row>
    <row r="1671" spans="2:15" x14ac:dyDescent="0.2">
      <c r="B1671" s="47"/>
      <c r="C1671" s="47"/>
      <c r="D1671" s="78"/>
      <c r="E1671" s="47"/>
      <c r="F1671" s="47"/>
      <c r="G1671" s="47"/>
      <c r="H1671" s="47"/>
      <c r="I1671" s="48"/>
      <c r="J1671" s="47"/>
      <c r="K1671" s="47"/>
      <c r="L1671" s="47"/>
      <c r="M1671" s="47"/>
      <c r="N1671" s="48"/>
      <c r="O1671" s="48"/>
    </row>
    <row r="1672" spans="2:15" x14ac:dyDescent="0.2">
      <c r="B1672" s="47"/>
      <c r="C1672" s="47"/>
      <c r="D1672" s="78"/>
      <c r="E1672" s="47"/>
      <c r="F1672" s="47"/>
      <c r="G1672" s="47"/>
      <c r="H1672" s="47"/>
      <c r="I1672" s="48"/>
      <c r="J1672" s="47"/>
      <c r="K1672" s="47"/>
      <c r="L1672" s="47"/>
      <c r="M1672" s="47"/>
      <c r="N1672" s="48"/>
      <c r="O1672" s="48"/>
    </row>
    <row r="1673" spans="2:15" x14ac:dyDescent="0.2">
      <c r="B1673" s="47"/>
      <c r="C1673" s="47"/>
      <c r="D1673" s="78"/>
      <c r="E1673" s="47"/>
      <c r="F1673" s="47"/>
      <c r="G1673" s="47"/>
      <c r="H1673" s="47"/>
      <c r="I1673" s="48"/>
      <c r="J1673" s="47"/>
      <c r="K1673" s="47"/>
      <c r="L1673" s="47"/>
      <c r="M1673" s="47"/>
      <c r="N1673" s="48"/>
      <c r="O1673" s="48"/>
    </row>
    <row r="1674" spans="2:15" x14ac:dyDescent="0.2">
      <c r="B1674" s="47"/>
      <c r="C1674" s="47"/>
      <c r="D1674" s="78"/>
      <c r="E1674" s="47"/>
      <c r="F1674" s="47"/>
      <c r="G1674" s="47"/>
      <c r="H1674" s="47"/>
      <c r="I1674" s="48"/>
      <c r="J1674" s="47"/>
      <c r="K1674" s="47"/>
      <c r="L1674" s="47"/>
      <c r="M1674" s="47"/>
      <c r="N1674" s="48"/>
      <c r="O1674" s="48"/>
    </row>
    <row r="1675" spans="2:15" x14ac:dyDescent="0.2">
      <c r="B1675" s="47"/>
      <c r="C1675" s="47"/>
      <c r="D1675" s="78"/>
      <c r="E1675" s="47"/>
      <c r="F1675" s="47"/>
      <c r="G1675" s="47"/>
      <c r="H1675" s="47"/>
      <c r="I1675" s="48"/>
      <c r="J1675" s="47"/>
      <c r="K1675" s="47"/>
      <c r="L1675" s="47"/>
      <c r="M1675" s="47"/>
      <c r="N1675" s="48"/>
      <c r="O1675" s="48"/>
    </row>
    <row r="1676" spans="2:15" x14ac:dyDescent="0.2">
      <c r="B1676" s="47"/>
      <c r="C1676" s="47"/>
      <c r="D1676" s="78"/>
      <c r="E1676" s="47"/>
      <c r="F1676" s="47"/>
      <c r="G1676" s="47"/>
      <c r="H1676" s="47"/>
      <c r="I1676" s="48"/>
      <c r="J1676" s="47"/>
      <c r="K1676" s="47"/>
      <c r="L1676" s="47"/>
      <c r="M1676" s="47"/>
      <c r="N1676" s="48"/>
      <c r="O1676" s="48"/>
    </row>
    <row r="1677" spans="2:15" x14ac:dyDescent="0.2">
      <c r="B1677" s="47"/>
      <c r="C1677" s="47"/>
      <c r="D1677" s="78"/>
      <c r="E1677" s="47"/>
      <c r="F1677" s="47"/>
      <c r="G1677" s="47"/>
      <c r="H1677" s="47"/>
      <c r="I1677" s="48"/>
      <c r="J1677" s="47"/>
      <c r="K1677" s="47"/>
      <c r="L1677" s="47"/>
      <c r="M1677" s="47"/>
      <c r="N1677" s="48"/>
      <c r="O1677" s="48"/>
    </row>
    <row r="1678" spans="2:15" x14ac:dyDescent="0.2">
      <c r="B1678" s="47"/>
      <c r="C1678" s="47"/>
      <c r="D1678" s="78"/>
      <c r="E1678" s="47"/>
      <c r="F1678" s="47"/>
      <c r="G1678" s="47"/>
      <c r="H1678" s="47"/>
      <c r="I1678" s="48"/>
      <c r="J1678" s="47"/>
      <c r="K1678" s="47"/>
      <c r="L1678" s="47"/>
      <c r="M1678" s="47"/>
      <c r="N1678" s="48"/>
      <c r="O1678" s="48"/>
    </row>
    <row r="1679" spans="2:15" x14ac:dyDescent="0.2">
      <c r="B1679" s="47"/>
      <c r="C1679" s="47"/>
      <c r="D1679" s="78"/>
      <c r="E1679" s="47"/>
      <c r="F1679" s="47"/>
      <c r="G1679" s="47"/>
      <c r="H1679" s="47"/>
      <c r="I1679" s="48"/>
      <c r="J1679" s="47"/>
      <c r="K1679" s="47"/>
      <c r="L1679" s="47"/>
      <c r="M1679" s="47"/>
      <c r="N1679" s="48"/>
      <c r="O1679" s="48"/>
    </row>
    <row r="1680" spans="2:15" x14ac:dyDescent="0.2">
      <c r="B1680" s="47"/>
      <c r="C1680" s="47"/>
      <c r="D1680" s="78"/>
      <c r="E1680" s="47"/>
      <c r="F1680" s="47"/>
      <c r="G1680" s="47"/>
      <c r="H1680" s="47"/>
      <c r="I1680" s="48"/>
      <c r="J1680" s="47"/>
      <c r="K1680" s="47"/>
      <c r="L1680" s="47"/>
      <c r="M1680" s="47"/>
      <c r="N1680" s="48"/>
      <c r="O1680" s="48"/>
    </row>
    <row r="1681" spans="2:15" x14ac:dyDescent="0.2">
      <c r="B1681" s="47"/>
      <c r="C1681" s="47"/>
      <c r="D1681" s="78"/>
      <c r="E1681" s="47"/>
      <c r="F1681" s="47"/>
      <c r="G1681" s="47"/>
      <c r="H1681" s="47"/>
      <c r="I1681" s="48"/>
      <c r="J1681" s="47"/>
      <c r="K1681" s="47"/>
      <c r="L1681" s="47"/>
      <c r="M1681" s="47"/>
      <c r="N1681" s="48"/>
      <c r="O1681" s="48"/>
    </row>
    <row r="1682" spans="2:15" x14ac:dyDescent="0.2">
      <c r="B1682" s="47"/>
      <c r="C1682" s="47"/>
      <c r="D1682" s="78"/>
      <c r="E1682" s="47"/>
      <c r="F1682" s="47"/>
      <c r="G1682" s="47"/>
      <c r="H1682" s="47"/>
      <c r="I1682" s="48"/>
      <c r="J1682" s="47"/>
      <c r="K1682" s="47"/>
      <c r="L1682" s="47"/>
      <c r="M1682" s="47"/>
      <c r="N1682" s="48"/>
      <c r="O1682" s="48"/>
    </row>
    <row r="1683" spans="2:15" x14ac:dyDescent="0.2">
      <c r="B1683" s="47"/>
      <c r="C1683" s="47"/>
      <c r="D1683" s="78"/>
      <c r="E1683" s="47"/>
      <c r="F1683" s="47"/>
      <c r="G1683" s="47"/>
      <c r="H1683" s="47"/>
      <c r="I1683" s="48"/>
      <c r="J1683" s="47"/>
      <c r="K1683" s="47"/>
      <c r="L1683" s="47"/>
      <c r="M1683" s="47"/>
      <c r="N1683" s="48"/>
      <c r="O1683" s="48"/>
    </row>
    <row r="1684" spans="2:15" x14ac:dyDescent="0.2">
      <c r="B1684" s="47"/>
      <c r="C1684" s="47"/>
      <c r="D1684" s="78"/>
      <c r="E1684" s="47"/>
      <c r="F1684" s="47"/>
      <c r="G1684" s="47"/>
      <c r="H1684" s="47"/>
      <c r="I1684" s="48"/>
      <c r="J1684" s="47"/>
      <c r="K1684" s="47"/>
      <c r="L1684" s="47"/>
      <c r="M1684" s="47"/>
      <c r="N1684" s="48"/>
      <c r="O1684" s="48"/>
    </row>
    <row r="1685" spans="2:15" x14ac:dyDescent="0.2">
      <c r="B1685" s="47"/>
      <c r="C1685" s="47"/>
      <c r="D1685" s="78"/>
      <c r="E1685" s="47"/>
      <c r="F1685" s="47"/>
      <c r="G1685" s="47"/>
      <c r="H1685" s="47"/>
      <c r="I1685" s="48"/>
      <c r="J1685" s="47"/>
      <c r="K1685" s="47"/>
      <c r="L1685" s="47"/>
      <c r="M1685" s="47"/>
      <c r="N1685" s="48"/>
      <c r="O1685" s="48"/>
    </row>
    <row r="1686" spans="2:15" x14ac:dyDescent="0.2">
      <c r="B1686" s="47"/>
      <c r="C1686" s="47"/>
      <c r="D1686" s="78"/>
      <c r="E1686" s="47"/>
      <c r="F1686" s="47"/>
      <c r="G1686" s="47"/>
      <c r="H1686" s="47"/>
      <c r="I1686" s="48"/>
      <c r="J1686" s="47"/>
      <c r="K1686" s="47"/>
      <c r="L1686" s="47"/>
      <c r="M1686" s="47"/>
      <c r="N1686" s="48"/>
      <c r="O1686" s="48"/>
    </row>
    <row r="1687" spans="2:15" x14ac:dyDescent="0.2">
      <c r="B1687" s="47"/>
      <c r="C1687" s="47"/>
      <c r="D1687" s="78"/>
      <c r="E1687" s="47"/>
      <c r="F1687" s="47"/>
      <c r="G1687" s="47"/>
      <c r="H1687" s="47"/>
      <c r="I1687" s="48"/>
      <c r="J1687" s="47"/>
      <c r="K1687" s="47"/>
      <c r="L1687" s="47"/>
      <c r="M1687" s="47"/>
      <c r="N1687" s="48"/>
      <c r="O1687" s="48"/>
    </row>
    <row r="1688" spans="2:15" x14ac:dyDescent="0.2">
      <c r="B1688" s="47"/>
      <c r="C1688" s="47"/>
      <c r="D1688" s="78"/>
      <c r="E1688" s="47"/>
      <c r="F1688" s="47"/>
      <c r="G1688" s="47"/>
      <c r="H1688" s="47"/>
      <c r="I1688" s="48"/>
      <c r="J1688" s="47"/>
      <c r="K1688" s="47"/>
      <c r="L1688" s="47"/>
      <c r="M1688" s="47"/>
      <c r="N1688" s="48"/>
      <c r="O1688" s="48"/>
    </row>
    <row r="1689" spans="2:15" x14ac:dyDescent="0.2">
      <c r="B1689" s="47"/>
      <c r="C1689" s="47"/>
      <c r="D1689" s="78"/>
      <c r="E1689" s="47"/>
      <c r="F1689" s="47"/>
      <c r="G1689" s="47"/>
      <c r="H1689" s="47"/>
      <c r="I1689" s="48"/>
      <c r="J1689" s="47"/>
      <c r="K1689" s="47"/>
      <c r="L1689" s="47"/>
      <c r="M1689" s="47"/>
      <c r="N1689" s="48"/>
      <c r="O1689" s="48"/>
    </row>
    <row r="1690" spans="2:15" x14ac:dyDescent="0.2">
      <c r="B1690" s="47"/>
      <c r="C1690" s="47"/>
      <c r="D1690" s="78"/>
      <c r="E1690" s="47"/>
      <c r="F1690" s="47"/>
      <c r="G1690" s="47"/>
      <c r="H1690" s="47"/>
      <c r="I1690" s="48"/>
      <c r="J1690" s="47"/>
      <c r="K1690" s="47"/>
      <c r="L1690" s="47"/>
      <c r="M1690" s="47"/>
      <c r="N1690" s="48"/>
      <c r="O1690" s="48"/>
    </row>
    <row r="1691" spans="2:15" x14ac:dyDescent="0.2">
      <c r="B1691" s="47"/>
      <c r="C1691" s="47"/>
      <c r="D1691" s="78"/>
      <c r="E1691" s="47"/>
      <c r="F1691" s="47"/>
      <c r="G1691" s="47"/>
      <c r="H1691" s="47"/>
      <c r="I1691" s="48"/>
      <c r="J1691" s="47"/>
      <c r="K1691" s="47"/>
      <c r="L1691" s="47"/>
      <c r="M1691" s="47"/>
      <c r="N1691" s="48"/>
      <c r="O1691" s="48"/>
    </row>
    <row r="1692" spans="2:15" x14ac:dyDescent="0.2">
      <c r="B1692" s="47"/>
      <c r="C1692" s="47"/>
      <c r="D1692" s="78"/>
      <c r="E1692" s="47"/>
      <c r="F1692" s="47"/>
      <c r="G1692" s="47"/>
      <c r="H1692" s="47"/>
      <c r="I1692" s="48"/>
      <c r="J1692" s="47"/>
      <c r="K1692" s="47"/>
      <c r="L1692" s="47"/>
      <c r="M1692" s="47"/>
      <c r="N1692" s="48"/>
      <c r="O1692" s="48"/>
    </row>
    <row r="1693" spans="2:15" x14ac:dyDescent="0.2">
      <c r="B1693" s="47"/>
      <c r="C1693" s="47"/>
      <c r="D1693" s="78"/>
      <c r="E1693" s="47"/>
      <c r="F1693" s="47"/>
      <c r="G1693" s="47"/>
      <c r="H1693" s="47"/>
      <c r="I1693" s="48"/>
      <c r="J1693" s="47"/>
      <c r="K1693" s="47"/>
      <c r="L1693" s="47"/>
      <c r="M1693" s="47"/>
      <c r="N1693" s="48"/>
      <c r="O1693" s="48"/>
    </row>
    <row r="1694" spans="2:15" x14ac:dyDescent="0.2">
      <c r="B1694" s="47"/>
      <c r="C1694" s="47"/>
      <c r="D1694" s="78"/>
      <c r="E1694" s="47"/>
      <c r="F1694" s="47"/>
      <c r="G1694" s="47"/>
      <c r="H1694" s="47"/>
      <c r="I1694" s="48"/>
      <c r="J1694" s="47"/>
      <c r="K1694" s="47"/>
      <c r="L1694" s="47"/>
      <c r="M1694" s="47"/>
      <c r="N1694" s="48"/>
      <c r="O1694" s="48"/>
    </row>
    <row r="1695" spans="2:15" x14ac:dyDescent="0.2">
      <c r="B1695" s="47"/>
      <c r="C1695" s="47"/>
      <c r="D1695" s="78"/>
      <c r="E1695" s="47"/>
      <c r="F1695" s="47"/>
      <c r="G1695" s="47"/>
      <c r="H1695" s="47"/>
      <c r="I1695" s="48"/>
      <c r="J1695" s="47"/>
      <c r="K1695" s="47"/>
      <c r="L1695" s="47"/>
      <c r="M1695" s="47"/>
      <c r="N1695" s="48"/>
      <c r="O1695" s="48"/>
    </row>
    <row r="1696" spans="2:15" x14ac:dyDescent="0.2">
      <c r="B1696" s="47"/>
      <c r="C1696" s="47"/>
      <c r="D1696" s="78"/>
      <c r="E1696" s="47"/>
      <c r="F1696" s="47"/>
      <c r="G1696" s="47"/>
      <c r="H1696" s="47"/>
      <c r="I1696" s="48"/>
      <c r="J1696" s="47"/>
      <c r="K1696" s="47"/>
      <c r="L1696" s="47"/>
      <c r="M1696" s="47"/>
      <c r="N1696" s="48"/>
      <c r="O1696" s="48"/>
    </row>
    <row r="1697" spans="2:15" x14ac:dyDescent="0.2">
      <c r="B1697" s="47"/>
      <c r="C1697" s="47"/>
      <c r="D1697" s="78"/>
      <c r="E1697" s="47"/>
      <c r="F1697" s="47"/>
      <c r="G1697" s="47"/>
      <c r="H1697" s="47"/>
      <c r="I1697" s="48"/>
      <c r="J1697" s="47"/>
      <c r="K1697" s="47"/>
      <c r="L1697" s="47"/>
      <c r="M1697" s="47"/>
      <c r="N1697" s="48"/>
      <c r="O1697" s="48"/>
    </row>
    <row r="1698" spans="2:15" x14ac:dyDescent="0.2">
      <c r="B1698" s="47"/>
      <c r="C1698" s="47"/>
      <c r="D1698" s="78"/>
      <c r="E1698" s="47"/>
      <c r="F1698" s="47"/>
      <c r="G1698" s="47"/>
      <c r="H1698" s="47"/>
      <c r="I1698" s="48"/>
      <c r="J1698" s="47"/>
      <c r="K1698" s="47"/>
      <c r="L1698" s="47"/>
      <c r="M1698" s="47"/>
      <c r="N1698" s="48"/>
      <c r="O1698" s="48"/>
    </row>
    <row r="1699" spans="2:15" x14ac:dyDescent="0.2">
      <c r="B1699" s="47"/>
      <c r="C1699" s="47"/>
      <c r="D1699" s="78"/>
      <c r="E1699" s="47"/>
      <c r="F1699" s="47"/>
      <c r="G1699" s="47"/>
      <c r="H1699" s="47"/>
      <c r="I1699" s="48"/>
      <c r="J1699" s="47"/>
      <c r="K1699" s="47"/>
      <c r="L1699" s="47"/>
      <c r="M1699" s="47"/>
      <c r="N1699" s="48"/>
      <c r="O1699" s="48"/>
    </row>
    <row r="1700" spans="2:15" x14ac:dyDescent="0.2">
      <c r="B1700" s="47"/>
      <c r="C1700" s="47"/>
      <c r="D1700" s="78"/>
      <c r="E1700" s="47"/>
      <c r="F1700" s="47"/>
      <c r="G1700" s="47"/>
      <c r="H1700" s="47"/>
      <c r="I1700" s="48"/>
      <c r="J1700" s="47"/>
      <c r="K1700" s="47"/>
      <c r="L1700" s="47"/>
      <c r="M1700" s="47"/>
      <c r="N1700" s="48"/>
      <c r="O1700" s="48"/>
    </row>
    <row r="1701" spans="2:15" x14ac:dyDescent="0.2">
      <c r="B1701" s="47"/>
      <c r="C1701" s="47"/>
      <c r="D1701" s="78"/>
      <c r="E1701" s="47"/>
      <c r="F1701" s="47"/>
      <c r="G1701" s="47"/>
      <c r="H1701" s="47"/>
      <c r="I1701" s="48"/>
      <c r="J1701" s="47"/>
      <c r="K1701" s="47"/>
      <c r="L1701" s="47"/>
      <c r="M1701" s="47"/>
      <c r="N1701" s="48"/>
      <c r="O1701" s="48"/>
    </row>
    <row r="1702" spans="2:15" x14ac:dyDescent="0.2">
      <c r="B1702" s="47"/>
      <c r="C1702" s="47"/>
      <c r="D1702" s="78"/>
      <c r="E1702" s="47"/>
      <c r="F1702" s="47"/>
      <c r="G1702" s="47"/>
      <c r="H1702" s="47"/>
      <c r="I1702" s="48"/>
      <c r="J1702" s="47"/>
      <c r="K1702" s="47"/>
      <c r="L1702" s="47"/>
      <c r="M1702" s="47"/>
      <c r="N1702" s="48"/>
      <c r="O1702" s="48"/>
    </row>
    <row r="1703" spans="2:15" x14ac:dyDescent="0.2">
      <c r="B1703" s="47"/>
      <c r="C1703" s="47"/>
      <c r="D1703" s="78"/>
      <c r="E1703" s="47"/>
      <c r="F1703" s="47"/>
      <c r="G1703" s="47"/>
      <c r="H1703" s="47"/>
      <c r="I1703" s="48"/>
      <c r="J1703" s="47"/>
      <c r="K1703" s="47"/>
      <c r="L1703" s="47"/>
      <c r="M1703" s="47"/>
      <c r="N1703" s="48"/>
      <c r="O1703" s="48"/>
    </row>
    <row r="1704" spans="2:15" x14ac:dyDescent="0.2">
      <c r="B1704" s="47"/>
      <c r="C1704" s="47"/>
      <c r="D1704" s="78"/>
      <c r="E1704" s="47"/>
      <c r="F1704" s="47"/>
      <c r="G1704" s="47"/>
      <c r="H1704" s="47"/>
      <c r="I1704" s="48"/>
      <c r="J1704" s="47"/>
      <c r="K1704" s="47"/>
      <c r="L1704" s="47"/>
      <c r="M1704" s="47"/>
      <c r="N1704" s="48"/>
      <c r="O1704" s="48"/>
    </row>
    <row r="1705" spans="2:15" x14ac:dyDescent="0.2">
      <c r="B1705" s="47"/>
      <c r="C1705" s="47"/>
      <c r="D1705" s="78"/>
      <c r="E1705" s="47"/>
      <c r="F1705" s="47"/>
      <c r="G1705" s="47"/>
      <c r="H1705" s="47"/>
      <c r="I1705" s="48"/>
      <c r="J1705" s="47"/>
      <c r="K1705" s="47"/>
      <c r="L1705" s="47"/>
      <c r="M1705" s="47"/>
      <c r="N1705" s="48"/>
      <c r="O1705" s="48"/>
    </row>
    <row r="1706" spans="2:15" x14ac:dyDescent="0.2">
      <c r="B1706" s="47"/>
      <c r="C1706" s="47"/>
      <c r="D1706" s="78"/>
      <c r="E1706" s="47"/>
      <c r="F1706" s="47"/>
      <c r="G1706" s="47"/>
      <c r="H1706" s="47"/>
      <c r="I1706" s="48"/>
      <c r="J1706" s="47"/>
      <c r="K1706" s="47"/>
      <c r="L1706" s="47"/>
      <c r="M1706" s="47"/>
      <c r="N1706" s="48"/>
      <c r="O1706" s="48"/>
    </row>
    <row r="1707" spans="2:15" x14ac:dyDescent="0.2">
      <c r="B1707" s="47"/>
      <c r="C1707" s="47"/>
      <c r="D1707" s="78"/>
      <c r="E1707" s="47"/>
      <c r="F1707" s="47"/>
      <c r="G1707" s="47"/>
      <c r="H1707" s="47"/>
      <c r="I1707" s="48"/>
      <c r="J1707" s="47"/>
      <c r="K1707" s="47"/>
      <c r="L1707" s="47"/>
      <c r="M1707" s="47"/>
      <c r="N1707" s="48"/>
      <c r="O1707" s="48"/>
    </row>
    <row r="1708" spans="2:15" x14ac:dyDescent="0.2">
      <c r="B1708" s="47"/>
      <c r="C1708" s="47"/>
      <c r="D1708" s="78"/>
      <c r="E1708" s="47"/>
      <c r="F1708" s="47"/>
      <c r="G1708" s="47"/>
      <c r="H1708" s="47"/>
      <c r="I1708" s="48"/>
      <c r="J1708" s="47"/>
      <c r="K1708" s="47"/>
      <c r="L1708" s="47"/>
      <c r="M1708" s="47"/>
      <c r="N1708" s="48"/>
      <c r="O1708" s="48"/>
    </row>
    <row r="1709" spans="2:15" x14ac:dyDescent="0.2">
      <c r="B1709" s="47"/>
      <c r="C1709" s="47"/>
      <c r="D1709" s="78"/>
      <c r="E1709" s="47"/>
      <c r="F1709" s="47"/>
      <c r="G1709" s="47"/>
      <c r="H1709" s="47"/>
      <c r="I1709" s="48"/>
      <c r="J1709" s="47"/>
      <c r="K1709" s="47"/>
      <c r="L1709" s="47"/>
      <c r="M1709" s="47"/>
      <c r="N1709" s="48"/>
      <c r="O1709" s="48"/>
    </row>
    <row r="1710" spans="2:15" x14ac:dyDescent="0.2">
      <c r="B1710" s="47"/>
      <c r="C1710" s="47"/>
      <c r="D1710" s="78"/>
      <c r="E1710" s="47"/>
      <c r="F1710" s="47"/>
      <c r="G1710" s="47"/>
      <c r="H1710" s="47"/>
      <c r="I1710" s="48"/>
      <c r="J1710" s="47"/>
      <c r="K1710" s="47"/>
      <c r="L1710" s="47"/>
      <c r="M1710" s="47"/>
      <c r="N1710" s="48"/>
      <c r="O1710" s="48"/>
    </row>
    <row r="1711" spans="2:15" x14ac:dyDescent="0.2">
      <c r="B1711" s="47"/>
      <c r="C1711" s="47"/>
      <c r="D1711" s="78"/>
      <c r="E1711" s="47"/>
      <c r="F1711" s="47"/>
      <c r="G1711" s="47"/>
      <c r="H1711" s="47"/>
      <c r="I1711" s="48"/>
      <c r="J1711" s="47"/>
      <c r="K1711" s="47"/>
      <c r="L1711" s="47"/>
      <c r="M1711" s="47"/>
      <c r="N1711" s="48"/>
      <c r="O1711" s="48"/>
    </row>
    <row r="1712" spans="2:15" x14ac:dyDescent="0.2">
      <c r="B1712" s="47"/>
      <c r="C1712" s="47"/>
      <c r="D1712" s="78"/>
      <c r="E1712" s="47"/>
      <c r="F1712" s="47"/>
      <c r="G1712" s="47"/>
      <c r="H1712" s="47"/>
      <c r="I1712" s="48"/>
      <c r="J1712" s="47"/>
      <c r="K1712" s="47"/>
      <c r="L1712" s="47"/>
      <c r="M1712" s="47"/>
      <c r="N1712" s="48"/>
      <c r="O1712" s="48"/>
    </row>
    <row r="1713" spans="2:15" x14ac:dyDescent="0.2">
      <c r="B1713" s="47"/>
      <c r="C1713" s="47"/>
      <c r="D1713" s="78"/>
      <c r="E1713" s="47"/>
      <c r="F1713" s="47"/>
      <c r="G1713" s="47"/>
      <c r="H1713" s="47"/>
      <c r="I1713" s="48"/>
      <c r="J1713" s="47"/>
      <c r="K1713" s="47"/>
      <c r="L1713" s="47"/>
      <c r="M1713" s="47"/>
      <c r="N1713" s="48"/>
      <c r="O1713" s="48"/>
    </row>
    <row r="1714" spans="2:15" x14ac:dyDescent="0.2">
      <c r="B1714" s="47"/>
      <c r="C1714" s="47"/>
      <c r="D1714" s="78"/>
      <c r="E1714" s="47"/>
      <c r="F1714" s="47"/>
      <c r="G1714" s="47"/>
      <c r="H1714" s="47"/>
      <c r="I1714" s="48"/>
      <c r="J1714" s="47"/>
      <c r="K1714" s="47"/>
      <c r="L1714" s="47"/>
      <c r="M1714" s="47"/>
      <c r="N1714" s="48"/>
      <c r="O1714" s="48"/>
    </row>
    <row r="1715" spans="2:15" x14ac:dyDescent="0.2">
      <c r="B1715" s="47"/>
      <c r="C1715" s="47"/>
      <c r="D1715" s="78"/>
      <c r="E1715" s="47"/>
      <c r="F1715" s="47"/>
      <c r="G1715" s="47"/>
      <c r="H1715" s="47"/>
      <c r="I1715" s="48"/>
      <c r="J1715" s="47"/>
      <c r="K1715" s="47"/>
      <c r="L1715" s="47"/>
      <c r="M1715" s="47"/>
      <c r="N1715" s="48"/>
      <c r="O1715" s="48"/>
    </row>
    <row r="1716" spans="2:15" x14ac:dyDescent="0.2">
      <c r="B1716" s="47"/>
      <c r="C1716" s="47"/>
      <c r="D1716" s="78"/>
      <c r="E1716" s="47"/>
      <c r="F1716" s="47"/>
      <c r="G1716" s="47"/>
      <c r="H1716" s="47"/>
      <c r="I1716" s="48"/>
      <c r="J1716" s="47"/>
      <c r="K1716" s="47"/>
      <c r="L1716" s="47"/>
      <c r="M1716" s="47"/>
      <c r="N1716" s="48"/>
      <c r="O1716" s="48"/>
    </row>
    <row r="1717" spans="2:15" x14ac:dyDescent="0.2">
      <c r="B1717" s="47"/>
      <c r="C1717" s="47"/>
      <c r="D1717" s="78"/>
      <c r="E1717" s="47"/>
      <c r="F1717" s="47"/>
      <c r="G1717" s="47"/>
      <c r="H1717" s="47"/>
      <c r="I1717" s="48"/>
      <c r="J1717" s="47"/>
      <c r="K1717" s="47"/>
      <c r="L1717" s="47"/>
      <c r="M1717" s="47"/>
      <c r="N1717" s="48"/>
      <c r="O1717" s="48"/>
    </row>
    <row r="1718" spans="2:15" x14ac:dyDescent="0.2">
      <c r="B1718" s="47"/>
      <c r="C1718" s="47"/>
      <c r="D1718" s="78"/>
      <c r="E1718" s="47"/>
      <c r="F1718" s="47"/>
      <c r="G1718" s="47"/>
      <c r="H1718" s="47"/>
      <c r="I1718" s="48"/>
      <c r="J1718" s="47"/>
      <c r="K1718" s="47"/>
      <c r="L1718" s="47"/>
      <c r="M1718" s="47"/>
      <c r="N1718" s="48"/>
      <c r="O1718" s="48"/>
    </row>
    <row r="1719" spans="2:15" x14ac:dyDescent="0.2">
      <c r="B1719" s="47"/>
      <c r="C1719" s="47"/>
      <c r="D1719" s="78"/>
      <c r="E1719" s="47"/>
      <c r="F1719" s="47"/>
      <c r="G1719" s="47"/>
      <c r="H1719" s="47"/>
      <c r="I1719" s="48"/>
      <c r="J1719" s="47"/>
      <c r="K1719" s="47"/>
      <c r="L1719" s="47"/>
      <c r="M1719" s="47"/>
      <c r="N1719" s="48"/>
      <c r="O1719" s="48"/>
    </row>
    <row r="1720" spans="2:15" x14ac:dyDescent="0.2">
      <c r="B1720" s="47"/>
      <c r="C1720" s="47"/>
      <c r="D1720" s="78"/>
      <c r="E1720" s="47"/>
      <c r="F1720" s="47"/>
      <c r="G1720" s="47"/>
      <c r="H1720" s="47"/>
      <c r="I1720" s="48"/>
      <c r="J1720" s="47"/>
      <c r="K1720" s="47"/>
      <c r="L1720" s="47"/>
      <c r="M1720" s="47"/>
      <c r="N1720" s="48"/>
      <c r="O1720" s="48"/>
    </row>
    <row r="1721" spans="2:15" x14ac:dyDescent="0.2">
      <c r="B1721" s="47"/>
      <c r="C1721" s="47"/>
      <c r="D1721" s="78"/>
      <c r="E1721" s="47"/>
      <c r="F1721" s="47"/>
      <c r="G1721" s="47"/>
      <c r="H1721" s="47"/>
      <c r="I1721" s="48"/>
      <c r="J1721" s="47"/>
      <c r="K1721" s="47"/>
      <c r="L1721" s="47"/>
      <c r="M1721" s="47"/>
      <c r="N1721" s="48"/>
      <c r="O1721" s="48"/>
    </row>
    <row r="1722" spans="2:15" x14ac:dyDescent="0.2">
      <c r="B1722" s="47"/>
      <c r="C1722" s="47"/>
      <c r="D1722" s="78"/>
      <c r="E1722" s="47"/>
      <c r="F1722" s="47"/>
      <c r="G1722" s="47"/>
      <c r="H1722" s="47"/>
      <c r="I1722" s="48"/>
      <c r="J1722" s="47"/>
      <c r="K1722" s="47"/>
      <c r="L1722" s="47"/>
      <c r="M1722" s="47"/>
      <c r="N1722" s="48"/>
      <c r="O1722" s="48"/>
    </row>
    <row r="1723" spans="2:15" x14ac:dyDescent="0.2">
      <c r="B1723" s="47"/>
      <c r="C1723" s="47"/>
      <c r="D1723" s="78"/>
      <c r="E1723" s="47"/>
      <c r="F1723" s="47"/>
      <c r="G1723" s="47"/>
      <c r="H1723" s="47"/>
      <c r="I1723" s="48"/>
      <c r="J1723" s="47"/>
      <c r="K1723" s="47"/>
      <c r="L1723" s="47"/>
      <c r="M1723" s="47"/>
      <c r="N1723" s="48"/>
      <c r="O1723" s="48"/>
    </row>
    <row r="1724" spans="2:15" x14ac:dyDescent="0.2">
      <c r="B1724" s="47"/>
      <c r="C1724" s="47"/>
      <c r="D1724" s="78"/>
      <c r="E1724" s="47"/>
      <c r="F1724" s="47"/>
      <c r="G1724" s="47"/>
      <c r="H1724" s="47"/>
      <c r="I1724" s="48"/>
      <c r="J1724" s="47"/>
      <c r="K1724" s="47"/>
      <c r="L1724" s="47"/>
      <c r="M1724" s="47"/>
      <c r="N1724" s="48"/>
      <c r="O1724" s="48"/>
    </row>
    <row r="1725" spans="2:15" x14ac:dyDescent="0.2">
      <c r="B1725" s="47"/>
      <c r="C1725" s="47"/>
      <c r="D1725" s="78"/>
      <c r="E1725" s="47"/>
      <c r="F1725" s="47"/>
      <c r="G1725" s="47"/>
      <c r="H1725" s="47"/>
      <c r="I1725" s="48"/>
      <c r="J1725" s="47"/>
      <c r="K1725" s="47"/>
      <c r="L1725" s="47"/>
      <c r="M1725" s="47"/>
      <c r="N1725" s="48"/>
      <c r="O1725" s="48"/>
    </row>
    <row r="1726" spans="2:15" x14ac:dyDescent="0.2">
      <c r="B1726" s="47"/>
      <c r="C1726" s="47"/>
      <c r="D1726" s="78"/>
      <c r="E1726" s="47"/>
      <c r="F1726" s="47"/>
      <c r="G1726" s="47"/>
      <c r="H1726" s="47"/>
      <c r="I1726" s="48"/>
      <c r="J1726" s="47"/>
      <c r="K1726" s="47"/>
      <c r="L1726" s="47"/>
      <c r="M1726" s="47"/>
      <c r="N1726" s="48"/>
      <c r="O1726" s="48"/>
    </row>
    <row r="1727" spans="2:15" x14ac:dyDescent="0.2">
      <c r="B1727" s="47"/>
      <c r="C1727" s="47"/>
      <c r="D1727" s="78"/>
      <c r="E1727" s="47"/>
      <c r="F1727" s="47"/>
      <c r="G1727" s="47"/>
      <c r="H1727" s="47"/>
      <c r="I1727" s="48"/>
      <c r="J1727" s="47"/>
      <c r="K1727" s="47"/>
      <c r="L1727" s="47"/>
      <c r="M1727" s="47"/>
      <c r="N1727" s="48"/>
      <c r="O1727" s="48"/>
    </row>
    <row r="1728" spans="2:15" x14ac:dyDescent="0.2">
      <c r="B1728" s="47"/>
      <c r="C1728" s="47"/>
      <c r="D1728" s="78"/>
      <c r="E1728" s="47"/>
      <c r="F1728" s="47"/>
      <c r="G1728" s="47"/>
      <c r="H1728" s="47"/>
      <c r="I1728" s="48"/>
      <c r="J1728" s="47"/>
      <c r="K1728" s="47"/>
      <c r="L1728" s="47"/>
      <c r="M1728" s="47"/>
      <c r="N1728" s="48"/>
      <c r="O1728" s="48"/>
    </row>
    <row r="1729" spans="2:15" x14ac:dyDescent="0.2">
      <c r="B1729" s="47"/>
      <c r="C1729" s="47"/>
      <c r="D1729" s="78"/>
      <c r="E1729" s="47"/>
      <c r="F1729" s="47"/>
      <c r="G1729" s="47"/>
      <c r="H1729" s="47"/>
      <c r="I1729" s="48"/>
      <c r="J1729" s="47"/>
      <c r="K1729" s="47"/>
      <c r="L1729" s="47"/>
      <c r="M1729" s="47"/>
      <c r="N1729" s="48"/>
      <c r="O1729" s="48"/>
    </row>
    <row r="1730" spans="2:15" x14ac:dyDescent="0.2">
      <c r="B1730" s="47"/>
      <c r="C1730" s="47"/>
      <c r="D1730" s="78"/>
      <c r="E1730" s="47"/>
      <c r="F1730" s="47"/>
      <c r="G1730" s="47"/>
      <c r="H1730" s="47"/>
      <c r="I1730" s="48"/>
      <c r="J1730" s="47"/>
      <c r="K1730" s="47"/>
      <c r="L1730" s="47"/>
      <c r="M1730" s="47"/>
      <c r="N1730" s="48"/>
      <c r="O1730" s="48"/>
    </row>
    <row r="1731" spans="2:15" x14ac:dyDescent="0.2">
      <c r="B1731" s="47"/>
      <c r="C1731" s="47"/>
      <c r="D1731" s="78"/>
      <c r="E1731" s="47"/>
      <c r="F1731" s="47"/>
      <c r="G1731" s="47"/>
      <c r="H1731" s="47"/>
      <c r="I1731" s="48"/>
      <c r="J1731" s="47"/>
      <c r="K1731" s="47"/>
      <c r="L1731" s="47"/>
      <c r="M1731" s="47"/>
      <c r="N1731" s="48"/>
      <c r="O1731" s="48"/>
    </row>
    <row r="1732" spans="2:15" x14ac:dyDescent="0.2">
      <c r="B1732" s="47"/>
      <c r="C1732" s="47"/>
      <c r="D1732" s="78"/>
      <c r="E1732" s="47"/>
      <c r="F1732" s="47"/>
      <c r="G1732" s="47"/>
      <c r="H1732" s="47"/>
      <c r="I1732" s="48"/>
      <c r="J1732" s="47"/>
      <c r="K1732" s="47"/>
      <c r="L1732" s="47"/>
      <c r="M1732" s="47"/>
      <c r="N1732" s="48"/>
      <c r="O1732" s="48"/>
    </row>
    <row r="1733" spans="2:15" x14ac:dyDescent="0.2">
      <c r="B1733" s="47"/>
      <c r="C1733" s="47"/>
      <c r="D1733" s="78"/>
      <c r="E1733" s="47"/>
      <c r="F1733" s="47"/>
      <c r="G1733" s="47"/>
      <c r="H1733" s="47"/>
      <c r="I1733" s="48"/>
      <c r="J1733" s="47"/>
      <c r="K1733" s="47"/>
      <c r="L1733" s="47"/>
      <c r="M1733" s="47"/>
      <c r="N1733" s="48"/>
      <c r="O1733" s="48"/>
    </row>
    <row r="1734" spans="2:15" x14ac:dyDescent="0.2">
      <c r="B1734" s="47"/>
      <c r="C1734" s="47"/>
      <c r="D1734" s="78"/>
      <c r="E1734" s="47"/>
      <c r="F1734" s="47"/>
      <c r="G1734" s="47"/>
      <c r="H1734" s="47"/>
      <c r="I1734" s="48"/>
      <c r="J1734" s="47"/>
      <c r="K1734" s="47"/>
      <c r="L1734" s="47"/>
      <c r="M1734" s="47"/>
      <c r="N1734" s="48"/>
      <c r="O1734" s="48"/>
    </row>
    <row r="1735" spans="2:15" x14ac:dyDescent="0.2">
      <c r="B1735" s="47"/>
      <c r="C1735" s="47"/>
      <c r="D1735" s="78"/>
      <c r="E1735" s="47"/>
      <c r="F1735" s="47"/>
      <c r="G1735" s="47"/>
      <c r="H1735" s="47"/>
      <c r="I1735" s="48"/>
      <c r="J1735" s="47"/>
      <c r="K1735" s="47"/>
      <c r="L1735" s="47"/>
      <c r="M1735" s="47"/>
      <c r="N1735" s="48"/>
      <c r="O1735" s="48"/>
    </row>
    <row r="1736" spans="2:15" x14ac:dyDescent="0.2">
      <c r="B1736" s="47"/>
      <c r="C1736" s="47"/>
      <c r="D1736" s="78"/>
      <c r="E1736" s="47"/>
      <c r="F1736" s="47"/>
      <c r="G1736" s="47"/>
      <c r="H1736" s="47"/>
      <c r="I1736" s="48"/>
      <c r="J1736" s="47"/>
      <c r="K1736" s="47"/>
      <c r="L1736" s="47"/>
      <c r="M1736" s="47"/>
      <c r="N1736" s="48"/>
      <c r="O1736" s="48"/>
    </row>
    <row r="1737" spans="2:15" x14ac:dyDescent="0.2">
      <c r="B1737" s="47"/>
      <c r="C1737" s="47"/>
      <c r="D1737" s="78"/>
      <c r="E1737" s="47"/>
      <c r="F1737" s="47"/>
      <c r="G1737" s="47"/>
      <c r="H1737" s="47"/>
      <c r="I1737" s="48"/>
      <c r="J1737" s="47"/>
      <c r="K1737" s="47"/>
      <c r="L1737" s="47"/>
      <c r="M1737" s="47"/>
      <c r="N1737" s="48"/>
      <c r="O1737" s="48"/>
    </row>
    <row r="1738" spans="2:15" x14ac:dyDescent="0.2">
      <c r="B1738" s="47"/>
      <c r="C1738" s="47"/>
      <c r="D1738" s="78"/>
      <c r="E1738" s="47"/>
      <c r="F1738" s="47"/>
      <c r="G1738" s="47"/>
      <c r="H1738" s="47"/>
      <c r="I1738" s="48"/>
      <c r="J1738" s="47"/>
      <c r="K1738" s="47"/>
      <c r="L1738" s="47"/>
      <c r="M1738" s="47"/>
      <c r="N1738" s="48"/>
      <c r="O1738" s="48"/>
    </row>
    <row r="1739" spans="2:15" x14ac:dyDescent="0.2">
      <c r="B1739" s="47"/>
      <c r="C1739" s="47"/>
      <c r="D1739" s="78"/>
      <c r="E1739" s="47"/>
      <c r="F1739" s="47"/>
      <c r="G1739" s="47"/>
      <c r="H1739" s="47"/>
      <c r="I1739" s="48"/>
      <c r="J1739" s="47"/>
      <c r="K1739" s="47"/>
      <c r="L1739" s="47"/>
      <c r="M1739" s="47"/>
      <c r="N1739" s="48"/>
      <c r="O1739" s="48"/>
    </row>
    <row r="1740" spans="2:15" x14ac:dyDescent="0.2">
      <c r="B1740" s="47"/>
      <c r="C1740" s="47"/>
      <c r="D1740" s="78"/>
      <c r="E1740" s="47"/>
      <c r="F1740" s="47"/>
      <c r="G1740" s="47"/>
      <c r="H1740" s="47"/>
      <c r="I1740" s="48"/>
      <c r="J1740" s="47"/>
      <c r="K1740" s="47"/>
      <c r="L1740" s="47"/>
      <c r="M1740" s="47"/>
      <c r="N1740" s="48"/>
      <c r="O1740" s="48"/>
    </row>
    <row r="1741" spans="2:15" x14ac:dyDescent="0.2">
      <c r="B1741" s="47"/>
      <c r="C1741" s="47"/>
      <c r="D1741" s="78"/>
      <c r="E1741" s="47"/>
      <c r="F1741" s="47"/>
      <c r="G1741" s="47"/>
      <c r="H1741" s="47"/>
      <c r="I1741" s="48"/>
      <c r="J1741" s="47"/>
      <c r="K1741" s="47"/>
      <c r="L1741" s="47"/>
      <c r="M1741" s="47"/>
      <c r="N1741" s="48"/>
      <c r="O1741" s="48"/>
    </row>
    <row r="1742" spans="2:15" x14ac:dyDescent="0.2">
      <c r="B1742" s="47"/>
      <c r="C1742" s="47"/>
      <c r="D1742" s="78"/>
      <c r="E1742" s="47"/>
      <c r="F1742" s="47"/>
      <c r="G1742" s="47"/>
      <c r="H1742" s="47"/>
      <c r="I1742" s="48"/>
      <c r="J1742" s="47"/>
      <c r="K1742" s="47"/>
      <c r="L1742" s="47"/>
      <c r="M1742" s="47"/>
      <c r="N1742" s="48"/>
      <c r="O1742" s="48"/>
    </row>
    <row r="1743" spans="2:15" x14ac:dyDescent="0.2">
      <c r="B1743" s="47"/>
      <c r="C1743" s="47"/>
      <c r="D1743" s="78"/>
      <c r="E1743" s="47"/>
      <c r="F1743" s="47"/>
      <c r="G1743" s="47"/>
      <c r="H1743" s="47"/>
      <c r="I1743" s="48"/>
      <c r="J1743" s="47"/>
      <c r="K1743" s="47"/>
      <c r="L1743" s="47"/>
      <c r="M1743" s="47"/>
      <c r="N1743" s="48"/>
      <c r="O1743" s="48"/>
    </row>
    <row r="1744" spans="2:15" x14ac:dyDescent="0.2">
      <c r="B1744" s="47"/>
      <c r="C1744" s="47"/>
      <c r="D1744" s="78"/>
      <c r="E1744" s="47"/>
      <c r="F1744" s="47"/>
      <c r="G1744" s="47"/>
      <c r="H1744" s="47"/>
      <c r="I1744" s="48"/>
      <c r="J1744" s="47"/>
      <c r="K1744" s="47"/>
      <c r="L1744" s="47"/>
      <c r="M1744" s="47"/>
      <c r="N1744" s="48"/>
      <c r="O1744" s="48"/>
    </row>
    <row r="1745" spans="2:15" x14ac:dyDescent="0.2">
      <c r="B1745" s="47"/>
      <c r="C1745" s="47"/>
      <c r="D1745" s="78"/>
      <c r="E1745" s="47"/>
      <c r="F1745" s="47"/>
      <c r="G1745" s="47"/>
      <c r="H1745" s="47"/>
      <c r="I1745" s="48"/>
      <c r="J1745" s="47"/>
      <c r="K1745" s="47"/>
      <c r="L1745" s="47"/>
      <c r="M1745" s="47"/>
      <c r="N1745" s="48"/>
      <c r="O1745" s="48"/>
    </row>
    <row r="1746" spans="2:15" x14ac:dyDescent="0.2">
      <c r="B1746" s="47"/>
      <c r="C1746" s="47"/>
      <c r="D1746" s="78"/>
      <c r="E1746" s="47"/>
      <c r="F1746" s="47"/>
      <c r="G1746" s="47"/>
      <c r="H1746" s="47"/>
      <c r="I1746" s="48"/>
      <c r="J1746" s="47"/>
      <c r="K1746" s="47"/>
      <c r="L1746" s="47"/>
      <c r="M1746" s="47"/>
      <c r="N1746" s="48"/>
      <c r="O1746" s="48"/>
    </row>
    <row r="1747" spans="2:15" x14ac:dyDescent="0.2">
      <c r="B1747" s="47"/>
      <c r="C1747" s="47"/>
      <c r="D1747" s="78"/>
      <c r="E1747" s="47"/>
      <c r="F1747" s="47"/>
      <c r="G1747" s="47"/>
      <c r="H1747" s="47"/>
      <c r="I1747" s="48"/>
      <c r="J1747" s="47"/>
      <c r="K1747" s="47"/>
      <c r="L1747" s="47"/>
      <c r="M1747" s="47"/>
      <c r="N1747" s="48"/>
      <c r="O1747" s="48"/>
    </row>
    <row r="1748" spans="2:15" x14ac:dyDescent="0.2">
      <c r="B1748" s="47"/>
      <c r="C1748" s="47"/>
      <c r="D1748" s="78"/>
      <c r="E1748" s="47"/>
      <c r="F1748" s="47"/>
      <c r="G1748" s="47"/>
      <c r="H1748" s="47"/>
      <c r="I1748" s="48"/>
      <c r="J1748" s="47"/>
      <c r="K1748" s="47"/>
      <c r="L1748" s="47"/>
      <c r="M1748" s="47"/>
      <c r="N1748" s="48"/>
      <c r="O1748" s="48"/>
    </row>
    <row r="1749" spans="2:15" x14ac:dyDescent="0.2">
      <c r="B1749" s="47"/>
      <c r="C1749" s="47"/>
      <c r="D1749" s="78"/>
      <c r="E1749" s="47"/>
      <c r="F1749" s="47"/>
      <c r="G1749" s="47"/>
      <c r="H1749" s="47"/>
      <c r="I1749" s="48"/>
      <c r="J1749" s="47"/>
      <c r="K1749" s="47"/>
      <c r="L1749" s="47"/>
      <c r="M1749" s="47"/>
      <c r="N1749" s="48"/>
      <c r="O1749" s="48"/>
    </row>
    <row r="1750" spans="2:15" x14ac:dyDescent="0.2">
      <c r="B1750" s="47"/>
      <c r="C1750" s="47"/>
      <c r="D1750" s="78"/>
      <c r="E1750" s="47"/>
      <c r="F1750" s="47"/>
      <c r="G1750" s="47"/>
      <c r="H1750" s="47"/>
      <c r="I1750" s="48"/>
      <c r="J1750" s="47"/>
      <c r="K1750" s="47"/>
      <c r="L1750" s="47"/>
      <c r="M1750" s="47"/>
      <c r="N1750" s="48"/>
      <c r="O1750" s="48"/>
    </row>
    <row r="1751" spans="2:15" x14ac:dyDescent="0.2">
      <c r="B1751" s="47"/>
      <c r="C1751" s="47"/>
      <c r="D1751" s="78"/>
      <c r="E1751" s="47"/>
      <c r="F1751" s="47"/>
      <c r="G1751" s="47"/>
      <c r="H1751" s="47"/>
      <c r="I1751" s="48"/>
      <c r="J1751" s="47"/>
      <c r="K1751" s="47"/>
      <c r="L1751" s="47"/>
      <c r="M1751" s="47"/>
      <c r="N1751" s="48"/>
      <c r="O1751" s="48"/>
    </row>
    <row r="1752" spans="2:15" x14ac:dyDescent="0.2">
      <c r="B1752" s="47"/>
      <c r="C1752" s="47"/>
      <c r="D1752" s="78"/>
      <c r="E1752" s="47"/>
      <c r="F1752" s="47"/>
      <c r="G1752" s="47"/>
      <c r="H1752" s="47"/>
      <c r="I1752" s="48"/>
      <c r="J1752" s="47"/>
      <c r="K1752" s="47"/>
      <c r="L1752" s="47"/>
      <c r="M1752" s="47"/>
      <c r="N1752" s="48"/>
      <c r="O1752" s="48"/>
    </row>
    <row r="1753" spans="2:15" x14ac:dyDescent="0.2">
      <c r="B1753" s="47"/>
      <c r="C1753" s="47"/>
      <c r="D1753" s="78"/>
      <c r="E1753" s="47"/>
      <c r="F1753" s="47"/>
      <c r="G1753" s="47"/>
      <c r="H1753" s="47"/>
      <c r="I1753" s="48"/>
      <c r="J1753" s="47"/>
      <c r="K1753" s="47"/>
      <c r="L1753" s="47"/>
      <c r="M1753" s="47"/>
      <c r="N1753" s="48"/>
      <c r="O1753" s="48"/>
    </row>
    <row r="1754" spans="2:15" x14ac:dyDescent="0.2">
      <c r="B1754" s="47"/>
      <c r="C1754" s="47"/>
      <c r="D1754" s="78"/>
      <c r="E1754" s="47"/>
      <c r="F1754" s="47"/>
      <c r="G1754" s="47"/>
      <c r="H1754" s="47"/>
      <c r="I1754" s="48"/>
      <c r="J1754" s="47"/>
      <c r="K1754" s="47"/>
      <c r="L1754" s="47"/>
      <c r="M1754" s="47"/>
      <c r="N1754" s="48"/>
      <c r="O1754" s="48"/>
    </row>
    <row r="1755" spans="2:15" x14ac:dyDescent="0.2">
      <c r="B1755" s="47"/>
      <c r="C1755" s="47"/>
      <c r="D1755" s="78"/>
      <c r="E1755" s="47"/>
      <c r="F1755" s="47"/>
      <c r="G1755" s="47"/>
      <c r="H1755" s="47"/>
      <c r="I1755" s="48"/>
      <c r="J1755" s="47"/>
      <c r="K1755" s="47"/>
      <c r="L1755" s="47"/>
      <c r="M1755" s="47"/>
      <c r="N1755" s="48"/>
      <c r="O1755" s="48"/>
    </row>
    <row r="1756" spans="2:15" x14ac:dyDescent="0.2">
      <c r="B1756" s="47"/>
      <c r="C1756" s="47"/>
      <c r="D1756" s="78"/>
      <c r="E1756" s="47"/>
      <c r="F1756" s="47"/>
      <c r="G1756" s="47"/>
      <c r="H1756" s="47"/>
      <c r="I1756" s="48"/>
      <c r="J1756" s="47"/>
      <c r="K1756" s="47"/>
      <c r="L1756" s="47"/>
      <c r="M1756" s="47"/>
      <c r="N1756" s="48"/>
      <c r="O1756" s="48"/>
    </row>
    <row r="1757" spans="2:15" x14ac:dyDescent="0.2">
      <c r="B1757" s="47"/>
      <c r="C1757" s="47"/>
      <c r="D1757" s="78"/>
      <c r="E1757" s="47"/>
      <c r="F1757" s="47"/>
      <c r="G1757" s="47"/>
      <c r="H1757" s="47"/>
      <c r="I1757" s="48"/>
      <c r="J1757" s="47"/>
      <c r="K1757" s="47"/>
      <c r="L1757" s="47"/>
      <c r="M1757" s="47"/>
      <c r="N1757" s="48"/>
      <c r="O1757" s="48"/>
    </row>
    <row r="1758" spans="2:15" x14ac:dyDescent="0.2">
      <c r="B1758" s="47"/>
      <c r="C1758" s="47"/>
      <c r="D1758" s="78"/>
      <c r="E1758" s="47"/>
      <c r="F1758" s="47"/>
      <c r="G1758" s="47"/>
      <c r="H1758" s="47"/>
      <c r="I1758" s="48"/>
      <c r="J1758" s="47"/>
      <c r="K1758" s="47"/>
      <c r="L1758" s="47"/>
      <c r="M1758" s="47"/>
      <c r="N1758" s="48"/>
      <c r="O1758" s="48"/>
    </row>
    <row r="1759" spans="2:15" x14ac:dyDescent="0.2">
      <c r="B1759" s="47"/>
      <c r="C1759" s="47"/>
      <c r="D1759" s="78"/>
      <c r="E1759" s="47"/>
      <c r="F1759" s="47"/>
      <c r="G1759" s="47"/>
      <c r="H1759" s="47"/>
      <c r="I1759" s="48"/>
      <c r="J1759" s="47"/>
      <c r="K1759" s="47"/>
      <c r="L1759" s="47"/>
      <c r="M1759" s="47"/>
      <c r="N1759" s="48"/>
      <c r="O1759" s="48"/>
    </row>
    <row r="1760" spans="2:15" x14ac:dyDescent="0.2">
      <c r="B1760" s="47"/>
      <c r="C1760" s="47"/>
      <c r="D1760" s="78"/>
      <c r="E1760" s="47"/>
      <c r="F1760" s="47"/>
      <c r="G1760" s="47"/>
      <c r="H1760" s="47"/>
      <c r="I1760" s="48"/>
      <c r="J1760" s="47"/>
      <c r="K1760" s="47"/>
      <c r="L1760" s="47"/>
      <c r="M1760" s="47"/>
      <c r="N1760" s="48"/>
      <c r="O1760" s="48"/>
    </row>
    <row r="1761" spans="2:15" x14ac:dyDescent="0.2">
      <c r="B1761" s="47"/>
      <c r="C1761" s="47"/>
      <c r="D1761" s="78"/>
      <c r="E1761" s="47"/>
      <c r="F1761" s="47"/>
      <c r="G1761" s="47"/>
      <c r="H1761" s="47"/>
      <c r="I1761" s="48"/>
      <c r="J1761" s="47"/>
      <c r="K1761" s="47"/>
      <c r="L1761" s="47"/>
      <c r="M1761" s="47"/>
      <c r="N1761" s="48"/>
      <c r="O1761" s="48"/>
    </row>
    <row r="1762" spans="2:15" x14ac:dyDescent="0.2">
      <c r="B1762" s="47"/>
      <c r="C1762" s="47"/>
      <c r="D1762" s="78"/>
      <c r="E1762" s="47"/>
      <c r="F1762" s="47"/>
      <c r="G1762" s="47"/>
      <c r="H1762" s="47"/>
      <c r="I1762" s="48"/>
      <c r="J1762" s="47"/>
      <c r="K1762" s="47"/>
      <c r="L1762" s="47"/>
      <c r="M1762" s="47"/>
      <c r="N1762" s="48"/>
      <c r="O1762" s="48"/>
    </row>
    <row r="1763" spans="2:15" x14ac:dyDescent="0.2">
      <c r="B1763" s="47"/>
      <c r="C1763" s="47"/>
      <c r="D1763" s="78"/>
      <c r="E1763" s="47"/>
      <c r="F1763" s="47"/>
      <c r="G1763" s="47"/>
      <c r="H1763" s="47"/>
      <c r="I1763" s="48"/>
      <c r="J1763" s="47"/>
      <c r="K1763" s="47"/>
      <c r="L1763" s="47"/>
      <c r="M1763" s="47"/>
      <c r="N1763" s="48"/>
      <c r="O1763" s="48"/>
    </row>
    <row r="1764" spans="2:15" x14ac:dyDescent="0.2">
      <c r="B1764" s="47"/>
      <c r="C1764" s="47"/>
      <c r="D1764" s="78"/>
      <c r="E1764" s="47"/>
      <c r="F1764" s="47"/>
      <c r="G1764" s="47"/>
      <c r="H1764" s="47"/>
      <c r="I1764" s="48"/>
      <c r="J1764" s="47"/>
      <c r="K1764" s="47"/>
      <c r="L1764" s="47"/>
      <c r="M1764" s="47"/>
      <c r="N1764" s="48"/>
      <c r="O1764" s="48"/>
    </row>
    <row r="1765" spans="2:15" x14ac:dyDescent="0.2">
      <c r="B1765" s="47"/>
      <c r="C1765" s="47"/>
      <c r="D1765" s="78"/>
      <c r="E1765" s="47"/>
      <c r="F1765" s="47"/>
      <c r="G1765" s="47"/>
      <c r="H1765" s="47"/>
      <c r="I1765" s="48"/>
      <c r="J1765" s="47"/>
      <c r="K1765" s="47"/>
      <c r="L1765" s="47"/>
      <c r="M1765" s="47"/>
      <c r="N1765" s="48"/>
      <c r="O1765" s="48"/>
    </row>
    <row r="1766" spans="2:15" x14ac:dyDescent="0.2">
      <c r="B1766" s="47"/>
      <c r="C1766" s="47"/>
      <c r="D1766" s="78"/>
      <c r="E1766" s="47"/>
      <c r="F1766" s="47"/>
      <c r="G1766" s="47"/>
      <c r="H1766" s="47"/>
      <c r="I1766" s="48"/>
      <c r="J1766" s="47"/>
      <c r="K1766" s="47"/>
      <c r="L1766" s="47"/>
      <c r="M1766" s="47"/>
      <c r="N1766" s="48"/>
      <c r="O1766" s="48"/>
    </row>
    <row r="1767" spans="2:15" x14ac:dyDescent="0.2">
      <c r="B1767" s="47"/>
      <c r="C1767" s="47"/>
      <c r="D1767" s="78"/>
      <c r="E1767" s="47"/>
      <c r="F1767" s="47"/>
      <c r="G1767" s="47"/>
      <c r="H1767" s="47"/>
      <c r="I1767" s="48"/>
      <c r="J1767" s="47"/>
      <c r="K1767" s="47"/>
      <c r="L1767" s="47"/>
      <c r="M1767" s="47"/>
      <c r="N1767" s="48"/>
      <c r="O1767" s="48"/>
    </row>
    <row r="1768" spans="2:15" x14ac:dyDescent="0.2">
      <c r="B1768" s="47"/>
      <c r="C1768" s="47"/>
      <c r="D1768" s="78"/>
      <c r="E1768" s="47"/>
      <c r="F1768" s="47"/>
      <c r="G1768" s="47"/>
      <c r="H1768" s="47"/>
      <c r="I1768" s="48"/>
      <c r="J1768" s="47"/>
      <c r="K1768" s="47"/>
      <c r="L1768" s="47"/>
      <c r="M1768" s="47"/>
      <c r="N1768" s="48"/>
      <c r="O1768" s="48"/>
    </row>
  </sheetData>
  <autoFilter ref="B9:O1768" xr:uid="{6F637F07-DB83-4BCD-A01B-EDCA26F1E302}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1870-2BF3-4CF5-AF5C-CD0280A93825}">
  <sheetPr codeName="Sht_AsCons"/>
  <dimension ref="B1:X49"/>
  <sheetViews>
    <sheetView showGridLines="0" zoomScaleNormal="100" workbookViewId="0">
      <selection activeCell="E10" sqref="E10:J10"/>
    </sheetView>
  </sheetViews>
  <sheetFormatPr defaultRowHeight="14.25" x14ac:dyDescent="0.2"/>
  <cols>
    <col min="1" max="1" width="1.75" customWidth="1"/>
  </cols>
  <sheetData>
    <row r="1" spans="2:24" ht="3" customHeight="1" x14ac:dyDescent="0.2"/>
    <row r="2" spans="2:24" ht="23.25" x14ac:dyDescent="0.2">
      <c r="B2" s="33" t="str">
        <f>"Project Asset Register - " &amp; PR_T1_Number &amp; " " &amp; PR_Project_Name</f>
        <v>Project Asset Register - Z123 Test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</row>
    <row r="3" spans="2:24" x14ac:dyDescent="0.2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T3" s="34" t="s">
        <v>484</v>
      </c>
      <c r="U3" s="34"/>
      <c r="V3" s="34"/>
      <c r="W3" s="34"/>
      <c r="X3" s="34"/>
    </row>
    <row r="4" spans="2:24" x14ac:dyDescent="0.2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T4" s="68" t="s">
        <v>485</v>
      </c>
      <c r="U4" s="68"/>
      <c r="V4" s="68"/>
      <c r="W4" s="71" t="s">
        <v>486</v>
      </c>
      <c r="X4" s="71"/>
    </row>
    <row r="5" spans="2:24" x14ac:dyDescent="0.2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T5" s="67" t="s">
        <v>494</v>
      </c>
      <c r="U5" s="67"/>
      <c r="V5" s="67"/>
      <c r="W5" s="34"/>
      <c r="X5" s="34"/>
    </row>
    <row r="6" spans="2:24" x14ac:dyDescent="0.2"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T6" s="69" t="s">
        <v>936</v>
      </c>
      <c r="U6" s="69"/>
      <c r="V6" s="69"/>
      <c r="W6" s="34"/>
      <c r="X6" s="34"/>
    </row>
    <row r="7" spans="2:24" ht="15.75" x14ac:dyDescent="0.25">
      <c r="B7" s="168" t="s">
        <v>937</v>
      </c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T7" s="70" t="s">
        <v>489</v>
      </c>
      <c r="U7" s="70"/>
      <c r="V7" s="70"/>
      <c r="W7" s="34"/>
      <c r="X7" s="34"/>
    </row>
    <row r="8" spans="2:24" ht="15.75" x14ac:dyDescent="0.25">
      <c r="B8" s="65" t="s">
        <v>938</v>
      </c>
      <c r="C8" s="65"/>
      <c r="D8" s="65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2:24" ht="15" x14ac:dyDescent="0.25">
      <c r="E9" s="183" t="s">
        <v>475</v>
      </c>
      <c r="F9" s="183"/>
      <c r="G9" s="183"/>
      <c r="H9" s="183"/>
      <c r="I9" s="183"/>
      <c r="J9" s="183"/>
      <c r="K9" s="183" t="s">
        <v>939</v>
      </c>
      <c r="L9" s="183"/>
      <c r="M9" s="183"/>
      <c r="N9" s="183"/>
      <c r="O9" s="183"/>
      <c r="P9" s="183"/>
      <c r="Q9" s="183"/>
    </row>
    <row r="10" spans="2:24" x14ac:dyDescent="0.2">
      <c r="B10" s="181" t="s">
        <v>940</v>
      </c>
      <c r="C10" s="181"/>
      <c r="D10" s="181"/>
      <c r="E10" s="182" t="s">
        <v>1299</v>
      </c>
      <c r="F10" s="182"/>
      <c r="G10" s="182"/>
      <c r="H10" s="182"/>
      <c r="I10" s="182"/>
      <c r="J10" s="182"/>
      <c r="K10" s="182" t="s">
        <v>1303</v>
      </c>
      <c r="L10" s="182"/>
      <c r="M10" s="182"/>
      <c r="N10" s="182"/>
      <c r="O10" s="182"/>
      <c r="P10" s="182"/>
      <c r="Q10" s="182"/>
    </row>
    <row r="11" spans="2:24" x14ac:dyDescent="0.2">
      <c r="B11" s="181" t="s">
        <v>940</v>
      </c>
      <c r="C11" s="181"/>
      <c r="D11" s="181"/>
      <c r="E11" s="182" t="s">
        <v>1300</v>
      </c>
      <c r="F11" s="182"/>
      <c r="G11" s="182"/>
      <c r="H11" s="182"/>
      <c r="I11" s="182"/>
      <c r="J11" s="182"/>
      <c r="K11" s="182" t="s">
        <v>1304</v>
      </c>
      <c r="L11" s="182"/>
      <c r="M11" s="182"/>
      <c r="N11" s="182"/>
      <c r="O11" s="182"/>
      <c r="P11" s="182"/>
      <c r="Q11" s="182"/>
    </row>
    <row r="12" spans="2:24" x14ac:dyDescent="0.2">
      <c r="B12" s="181" t="s">
        <v>940</v>
      </c>
      <c r="C12" s="181"/>
      <c r="D12" s="181"/>
      <c r="E12" s="182" t="s">
        <v>1301</v>
      </c>
      <c r="F12" s="182"/>
      <c r="G12" s="182"/>
      <c r="H12" s="182"/>
      <c r="I12" s="182"/>
      <c r="J12" s="182"/>
      <c r="K12" s="182" t="s">
        <v>1302</v>
      </c>
      <c r="L12" s="182"/>
      <c r="M12" s="182"/>
      <c r="N12" s="182"/>
      <c r="O12" s="182"/>
      <c r="P12" s="182"/>
      <c r="Q12" s="182"/>
    </row>
    <row r="13" spans="2:24" x14ac:dyDescent="0.2">
      <c r="B13" s="181" t="s">
        <v>940</v>
      </c>
      <c r="C13" s="181"/>
      <c r="D13" s="181"/>
      <c r="E13" s="182" t="s">
        <v>1434</v>
      </c>
      <c r="F13" s="182"/>
      <c r="G13" s="182"/>
      <c r="H13" s="182"/>
      <c r="I13" s="182"/>
      <c r="J13" s="182"/>
      <c r="K13" s="182" t="s">
        <v>1439</v>
      </c>
      <c r="L13" s="182"/>
      <c r="M13" s="182"/>
      <c r="N13" s="182"/>
      <c r="O13" s="182"/>
      <c r="P13" s="182"/>
      <c r="Q13" s="182"/>
    </row>
    <row r="14" spans="2:24" x14ac:dyDescent="0.2">
      <c r="B14" s="181" t="s">
        <v>940</v>
      </c>
      <c r="C14" s="181"/>
      <c r="D14" s="181"/>
      <c r="E14" s="182"/>
      <c r="F14" s="182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</row>
    <row r="15" spans="2:24" x14ac:dyDescent="0.2">
      <c r="B15" s="181" t="s">
        <v>940</v>
      </c>
      <c r="C15" s="181"/>
      <c r="D15" s="181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</row>
    <row r="16" spans="2:24" x14ac:dyDescent="0.2">
      <c r="B16" s="181" t="s">
        <v>940</v>
      </c>
      <c r="C16" s="181"/>
      <c r="D16" s="181"/>
      <c r="E16" s="182"/>
      <c r="F16" s="182"/>
      <c r="G16" s="182"/>
      <c r="H16" s="182"/>
      <c r="I16" s="182"/>
      <c r="J16" s="182"/>
      <c r="K16" s="182"/>
      <c r="L16" s="182"/>
      <c r="M16" s="182"/>
      <c r="N16" s="182"/>
      <c r="O16" s="182"/>
      <c r="P16" s="182"/>
      <c r="Q16" s="182"/>
    </row>
    <row r="17" spans="2:17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</row>
    <row r="18" spans="2:17" x14ac:dyDescent="0.2">
      <c r="B18" s="39" t="s">
        <v>941</v>
      </c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1"/>
    </row>
    <row r="19" spans="2:17" x14ac:dyDescent="0.2">
      <c r="B19" s="42"/>
      <c r="Q19" s="43"/>
    </row>
    <row r="20" spans="2:17" ht="15" x14ac:dyDescent="0.25">
      <c r="B20" s="161" t="s">
        <v>1435</v>
      </c>
      <c r="Q20" s="43"/>
    </row>
    <row r="21" spans="2:17" x14ac:dyDescent="0.2">
      <c r="B21" s="42" t="s">
        <v>1431</v>
      </c>
      <c r="Q21" s="43"/>
    </row>
    <row r="22" spans="2:17" x14ac:dyDescent="0.2">
      <c r="B22" s="42" t="s">
        <v>1436</v>
      </c>
      <c r="Q22" s="43"/>
    </row>
    <row r="23" spans="2:17" x14ac:dyDescent="0.2">
      <c r="B23" s="42" t="s">
        <v>1437</v>
      </c>
      <c r="Q23" s="43"/>
    </row>
    <row r="24" spans="2:17" x14ac:dyDescent="0.2">
      <c r="B24" s="42" t="s">
        <v>1429</v>
      </c>
      <c r="Q24" s="43"/>
    </row>
    <row r="25" spans="2:17" x14ac:dyDescent="0.2">
      <c r="B25" s="42" t="s">
        <v>1438</v>
      </c>
      <c r="Q25" s="43"/>
    </row>
    <row r="26" spans="2:17" x14ac:dyDescent="0.2">
      <c r="B26" s="42"/>
      <c r="Q26" s="43"/>
    </row>
    <row r="27" spans="2:17" x14ac:dyDescent="0.2">
      <c r="B27" s="42"/>
      <c r="Q27" s="43"/>
    </row>
    <row r="28" spans="2:17" x14ac:dyDescent="0.2">
      <c r="B28" s="42"/>
      <c r="Q28" s="43"/>
    </row>
    <row r="29" spans="2:17" x14ac:dyDescent="0.2">
      <c r="B29" s="42"/>
      <c r="Q29" s="43"/>
    </row>
    <row r="30" spans="2:17" x14ac:dyDescent="0.2">
      <c r="B30" s="42"/>
      <c r="Q30" s="43"/>
    </row>
    <row r="31" spans="2:17" x14ac:dyDescent="0.2">
      <c r="B31" s="42"/>
      <c r="Q31" s="43"/>
    </row>
    <row r="32" spans="2:17" x14ac:dyDescent="0.2">
      <c r="B32" s="42"/>
      <c r="Q32" s="43"/>
    </row>
    <row r="33" spans="2:17" x14ac:dyDescent="0.2">
      <c r="B33" s="42"/>
      <c r="Q33" s="43"/>
    </row>
    <row r="34" spans="2:17" x14ac:dyDescent="0.2">
      <c r="B34" s="42"/>
      <c r="Q34" s="43"/>
    </row>
    <row r="35" spans="2:17" x14ac:dyDescent="0.2">
      <c r="B35" s="42"/>
      <c r="Q35" s="43"/>
    </row>
    <row r="36" spans="2:17" x14ac:dyDescent="0.2">
      <c r="B36" s="42"/>
      <c r="Q36" s="43"/>
    </row>
    <row r="37" spans="2:17" x14ac:dyDescent="0.2">
      <c r="B37" s="42"/>
      <c r="Q37" s="43"/>
    </row>
    <row r="38" spans="2:17" x14ac:dyDescent="0.2">
      <c r="B38" s="42"/>
      <c r="Q38" s="43"/>
    </row>
    <row r="39" spans="2:17" x14ac:dyDescent="0.2">
      <c r="B39" s="42"/>
      <c r="Q39" s="43"/>
    </row>
    <row r="40" spans="2:17" x14ac:dyDescent="0.2">
      <c r="B40" s="42"/>
      <c r="Q40" s="43"/>
    </row>
    <row r="41" spans="2:17" x14ac:dyDescent="0.2">
      <c r="B41" s="42"/>
      <c r="Q41" s="43"/>
    </row>
    <row r="42" spans="2:17" x14ac:dyDescent="0.2">
      <c r="B42" s="42"/>
      <c r="Q42" s="43"/>
    </row>
    <row r="43" spans="2:17" x14ac:dyDescent="0.2">
      <c r="B43" s="42"/>
      <c r="Q43" s="43"/>
    </row>
    <row r="44" spans="2:17" x14ac:dyDescent="0.2">
      <c r="B44" s="42"/>
      <c r="Q44" s="43"/>
    </row>
    <row r="45" spans="2:17" x14ac:dyDescent="0.2">
      <c r="B45" s="42"/>
      <c r="Q45" s="43"/>
    </row>
    <row r="46" spans="2:17" x14ac:dyDescent="0.2">
      <c r="B46" s="42"/>
      <c r="Q46" s="43"/>
    </row>
    <row r="47" spans="2:17" x14ac:dyDescent="0.2">
      <c r="B47" s="42"/>
      <c r="Q47" s="43"/>
    </row>
    <row r="48" spans="2:17" x14ac:dyDescent="0.2">
      <c r="B48" s="42"/>
      <c r="Q48" s="43"/>
    </row>
    <row r="49" spans="2:17" x14ac:dyDescent="0.2">
      <c r="B49" s="44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6"/>
    </row>
  </sheetData>
  <mergeCells count="24">
    <mergeCell ref="B7:Q7"/>
    <mergeCell ref="B10:D10"/>
    <mergeCell ref="B11:D11"/>
    <mergeCell ref="B12:D12"/>
    <mergeCell ref="E9:J9"/>
    <mergeCell ref="K9:Q9"/>
    <mergeCell ref="E10:J10"/>
    <mergeCell ref="K10:Q10"/>
    <mergeCell ref="E11:J11"/>
    <mergeCell ref="K11:Q11"/>
    <mergeCell ref="E12:J12"/>
    <mergeCell ref="K12:Q12"/>
    <mergeCell ref="B13:D13"/>
    <mergeCell ref="E13:J13"/>
    <mergeCell ref="K13:Q13"/>
    <mergeCell ref="B14:D14"/>
    <mergeCell ref="B16:D16"/>
    <mergeCell ref="E16:J16"/>
    <mergeCell ref="K16:Q16"/>
    <mergeCell ref="E14:J14"/>
    <mergeCell ref="K14:Q14"/>
    <mergeCell ref="B15:D15"/>
    <mergeCell ref="E15:J15"/>
    <mergeCell ref="K15:Q15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1657-9E74-466A-8AB8-9D23C63EBD0F}">
  <sheetPr codeName="Sht_ProjectWide"/>
  <dimension ref="B1:N275"/>
  <sheetViews>
    <sheetView showGridLines="0" zoomScaleNormal="100" workbookViewId="0">
      <selection activeCell="B12" sqref="B12"/>
    </sheetView>
  </sheetViews>
  <sheetFormatPr defaultColWidth="9" defaultRowHeight="14.25" x14ac:dyDescent="0.2"/>
  <cols>
    <col min="1" max="1" width="1.75" style="87" customWidth="1"/>
    <col min="2" max="2" width="22.125" style="87" customWidth="1"/>
    <col min="3" max="3" width="21.875" style="87" customWidth="1"/>
    <col min="4" max="4" width="29.5" style="87" customWidth="1"/>
    <col min="5" max="5" width="22.625" style="87" customWidth="1"/>
    <col min="6" max="6" width="62" style="87" customWidth="1"/>
    <col min="7" max="16384" width="9" style="87"/>
  </cols>
  <sheetData>
    <row r="1" spans="2:14" customFormat="1" ht="3" customHeight="1" x14ac:dyDescent="0.2"/>
    <row r="2" spans="2:14" customFormat="1" ht="23.25" x14ac:dyDescent="0.2">
      <c r="B2" s="33" t="str">
        <f>"Project Asset Register - " &amp; PR_T1_Number &amp; " " &amp; PR_Project_Name</f>
        <v>Project Asset Register - Z123 Test</v>
      </c>
      <c r="C2" s="34"/>
      <c r="D2" s="34"/>
      <c r="E2" s="34"/>
      <c r="J2" s="34" t="s">
        <v>484</v>
      </c>
      <c r="K2" s="34"/>
      <c r="L2" s="34"/>
      <c r="M2" s="34"/>
      <c r="N2" s="34"/>
    </row>
    <row r="3" spans="2:14" customFormat="1" x14ac:dyDescent="0.2">
      <c r="B3" s="34"/>
      <c r="C3" s="34"/>
      <c r="D3" s="34"/>
      <c r="E3" s="34"/>
      <c r="J3" s="68" t="s">
        <v>485</v>
      </c>
      <c r="K3" s="68"/>
      <c r="L3" s="68"/>
      <c r="M3" s="71" t="s">
        <v>486</v>
      </c>
      <c r="N3" s="71"/>
    </row>
    <row r="4" spans="2:14" customFormat="1" x14ac:dyDescent="0.2">
      <c r="B4" s="34"/>
      <c r="C4" s="34"/>
      <c r="D4" s="34"/>
      <c r="E4" s="34"/>
      <c r="J4" s="67" t="s">
        <v>487</v>
      </c>
      <c r="K4" s="67"/>
      <c r="L4" s="67"/>
      <c r="M4" s="34"/>
      <c r="N4" s="34"/>
    </row>
    <row r="5" spans="2:14" customFormat="1" x14ac:dyDescent="0.2">
      <c r="B5" s="34"/>
      <c r="C5" s="34"/>
      <c r="D5" s="34"/>
      <c r="E5" s="34"/>
      <c r="J5" s="69" t="s">
        <v>936</v>
      </c>
      <c r="K5" s="69"/>
      <c r="L5" s="69"/>
      <c r="M5" s="34"/>
      <c r="N5" s="34"/>
    </row>
    <row r="6" spans="2:14" customFormat="1" x14ac:dyDescent="0.2">
      <c r="B6" s="34"/>
      <c r="C6" s="34"/>
      <c r="D6" s="34"/>
      <c r="E6" s="34"/>
      <c r="J6" s="70" t="s">
        <v>489</v>
      </c>
      <c r="K6" s="70"/>
      <c r="L6" s="70"/>
      <c r="M6" s="34"/>
      <c r="N6" s="34"/>
    </row>
    <row r="7" spans="2:14" customFormat="1" ht="15.75" x14ac:dyDescent="0.25">
      <c r="B7" s="168" t="s">
        <v>942</v>
      </c>
      <c r="C7" s="168"/>
      <c r="D7" s="168"/>
      <c r="E7" s="168"/>
    </row>
    <row r="8" spans="2:14" customFormat="1" ht="15" x14ac:dyDescent="0.25">
      <c r="B8" s="88"/>
      <c r="C8" s="88"/>
      <c r="D8" s="89" t="s">
        <v>943</v>
      </c>
      <c r="E8" s="90">
        <f>SUMIF(B12:B1006,"Project-Wide",E12:E1006)</f>
        <v>0</v>
      </c>
      <c r="F8" s="88"/>
    </row>
    <row r="9" spans="2:14" customFormat="1" ht="15" x14ac:dyDescent="0.25">
      <c r="B9" s="88"/>
      <c r="C9" s="88"/>
      <c r="D9" s="89" t="s">
        <v>944</v>
      </c>
      <c r="E9" s="90">
        <f>SUMIF(B12:B1006,"Write-Off",E12:E1006)</f>
        <v>0</v>
      </c>
      <c r="F9" s="88"/>
    </row>
    <row r="10" spans="2:14" customFormat="1" ht="15" x14ac:dyDescent="0.25">
      <c r="B10" s="88"/>
      <c r="C10" s="88"/>
      <c r="D10" s="89" t="s">
        <v>945</v>
      </c>
      <c r="E10" s="90">
        <f>SUM(E12:E1006)</f>
        <v>0</v>
      </c>
      <c r="F10" s="88"/>
    </row>
    <row r="11" spans="2:14" s="2" customFormat="1" x14ac:dyDescent="0.2">
      <c r="B11" s="72" t="s">
        <v>946</v>
      </c>
      <c r="C11" s="72" t="s">
        <v>947</v>
      </c>
      <c r="D11" s="72" t="s">
        <v>471</v>
      </c>
      <c r="E11" s="72" t="s">
        <v>948</v>
      </c>
      <c r="F11" s="72" t="s">
        <v>935</v>
      </c>
    </row>
    <row r="12" spans="2:14" s="86" customFormat="1" ht="12.75" x14ac:dyDescent="0.2">
      <c r="B12" s="133"/>
      <c r="C12" s="133"/>
      <c r="D12" s="133"/>
      <c r="E12" s="134"/>
      <c r="F12" s="133"/>
    </row>
    <row r="13" spans="2:14" s="86" customFormat="1" ht="12.75" x14ac:dyDescent="0.2">
      <c r="B13" s="133"/>
      <c r="C13" s="133"/>
      <c r="D13" s="133"/>
      <c r="E13" s="134"/>
      <c r="F13" s="133"/>
    </row>
    <row r="14" spans="2:14" s="86" customFormat="1" ht="12.75" x14ac:dyDescent="0.2">
      <c r="B14" s="84"/>
      <c r="C14" s="84"/>
      <c r="E14" s="84"/>
      <c r="F14" s="84"/>
    </row>
    <row r="15" spans="2:14" s="86" customFormat="1" ht="12.75" x14ac:dyDescent="0.2">
      <c r="B15" s="84"/>
      <c r="C15" s="84"/>
      <c r="D15" s="84"/>
      <c r="E15" s="85"/>
      <c r="F15" s="84"/>
    </row>
    <row r="16" spans="2:14" s="86" customFormat="1" ht="12.75" x14ac:dyDescent="0.2">
      <c r="B16" s="84"/>
      <c r="C16" s="84"/>
      <c r="D16" s="84"/>
      <c r="E16" s="85"/>
      <c r="F16" s="84">
        <v>159971</v>
      </c>
    </row>
    <row r="17" spans="2:6" s="86" customFormat="1" ht="12.75" x14ac:dyDescent="0.2">
      <c r="B17" s="84"/>
      <c r="C17" s="84"/>
      <c r="D17" s="84"/>
      <c r="E17" s="85"/>
      <c r="F17" s="84"/>
    </row>
    <row r="18" spans="2:6" s="86" customFormat="1" ht="12.75" x14ac:dyDescent="0.2">
      <c r="B18" s="84"/>
      <c r="C18" s="84"/>
      <c r="D18" s="84"/>
      <c r="E18" s="85"/>
      <c r="F18" s="84"/>
    </row>
    <row r="19" spans="2:6" s="86" customFormat="1" ht="12.75" x14ac:dyDescent="0.2">
      <c r="B19" s="84"/>
      <c r="C19" s="84"/>
      <c r="D19" s="84"/>
      <c r="E19" s="85"/>
      <c r="F19" s="84"/>
    </row>
    <row r="20" spans="2:6" s="86" customFormat="1" ht="12.75" x14ac:dyDescent="0.2">
      <c r="B20" s="84"/>
      <c r="C20" s="84"/>
      <c r="D20" s="84"/>
      <c r="E20" s="85"/>
      <c r="F20" s="84"/>
    </row>
    <row r="21" spans="2:6" s="86" customFormat="1" ht="12.75" x14ac:dyDescent="0.2">
      <c r="B21" s="84"/>
      <c r="C21" s="84"/>
      <c r="D21" s="84"/>
      <c r="E21" s="85"/>
      <c r="F21" s="84"/>
    </row>
    <row r="22" spans="2:6" s="86" customFormat="1" ht="12.75" x14ac:dyDescent="0.2">
      <c r="B22" s="84"/>
      <c r="C22" s="84"/>
      <c r="D22" s="84"/>
      <c r="E22" s="85"/>
      <c r="F22" s="84"/>
    </row>
    <row r="23" spans="2:6" s="86" customFormat="1" ht="12.75" x14ac:dyDescent="0.2">
      <c r="B23" s="84"/>
      <c r="C23" s="84"/>
      <c r="D23" s="84"/>
      <c r="E23" s="85"/>
      <c r="F23" s="84"/>
    </row>
    <row r="24" spans="2:6" s="86" customFormat="1" ht="12.75" x14ac:dyDescent="0.2">
      <c r="B24" s="84"/>
      <c r="C24" s="84"/>
      <c r="D24" s="84"/>
      <c r="E24" s="85"/>
      <c r="F24" s="84"/>
    </row>
    <row r="25" spans="2:6" s="86" customFormat="1" ht="12.75" x14ac:dyDescent="0.2">
      <c r="B25" s="84"/>
      <c r="C25" s="84"/>
      <c r="D25" s="84"/>
      <c r="E25" s="85"/>
      <c r="F25" s="84"/>
    </row>
    <row r="26" spans="2:6" s="86" customFormat="1" ht="12.75" x14ac:dyDescent="0.2">
      <c r="B26" s="84"/>
      <c r="C26" s="84"/>
      <c r="D26" s="84"/>
      <c r="E26" s="85"/>
      <c r="F26" s="84"/>
    </row>
    <row r="27" spans="2:6" s="86" customFormat="1" ht="12.75" x14ac:dyDescent="0.2">
      <c r="B27" s="84"/>
      <c r="C27" s="84"/>
      <c r="D27" s="84"/>
      <c r="E27" s="85"/>
      <c r="F27" s="84"/>
    </row>
    <row r="28" spans="2:6" s="86" customFormat="1" ht="12.75" x14ac:dyDescent="0.2">
      <c r="B28" s="84"/>
      <c r="C28" s="84"/>
      <c r="D28" s="84"/>
      <c r="E28" s="85"/>
      <c r="F28" s="84"/>
    </row>
    <row r="29" spans="2:6" s="86" customFormat="1" ht="12.75" x14ac:dyDescent="0.2">
      <c r="B29" s="84"/>
      <c r="C29" s="84"/>
      <c r="D29" s="84"/>
      <c r="E29" s="85"/>
      <c r="F29" s="84"/>
    </row>
    <row r="30" spans="2:6" s="86" customFormat="1" ht="12.75" x14ac:dyDescent="0.2">
      <c r="B30" s="84"/>
      <c r="C30" s="84"/>
      <c r="D30" s="84"/>
      <c r="E30" s="85"/>
      <c r="F30" s="84"/>
    </row>
    <row r="31" spans="2:6" s="86" customFormat="1" ht="12.75" x14ac:dyDescent="0.2">
      <c r="B31" s="84"/>
      <c r="C31" s="84"/>
      <c r="D31" s="84"/>
      <c r="E31" s="85"/>
      <c r="F31" s="84"/>
    </row>
    <row r="32" spans="2:6" s="86" customFormat="1" ht="12.75" x14ac:dyDescent="0.2">
      <c r="B32" s="84"/>
      <c r="C32" s="84"/>
      <c r="D32" s="84"/>
      <c r="E32" s="85"/>
      <c r="F32" s="84"/>
    </row>
    <row r="33" spans="2:6" s="86" customFormat="1" ht="12.75" x14ac:dyDescent="0.2">
      <c r="B33" s="84"/>
      <c r="C33" s="84"/>
      <c r="D33" s="84"/>
      <c r="E33" s="85"/>
      <c r="F33" s="84"/>
    </row>
    <row r="34" spans="2:6" s="86" customFormat="1" ht="12.75" x14ac:dyDescent="0.2">
      <c r="B34" s="84"/>
      <c r="C34" s="84"/>
      <c r="D34" s="84"/>
      <c r="E34" s="85"/>
      <c r="F34" s="84"/>
    </row>
    <row r="35" spans="2:6" s="86" customFormat="1" ht="12.75" x14ac:dyDescent="0.2">
      <c r="B35" s="84"/>
      <c r="C35" s="84"/>
      <c r="D35" s="84"/>
      <c r="E35" s="85"/>
      <c r="F35" s="84"/>
    </row>
    <row r="36" spans="2:6" s="86" customFormat="1" ht="12.75" x14ac:dyDescent="0.2">
      <c r="B36" s="84"/>
      <c r="C36" s="84"/>
      <c r="D36" s="84"/>
      <c r="E36" s="85"/>
      <c r="F36" s="84"/>
    </row>
    <row r="37" spans="2:6" s="86" customFormat="1" ht="12.75" x14ac:dyDescent="0.2">
      <c r="B37" s="84"/>
      <c r="C37" s="84"/>
      <c r="D37" s="84"/>
      <c r="E37" s="85"/>
      <c r="F37" s="84"/>
    </row>
    <row r="38" spans="2:6" s="86" customFormat="1" ht="12.75" x14ac:dyDescent="0.2">
      <c r="B38" s="84"/>
      <c r="C38" s="84"/>
      <c r="D38" s="84"/>
      <c r="E38" s="85"/>
      <c r="F38" s="84"/>
    </row>
    <row r="39" spans="2:6" s="86" customFormat="1" ht="12.75" x14ac:dyDescent="0.2">
      <c r="B39" s="84"/>
      <c r="C39" s="84"/>
      <c r="D39" s="84"/>
      <c r="E39" s="85"/>
      <c r="F39" s="84"/>
    </row>
    <row r="40" spans="2:6" s="86" customFormat="1" ht="12.75" x14ac:dyDescent="0.2">
      <c r="B40" s="84"/>
      <c r="C40" s="84"/>
      <c r="D40" s="84"/>
      <c r="E40" s="85"/>
      <c r="F40" s="84"/>
    </row>
    <row r="41" spans="2:6" s="86" customFormat="1" ht="12.75" x14ac:dyDescent="0.2">
      <c r="B41" s="84"/>
      <c r="C41" s="84"/>
      <c r="D41" s="84"/>
      <c r="E41" s="85"/>
      <c r="F41" s="84"/>
    </row>
    <row r="42" spans="2:6" s="86" customFormat="1" ht="12.75" x14ac:dyDescent="0.2">
      <c r="B42" s="84"/>
      <c r="C42" s="84"/>
      <c r="D42" s="84"/>
      <c r="E42" s="85"/>
      <c r="F42" s="84"/>
    </row>
    <row r="43" spans="2:6" s="86" customFormat="1" ht="12.75" x14ac:dyDescent="0.2">
      <c r="B43" s="84"/>
      <c r="C43" s="84"/>
      <c r="D43" s="84"/>
      <c r="E43" s="85"/>
      <c r="F43" s="84"/>
    </row>
    <row r="44" spans="2:6" s="86" customFormat="1" ht="12.75" x14ac:dyDescent="0.2">
      <c r="B44" s="84"/>
      <c r="C44" s="84"/>
      <c r="D44" s="84"/>
      <c r="E44" s="85"/>
      <c r="F44" s="84"/>
    </row>
    <row r="45" spans="2:6" s="86" customFormat="1" ht="12.75" x14ac:dyDescent="0.2">
      <c r="B45" s="84"/>
      <c r="C45" s="84"/>
      <c r="D45" s="84"/>
      <c r="E45" s="85"/>
      <c r="F45" s="84"/>
    </row>
    <row r="46" spans="2:6" s="86" customFormat="1" ht="12.75" x14ac:dyDescent="0.2">
      <c r="B46" s="84"/>
      <c r="C46" s="84"/>
      <c r="D46" s="84"/>
      <c r="E46" s="85"/>
      <c r="F46" s="84"/>
    </row>
    <row r="47" spans="2:6" s="86" customFormat="1" ht="12.75" x14ac:dyDescent="0.2">
      <c r="B47" s="84"/>
      <c r="C47" s="84"/>
      <c r="D47" s="84"/>
      <c r="E47" s="85"/>
      <c r="F47" s="84"/>
    </row>
    <row r="48" spans="2:6" s="86" customFormat="1" ht="12.75" x14ac:dyDescent="0.2">
      <c r="B48" s="84"/>
      <c r="C48" s="84"/>
      <c r="D48" s="84"/>
      <c r="E48" s="85"/>
      <c r="F48" s="84"/>
    </row>
    <row r="49" spans="2:6" s="86" customFormat="1" ht="12.75" x14ac:dyDescent="0.2">
      <c r="B49" s="84"/>
      <c r="C49" s="84"/>
      <c r="D49" s="84"/>
      <c r="E49" s="85"/>
      <c r="F49" s="84"/>
    </row>
    <row r="50" spans="2:6" s="86" customFormat="1" ht="12.75" x14ac:dyDescent="0.2">
      <c r="B50" s="84"/>
      <c r="C50" s="84"/>
      <c r="D50" s="84"/>
      <c r="E50" s="85"/>
      <c r="F50" s="84"/>
    </row>
    <row r="51" spans="2:6" s="86" customFormat="1" ht="12.75" x14ac:dyDescent="0.2">
      <c r="B51" s="84"/>
      <c r="C51" s="84"/>
      <c r="D51" s="84"/>
      <c r="E51" s="85"/>
      <c r="F51" s="84"/>
    </row>
    <row r="52" spans="2:6" s="86" customFormat="1" ht="12.75" x14ac:dyDescent="0.2">
      <c r="B52" s="84"/>
      <c r="C52" s="84"/>
      <c r="D52" s="84"/>
      <c r="E52" s="85"/>
      <c r="F52" s="84"/>
    </row>
    <row r="53" spans="2:6" s="86" customFormat="1" ht="12.75" x14ac:dyDescent="0.2">
      <c r="B53" s="84"/>
      <c r="C53" s="84"/>
      <c r="D53" s="84"/>
      <c r="E53" s="85"/>
      <c r="F53" s="84"/>
    </row>
    <row r="54" spans="2:6" s="86" customFormat="1" ht="12.75" x14ac:dyDescent="0.2">
      <c r="B54" s="84"/>
      <c r="C54" s="84"/>
      <c r="D54" s="84"/>
      <c r="E54" s="85"/>
      <c r="F54" s="84"/>
    </row>
    <row r="55" spans="2:6" s="86" customFormat="1" ht="12.75" x14ac:dyDescent="0.2">
      <c r="B55" s="84"/>
      <c r="C55" s="84"/>
      <c r="D55" s="84"/>
      <c r="E55" s="85"/>
      <c r="F55" s="84"/>
    </row>
    <row r="56" spans="2:6" s="86" customFormat="1" ht="12.75" x14ac:dyDescent="0.2">
      <c r="B56" s="84"/>
      <c r="C56" s="84"/>
      <c r="D56" s="84"/>
      <c r="E56" s="85"/>
      <c r="F56" s="84"/>
    </row>
    <row r="57" spans="2:6" s="86" customFormat="1" ht="12.75" x14ac:dyDescent="0.2">
      <c r="B57" s="84"/>
      <c r="C57" s="84"/>
      <c r="D57" s="84"/>
      <c r="E57" s="85"/>
      <c r="F57" s="84"/>
    </row>
    <row r="58" spans="2:6" s="86" customFormat="1" ht="12.75" x14ac:dyDescent="0.2">
      <c r="B58" s="84"/>
      <c r="C58" s="84"/>
      <c r="D58" s="84"/>
      <c r="E58" s="85"/>
      <c r="F58" s="84"/>
    </row>
    <row r="59" spans="2:6" s="86" customFormat="1" ht="12.75" x14ac:dyDescent="0.2">
      <c r="B59" s="84"/>
      <c r="C59" s="84"/>
      <c r="D59" s="84"/>
      <c r="E59" s="85"/>
      <c r="F59" s="84"/>
    </row>
    <row r="60" spans="2:6" s="86" customFormat="1" ht="12.75" x14ac:dyDescent="0.2">
      <c r="B60" s="84"/>
      <c r="C60" s="84"/>
      <c r="D60" s="84"/>
      <c r="E60" s="85"/>
      <c r="F60" s="84"/>
    </row>
    <row r="61" spans="2:6" s="86" customFormat="1" ht="12.75" x14ac:dyDescent="0.2">
      <c r="B61" s="84"/>
      <c r="C61" s="84"/>
      <c r="D61" s="84"/>
      <c r="E61" s="85"/>
      <c r="F61" s="84"/>
    </row>
    <row r="62" spans="2:6" s="86" customFormat="1" ht="12.75" x14ac:dyDescent="0.2">
      <c r="B62" s="84"/>
      <c r="C62" s="84"/>
      <c r="D62" s="84"/>
      <c r="E62" s="85"/>
      <c r="F62" s="84"/>
    </row>
    <row r="63" spans="2:6" s="86" customFormat="1" ht="12.75" x14ac:dyDescent="0.2">
      <c r="B63" s="84"/>
      <c r="C63" s="84"/>
      <c r="D63" s="84"/>
      <c r="E63" s="85"/>
      <c r="F63" s="84"/>
    </row>
    <row r="64" spans="2:6" s="86" customFormat="1" ht="12.75" x14ac:dyDescent="0.2">
      <c r="B64" s="84"/>
      <c r="C64" s="84"/>
      <c r="D64" s="84"/>
      <c r="E64" s="85"/>
      <c r="F64" s="84"/>
    </row>
    <row r="65" spans="2:6" s="86" customFormat="1" ht="12.75" x14ac:dyDescent="0.2">
      <c r="B65" s="84"/>
      <c r="C65" s="84"/>
      <c r="D65" s="84"/>
      <c r="E65" s="85"/>
      <c r="F65" s="84"/>
    </row>
    <row r="66" spans="2:6" s="86" customFormat="1" ht="12.75" x14ac:dyDescent="0.2">
      <c r="B66" s="84"/>
      <c r="C66" s="84"/>
      <c r="D66" s="84"/>
      <c r="E66" s="85"/>
      <c r="F66" s="84"/>
    </row>
    <row r="67" spans="2:6" s="86" customFormat="1" ht="12.75" x14ac:dyDescent="0.2">
      <c r="B67" s="84"/>
      <c r="C67" s="84"/>
      <c r="D67" s="84"/>
      <c r="E67" s="85"/>
      <c r="F67" s="84"/>
    </row>
    <row r="68" spans="2:6" s="86" customFormat="1" ht="12.75" x14ac:dyDescent="0.2">
      <c r="B68" s="84"/>
      <c r="C68" s="84"/>
      <c r="D68" s="84"/>
      <c r="E68" s="85"/>
      <c r="F68" s="84"/>
    </row>
    <row r="69" spans="2:6" s="86" customFormat="1" ht="12.75" x14ac:dyDescent="0.2">
      <c r="B69" s="84"/>
      <c r="C69" s="84"/>
      <c r="D69" s="84"/>
      <c r="E69" s="85"/>
      <c r="F69" s="84"/>
    </row>
    <row r="70" spans="2:6" s="86" customFormat="1" ht="12.75" x14ac:dyDescent="0.2">
      <c r="B70" s="84"/>
      <c r="C70" s="84"/>
      <c r="D70" s="84"/>
      <c r="E70" s="85"/>
      <c r="F70" s="84"/>
    </row>
    <row r="71" spans="2:6" s="86" customFormat="1" ht="12.75" x14ac:dyDescent="0.2">
      <c r="B71" s="84"/>
      <c r="C71" s="84"/>
      <c r="D71" s="84"/>
      <c r="E71" s="85"/>
      <c r="F71" s="84"/>
    </row>
    <row r="72" spans="2:6" s="86" customFormat="1" ht="12.75" x14ac:dyDescent="0.2">
      <c r="B72" s="84"/>
      <c r="C72" s="84"/>
      <c r="D72" s="84"/>
      <c r="E72" s="85"/>
      <c r="F72" s="84"/>
    </row>
    <row r="73" spans="2:6" s="86" customFormat="1" ht="12.75" x14ac:dyDescent="0.2">
      <c r="B73" s="84"/>
      <c r="C73" s="84"/>
      <c r="D73" s="84"/>
      <c r="E73" s="85"/>
      <c r="F73" s="84"/>
    </row>
    <row r="74" spans="2:6" s="86" customFormat="1" ht="12.75" x14ac:dyDescent="0.2">
      <c r="B74" s="84"/>
      <c r="C74" s="84"/>
      <c r="D74" s="84"/>
      <c r="E74" s="85"/>
      <c r="F74" s="84"/>
    </row>
    <row r="75" spans="2:6" s="86" customFormat="1" ht="12.75" x14ac:dyDescent="0.2">
      <c r="B75" s="84"/>
      <c r="C75" s="84"/>
      <c r="D75" s="84"/>
      <c r="E75" s="85"/>
      <c r="F75" s="84"/>
    </row>
    <row r="76" spans="2:6" s="86" customFormat="1" ht="12.75" x14ac:dyDescent="0.2">
      <c r="B76" s="84"/>
      <c r="C76" s="84"/>
      <c r="D76" s="84"/>
      <c r="E76" s="85"/>
      <c r="F76" s="84"/>
    </row>
    <row r="77" spans="2:6" s="86" customFormat="1" ht="12.75" x14ac:dyDescent="0.2">
      <c r="B77" s="84"/>
      <c r="C77" s="84"/>
      <c r="D77" s="84"/>
      <c r="E77" s="85"/>
      <c r="F77" s="84"/>
    </row>
    <row r="78" spans="2:6" s="86" customFormat="1" ht="12.75" x14ac:dyDescent="0.2">
      <c r="B78" s="84"/>
      <c r="C78" s="84"/>
      <c r="D78" s="84"/>
      <c r="E78" s="85"/>
      <c r="F78" s="84"/>
    </row>
    <row r="79" spans="2:6" s="86" customFormat="1" ht="12.75" x14ac:dyDescent="0.2">
      <c r="B79" s="84"/>
      <c r="C79" s="84"/>
      <c r="D79" s="84"/>
      <c r="E79" s="85"/>
      <c r="F79" s="84"/>
    </row>
    <row r="80" spans="2:6" s="86" customFormat="1" ht="12.75" x14ac:dyDescent="0.2">
      <c r="B80" s="84"/>
      <c r="C80" s="84"/>
      <c r="D80" s="84"/>
      <c r="E80" s="85"/>
      <c r="F80" s="84"/>
    </row>
    <row r="81" spans="2:6" s="86" customFormat="1" ht="12.75" x14ac:dyDescent="0.2">
      <c r="B81" s="84"/>
      <c r="C81" s="84"/>
      <c r="D81" s="84"/>
      <c r="E81" s="85"/>
      <c r="F81" s="84"/>
    </row>
    <row r="82" spans="2:6" s="86" customFormat="1" ht="12.75" x14ac:dyDescent="0.2">
      <c r="B82" s="84"/>
      <c r="C82" s="84"/>
      <c r="D82" s="84"/>
      <c r="E82" s="85"/>
      <c r="F82" s="84"/>
    </row>
    <row r="83" spans="2:6" s="86" customFormat="1" ht="12.75" x14ac:dyDescent="0.2">
      <c r="B83" s="84"/>
      <c r="C83" s="84"/>
      <c r="D83" s="84"/>
      <c r="E83" s="85"/>
      <c r="F83" s="84"/>
    </row>
    <row r="84" spans="2:6" s="86" customFormat="1" ht="12.75" x14ac:dyDescent="0.2">
      <c r="B84" s="84"/>
      <c r="C84" s="84"/>
      <c r="D84" s="84"/>
      <c r="E84" s="85"/>
      <c r="F84" s="84"/>
    </row>
    <row r="85" spans="2:6" s="86" customFormat="1" ht="12.75" x14ac:dyDescent="0.2">
      <c r="B85" s="84"/>
      <c r="C85" s="84"/>
      <c r="D85" s="84"/>
      <c r="E85" s="85"/>
      <c r="F85" s="84"/>
    </row>
    <row r="86" spans="2:6" s="86" customFormat="1" ht="12.75" x14ac:dyDescent="0.2">
      <c r="B86" s="84"/>
      <c r="C86" s="84"/>
      <c r="D86" s="84"/>
      <c r="E86" s="85"/>
      <c r="F86" s="84"/>
    </row>
    <row r="87" spans="2:6" s="86" customFormat="1" ht="12.75" x14ac:dyDescent="0.2">
      <c r="B87" s="84"/>
      <c r="C87" s="84"/>
      <c r="D87" s="84"/>
      <c r="E87" s="85"/>
      <c r="F87" s="84"/>
    </row>
    <row r="88" spans="2:6" s="86" customFormat="1" ht="12.75" x14ac:dyDescent="0.2">
      <c r="B88" s="84"/>
      <c r="C88" s="84"/>
      <c r="D88" s="84"/>
      <c r="E88" s="85"/>
      <c r="F88" s="84"/>
    </row>
    <row r="89" spans="2:6" s="86" customFormat="1" ht="12.75" x14ac:dyDescent="0.2">
      <c r="B89" s="84"/>
      <c r="C89" s="84"/>
      <c r="D89" s="84"/>
      <c r="E89" s="85"/>
      <c r="F89" s="84"/>
    </row>
    <row r="90" spans="2:6" s="86" customFormat="1" ht="12.75" x14ac:dyDescent="0.2">
      <c r="B90" s="84"/>
      <c r="C90" s="84"/>
      <c r="D90" s="84"/>
      <c r="E90" s="85"/>
      <c r="F90" s="84"/>
    </row>
    <row r="91" spans="2:6" s="86" customFormat="1" ht="12.75" x14ac:dyDescent="0.2">
      <c r="B91" s="84"/>
      <c r="C91" s="84"/>
      <c r="D91" s="84"/>
      <c r="E91" s="85"/>
      <c r="F91" s="84"/>
    </row>
    <row r="92" spans="2:6" s="86" customFormat="1" ht="12.75" x14ac:dyDescent="0.2">
      <c r="B92" s="84"/>
      <c r="C92" s="84"/>
      <c r="D92" s="84"/>
      <c r="E92" s="85"/>
      <c r="F92" s="84"/>
    </row>
    <row r="93" spans="2:6" s="86" customFormat="1" ht="12.75" x14ac:dyDescent="0.2">
      <c r="B93" s="84"/>
      <c r="C93" s="84"/>
      <c r="D93" s="84"/>
      <c r="E93" s="85"/>
      <c r="F93" s="84"/>
    </row>
    <row r="94" spans="2:6" s="86" customFormat="1" ht="12.75" x14ac:dyDescent="0.2">
      <c r="B94" s="84"/>
      <c r="C94" s="84"/>
      <c r="D94" s="84"/>
      <c r="E94" s="85"/>
      <c r="F94" s="84"/>
    </row>
    <row r="95" spans="2:6" s="86" customFormat="1" ht="12.75" x14ac:dyDescent="0.2">
      <c r="B95" s="84"/>
      <c r="C95" s="84"/>
      <c r="D95" s="84"/>
      <c r="E95" s="85"/>
      <c r="F95" s="84"/>
    </row>
    <row r="96" spans="2:6" s="86" customFormat="1" ht="12.75" x14ac:dyDescent="0.2">
      <c r="B96" s="84"/>
      <c r="C96" s="84"/>
      <c r="D96" s="84"/>
      <c r="E96" s="85"/>
      <c r="F96" s="84"/>
    </row>
    <row r="97" spans="2:6" s="86" customFormat="1" ht="12.75" x14ac:dyDescent="0.2">
      <c r="B97" s="84"/>
      <c r="C97" s="84"/>
      <c r="D97" s="84"/>
      <c r="E97" s="85"/>
      <c r="F97" s="84"/>
    </row>
    <row r="98" spans="2:6" s="86" customFormat="1" ht="12.75" x14ac:dyDescent="0.2">
      <c r="B98" s="84"/>
      <c r="C98" s="84"/>
      <c r="D98" s="84"/>
      <c r="E98" s="85"/>
      <c r="F98" s="84"/>
    </row>
    <row r="99" spans="2:6" s="86" customFormat="1" ht="12.75" x14ac:dyDescent="0.2">
      <c r="B99" s="84"/>
      <c r="C99" s="84"/>
      <c r="D99" s="84"/>
      <c r="E99" s="85"/>
      <c r="F99" s="84"/>
    </row>
    <row r="100" spans="2:6" s="86" customFormat="1" ht="12.75" x14ac:dyDescent="0.2">
      <c r="B100" s="84"/>
      <c r="C100" s="84"/>
      <c r="D100" s="84"/>
      <c r="E100" s="85"/>
      <c r="F100" s="84"/>
    </row>
    <row r="101" spans="2:6" s="86" customFormat="1" ht="12.75" x14ac:dyDescent="0.2">
      <c r="B101" s="84"/>
      <c r="C101" s="84"/>
      <c r="D101" s="84"/>
      <c r="E101" s="85"/>
      <c r="F101" s="84"/>
    </row>
    <row r="102" spans="2:6" s="86" customFormat="1" ht="12.75" x14ac:dyDescent="0.2">
      <c r="B102" s="84"/>
      <c r="C102" s="84"/>
      <c r="D102" s="84"/>
      <c r="E102" s="85"/>
      <c r="F102" s="84"/>
    </row>
    <row r="103" spans="2:6" s="86" customFormat="1" ht="12.75" x14ac:dyDescent="0.2">
      <c r="B103" s="84"/>
      <c r="C103" s="84"/>
      <c r="D103" s="84"/>
      <c r="E103" s="85"/>
      <c r="F103" s="84"/>
    </row>
    <row r="104" spans="2:6" s="86" customFormat="1" ht="12.75" x14ac:dyDescent="0.2">
      <c r="B104" s="84"/>
      <c r="C104" s="84"/>
      <c r="D104" s="84"/>
      <c r="E104" s="85"/>
      <c r="F104" s="84"/>
    </row>
    <row r="105" spans="2:6" s="86" customFormat="1" ht="12.75" x14ac:dyDescent="0.2">
      <c r="B105" s="84"/>
      <c r="C105" s="84"/>
      <c r="D105" s="84"/>
      <c r="E105" s="85"/>
      <c r="F105" s="84"/>
    </row>
    <row r="106" spans="2:6" s="86" customFormat="1" ht="12.75" x14ac:dyDescent="0.2">
      <c r="B106" s="84"/>
      <c r="C106" s="84"/>
      <c r="D106" s="84"/>
      <c r="E106" s="85"/>
      <c r="F106" s="84"/>
    </row>
    <row r="107" spans="2:6" s="86" customFormat="1" ht="12.75" x14ac:dyDescent="0.2">
      <c r="B107" s="84"/>
      <c r="C107" s="84"/>
      <c r="D107" s="84"/>
      <c r="E107" s="85"/>
      <c r="F107" s="84"/>
    </row>
    <row r="108" spans="2:6" s="86" customFormat="1" ht="12.75" x14ac:dyDescent="0.2">
      <c r="B108" s="84"/>
      <c r="C108" s="84"/>
      <c r="D108" s="84"/>
      <c r="E108" s="85"/>
      <c r="F108" s="84"/>
    </row>
    <row r="109" spans="2:6" s="86" customFormat="1" ht="12.75" x14ac:dyDescent="0.2">
      <c r="B109" s="84"/>
      <c r="C109" s="84"/>
      <c r="D109" s="84"/>
      <c r="E109" s="85"/>
      <c r="F109" s="84"/>
    </row>
    <row r="110" spans="2:6" s="86" customFormat="1" ht="12.75" x14ac:dyDescent="0.2">
      <c r="B110" s="84"/>
      <c r="C110" s="84"/>
      <c r="D110" s="84"/>
      <c r="E110" s="85"/>
      <c r="F110" s="84"/>
    </row>
    <row r="111" spans="2:6" s="86" customFormat="1" ht="12.75" x14ac:dyDescent="0.2">
      <c r="B111" s="84"/>
      <c r="C111" s="84"/>
      <c r="D111" s="84"/>
      <c r="E111" s="85"/>
      <c r="F111" s="84"/>
    </row>
    <row r="112" spans="2:6" s="86" customFormat="1" ht="12.75" x14ac:dyDescent="0.2">
      <c r="B112" s="84"/>
      <c r="C112" s="84"/>
      <c r="D112" s="84"/>
      <c r="E112" s="85"/>
      <c r="F112" s="84"/>
    </row>
    <row r="113" spans="2:6" s="86" customFormat="1" ht="12.75" x14ac:dyDescent="0.2">
      <c r="B113" s="84"/>
      <c r="C113" s="84"/>
      <c r="D113" s="84"/>
      <c r="E113" s="85"/>
      <c r="F113" s="84"/>
    </row>
    <row r="114" spans="2:6" s="86" customFormat="1" ht="12.75" x14ac:dyDescent="0.2">
      <c r="B114" s="84"/>
      <c r="C114" s="84"/>
      <c r="D114" s="84"/>
      <c r="E114" s="85"/>
      <c r="F114" s="84"/>
    </row>
    <row r="115" spans="2:6" s="86" customFormat="1" ht="12.75" x14ac:dyDescent="0.2">
      <c r="B115" s="84"/>
      <c r="C115" s="84"/>
      <c r="D115" s="84"/>
      <c r="E115" s="85"/>
      <c r="F115" s="84"/>
    </row>
    <row r="116" spans="2:6" s="86" customFormat="1" ht="12.75" x14ac:dyDescent="0.2">
      <c r="B116" s="84"/>
      <c r="C116" s="84"/>
      <c r="D116" s="84"/>
      <c r="E116" s="85"/>
      <c r="F116" s="84"/>
    </row>
    <row r="117" spans="2:6" s="86" customFormat="1" ht="12.75" x14ac:dyDescent="0.2">
      <c r="B117" s="84"/>
      <c r="C117" s="84"/>
      <c r="D117" s="84"/>
      <c r="E117" s="85"/>
      <c r="F117" s="84"/>
    </row>
    <row r="118" spans="2:6" s="86" customFormat="1" ht="12.75" x14ac:dyDescent="0.2">
      <c r="B118" s="84"/>
      <c r="C118" s="84"/>
      <c r="D118" s="84"/>
      <c r="E118" s="85"/>
      <c r="F118" s="84"/>
    </row>
    <row r="119" spans="2:6" s="86" customFormat="1" ht="12.75" x14ac:dyDescent="0.2">
      <c r="B119" s="84"/>
      <c r="C119" s="84"/>
      <c r="D119" s="84"/>
      <c r="E119" s="85"/>
      <c r="F119" s="84"/>
    </row>
    <row r="120" spans="2:6" s="86" customFormat="1" ht="12.75" x14ac:dyDescent="0.2">
      <c r="B120" s="84"/>
      <c r="C120" s="84"/>
      <c r="D120" s="84"/>
      <c r="E120" s="85"/>
      <c r="F120" s="84"/>
    </row>
    <row r="121" spans="2:6" s="86" customFormat="1" ht="12.75" x14ac:dyDescent="0.2">
      <c r="B121" s="84"/>
      <c r="C121" s="84"/>
      <c r="D121" s="84"/>
      <c r="E121" s="85"/>
      <c r="F121" s="84"/>
    </row>
    <row r="122" spans="2:6" s="86" customFormat="1" ht="12.75" x14ac:dyDescent="0.2">
      <c r="B122" s="84"/>
      <c r="C122" s="84"/>
      <c r="D122" s="84"/>
      <c r="E122" s="85"/>
      <c r="F122" s="84"/>
    </row>
    <row r="123" spans="2:6" s="86" customFormat="1" ht="12.75" x14ac:dyDescent="0.2">
      <c r="B123" s="84"/>
      <c r="C123" s="84"/>
      <c r="D123" s="84"/>
      <c r="E123" s="85"/>
      <c r="F123" s="84"/>
    </row>
    <row r="124" spans="2:6" s="86" customFormat="1" ht="12.75" x14ac:dyDescent="0.2">
      <c r="B124" s="84"/>
      <c r="C124" s="84"/>
      <c r="D124" s="84"/>
      <c r="E124" s="85"/>
      <c r="F124" s="84"/>
    </row>
    <row r="125" spans="2:6" s="86" customFormat="1" ht="12.75" x14ac:dyDescent="0.2">
      <c r="B125" s="84"/>
      <c r="C125" s="84"/>
      <c r="D125" s="84"/>
      <c r="E125" s="85"/>
      <c r="F125" s="84"/>
    </row>
    <row r="126" spans="2:6" s="86" customFormat="1" ht="12.75" x14ac:dyDescent="0.2">
      <c r="B126" s="84"/>
      <c r="C126" s="84"/>
      <c r="D126" s="84"/>
      <c r="E126" s="85"/>
      <c r="F126" s="84"/>
    </row>
    <row r="127" spans="2:6" s="86" customFormat="1" ht="12.75" x14ac:dyDescent="0.2">
      <c r="B127" s="84"/>
      <c r="C127" s="84"/>
      <c r="D127" s="84"/>
      <c r="E127" s="85"/>
      <c r="F127" s="84"/>
    </row>
    <row r="128" spans="2:6" s="86" customFormat="1" ht="12.75" x14ac:dyDescent="0.2">
      <c r="B128" s="84"/>
      <c r="C128" s="84"/>
      <c r="D128" s="84"/>
      <c r="E128" s="85"/>
      <c r="F128" s="84"/>
    </row>
    <row r="129" spans="2:6" s="86" customFormat="1" ht="12.75" x14ac:dyDescent="0.2">
      <c r="B129" s="84"/>
      <c r="C129" s="84"/>
      <c r="D129" s="84"/>
      <c r="E129" s="85"/>
      <c r="F129" s="84"/>
    </row>
    <row r="130" spans="2:6" s="86" customFormat="1" ht="12.75" x14ac:dyDescent="0.2">
      <c r="B130" s="84"/>
      <c r="C130" s="84"/>
      <c r="D130" s="84"/>
      <c r="E130" s="85"/>
      <c r="F130" s="84"/>
    </row>
    <row r="131" spans="2:6" s="86" customFormat="1" ht="12.75" x14ac:dyDescent="0.2">
      <c r="B131" s="84"/>
      <c r="C131" s="84"/>
      <c r="D131" s="84"/>
      <c r="E131" s="85"/>
      <c r="F131" s="84"/>
    </row>
    <row r="132" spans="2:6" s="86" customFormat="1" ht="12.75" x14ac:dyDescent="0.2">
      <c r="B132" s="84"/>
      <c r="C132" s="84"/>
      <c r="D132" s="84"/>
      <c r="E132" s="85"/>
      <c r="F132" s="84"/>
    </row>
    <row r="133" spans="2:6" s="86" customFormat="1" ht="12.75" x14ac:dyDescent="0.2">
      <c r="B133" s="84"/>
      <c r="C133" s="84"/>
      <c r="D133" s="84"/>
      <c r="E133" s="85"/>
      <c r="F133" s="84"/>
    </row>
    <row r="134" spans="2:6" s="86" customFormat="1" ht="12.75" x14ac:dyDescent="0.2">
      <c r="B134" s="84"/>
      <c r="C134" s="84"/>
      <c r="D134" s="84"/>
      <c r="E134" s="85"/>
      <c r="F134" s="84"/>
    </row>
    <row r="135" spans="2:6" s="86" customFormat="1" ht="12.75" x14ac:dyDescent="0.2">
      <c r="B135" s="84"/>
      <c r="C135" s="84"/>
      <c r="D135" s="84"/>
      <c r="E135" s="85"/>
      <c r="F135" s="84"/>
    </row>
    <row r="136" spans="2:6" s="86" customFormat="1" ht="12.75" x14ac:dyDescent="0.2">
      <c r="B136" s="84"/>
      <c r="C136" s="84"/>
      <c r="D136" s="84"/>
      <c r="E136" s="85"/>
      <c r="F136" s="84"/>
    </row>
    <row r="137" spans="2:6" s="86" customFormat="1" ht="12.75" x14ac:dyDescent="0.2">
      <c r="B137" s="84"/>
      <c r="C137" s="84"/>
      <c r="D137" s="84"/>
      <c r="E137" s="85"/>
      <c r="F137" s="84"/>
    </row>
    <row r="138" spans="2:6" s="86" customFormat="1" ht="12.75" x14ac:dyDescent="0.2">
      <c r="B138" s="84"/>
      <c r="C138" s="84"/>
      <c r="D138" s="84"/>
      <c r="E138" s="85"/>
      <c r="F138" s="84"/>
    </row>
    <row r="139" spans="2:6" s="86" customFormat="1" ht="12.75" x14ac:dyDescent="0.2">
      <c r="B139" s="84"/>
      <c r="C139" s="84"/>
      <c r="D139" s="84"/>
      <c r="E139" s="85"/>
      <c r="F139" s="84"/>
    </row>
    <row r="140" spans="2:6" s="86" customFormat="1" ht="12.75" x14ac:dyDescent="0.2">
      <c r="B140" s="84"/>
      <c r="C140" s="84"/>
      <c r="D140" s="84"/>
      <c r="E140" s="85"/>
      <c r="F140" s="84"/>
    </row>
    <row r="141" spans="2:6" x14ac:dyDescent="0.2">
      <c r="B141" s="84"/>
      <c r="C141" s="84"/>
      <c r="D141" s="84"/>
      <c r="E141" s="85"/>
      <c r="F141" s="84"/>
    </row>
    <row r="142" spans="2:6" x14ac:dyDescent="0.2">
      <c r="B142" s="84"/>
      <c r="C142" s="84"/>
      <c r="D142" s="84"/>
      <c r="E142" s="85"/>
      <c r="F142" s="84"/>
    </row>
    <row r="143" spans="2:6" x14ac:dyDescent="0.2">
      <c r="B143" s="84"/>
      <c r="C143" s="84"/>
      <c r="D143" s="84"/>
      <c r="E143" s="85"/>
      <c r="F143" s="84"/>
    </row>
    <row r="144" spans="2:6" x14ac:dyDescent="0.2">
      <c r="B144" s="84"/>
      <c r="C144" s="84"/>
      <c r="D144" s="84"/>
      <c r="E144" s="85"/>
      <c r="F144" s="84"/>
    </row>
    <row r="145" spans="2:6" x14ac:dyDescent="0.2">
      <c r="B145" s="84"/>
      <c r="C145" s="84"/>
      <c r="D145" s="84"/>
      <c r="E145" s="85"/>
      <c r="F145" s="84"/>
    </row>
    <row r="146" spans="2:6" x14ac:dyDescent="0.2">
      <c r="B146" s="84"/>
      <c r="C146" s="84"/>
      <c r="D146" s="84"/>
      <c r="E146" s="85"/>
      <c r="F146" s="84"/>
    </row>
    <row r="147" spans="2:6" x14ac:dyDescent="0.2">
      <c r="B147" s="84"/>
      <c r="C147" s="84"/>
      <c r="D147" s="84"/>
      <c r="E147" s="85"/>
      <c r="F147" s="84"/>
    </row>
    <row r="148" spans="2:6" x14ac:dyDescent="0.2">
      <c r="B148" s="84"/>
      <c r="C148" s="84"/>
      <c r="D148" s="84"/>
      <c r="E148" s="85"/>
      <c r="F148" s="84"/>
    </row>
    <row r="149" spans="2:6" x14ac:dyDescent="0.2">
      <c r="B149" s="84"/>
      <c r="C149" s="84"/>
      <c r="D149" s="84"/>
      <c r="E149" s="85"/>
      <c r="F149" s="84"/>
    </row>
    <row r="150" spans="2:6" x14ac:dyDescent="0.2">
      <c r="B150" s="84"/>
      <c r="C150" s="84"/>
      <c r="D150" s="84"/>
      <c r="E150" s="85"/>
      <c r="F150" s="84"/>
    </row>
    <row r="151" spans="2:6" x14ac:dyDescent="0.2">
      <c r="B151" s="84"/>
      <c r="C151" s="84"/>
      <c r="D151" s="84"/>
      <c r="E151" s="85"/>
      <c r="F151" s="84"/>
    </row>
    <row r="152" spans="2:6" x14ac:dyDescent="0.2">
      <c r="B152" s="84"/>
      <c r="C152" s="84"/>
      <c r="D152" s="84"/>
      <c r="E152" s="85"/>
      <c r="F152" s="84"/>
    </row>
    <row r="153" spans="2:6" x14ac:dyDescent="0.2">
      <c r="B153" s="84"/>
      <c r="C153" s="84"/>
      <c r="D153" s="84"/>
      <c r="E153" s="85"/>
      <c r="F153" s="84"/>
    </row>
    <row r="154" spans="2:6" x14ac:dyDescent="0.2">
      <c r="B154" s="84"/>
      <c r="C154" s="84"/>
      <c r="D154" s="84"/>
      <c r="E154" s="85"/>
      <c r="F154" s="84"/>
    </row>
    <row r="155" spans="2:6" x14ac:dyDescent="0.2">
      <c r="B155" s="84"/>
      <c r="C155" s="84"/>
      <c r="D155" s="84"/>
      <c r="E155" s="85"/>
      <c r="F155" s="84"/>
    </row>
    <row r="156" spans="2:6" x14ac:dyDescent="0.2">
      <c r="B156" s="84"/>
      <c r="C156" s="84"/>
      <c r="D156" s="84"/>
      <c r="E156" s="85"/>
      <c r="F156" s="84"/>
    </row>
    <row r="157" spans="2:6" x14ac:dyDescent="0.2">
      <c r="B157" s="84"/>
      <c r="C157" s="84"/>
      <c r="D157" s="84"/>
      <c r="E157" s="85"/>
      <c r="F157" s="84"/>
    </row>
    <row r="158" spans="2:6" x14ac:dyDescent="0.2">
      <c r="B158" s="84"/>
      <c r="C158" s="84"/>
      <c r="D158" s="84"/>
      <c r="E158" s="85"/>
      <c r="F158" s="84"/>
    </row>
    <row r="159" spans="2:6" x14ac:dyDescent="0.2">
      <c r="B159" s="84"/>
      <c r="C159" s="84"/>
      <c r="D159" s="84"/>
      <c r="E159" s="85"/>
      <c r="F159" s="84"/>
    </row>
    <row r="160" spans="2:6" x14ac:dyDescent="0.2">
      <c r="B160" s="84"/>
      <c r="C160" s="84"/>
      <c r="D160" s="84"/>
      <c r="E160" s="85"/>
      <c r="F160" s="84"/>
    </row>
    <row r="161" spans="2:6" x14ac:dyDescent="0.2">
      <c r="B161" s="84"/>
      <c r="C161" s="84"/>
      <c r="D161" s="84"/>
      <c r="E161" s="85"/>
      <c r="F161" s="84"/>
    </row>
    <row r="162" spans="2:6" x14ac:dyDescent="0.2">
      <c r="B162" s="84"/>
      <c r="C162" s="84"/>
      <c r="D162" s="84"/>
      <c r="E162" s="85"/>
      <c r="F162" s="84"/>
    </row>
    <row r="163" spans="2:6" x14ac:dyDescent="0.2">
      <c r="B163" s="84"/>
      <c r="C163" s="84"/>
      <c r="D163" s="84"/>
      <c r="E163" s="85"/>
      <c r="F163" s="84"/>
    </row>
    <row r="164" spans="2:6" x14ac:dyDescent="0.2">
      <c r="B164" s="84"/>
      <c r="C164" s="84"/>
      <c r="D164" s="84"/>
      <c r="E164" s="85"/>
      <c r="F164" s="84"/>
    </row>
    <row r="165" spans="2:6" x14ac:dyDescent="0.2">
      <c r="B165" s="84"/>
      <c r="C165" s="84"/>
      <c r="D165" s="84"/>
      <c r="E165" s="85"/>
      <c r="F165" s="84"/>
    </row>
    <row r="166" spans="2:6" x14ac:dyDescent="0.2">
      <c r="B166" s="84"/>
      <c r="C166" s="84"/>
      <c r="D166" s="84"/>
      <c r="E166" s="85"/>
      <c r="F166" s="84"/>
    </row>
    <row r="167" spans="2:6" x14ac:dyDescent="0.2">
      <c r="B167" s="84"/>
      <c r="C167" s="84"/>
      <c r="D167" s="84"/>
      <c r="E167" s="85"/>
      <c r="F167" s="84"/>
    </row>
    <row r="168" spans="2:6" x14ac:dyDescent="0.2">
      <c r="B168" s="84"/>
      <c r="C168" s="84"/>
      <c r="D168" s="84"/>
      <c r="E168" s="85"/>
      <c r="F168" s="84"/>
    </row>
    <row r="169" spans="2:6" x14ac:dyDescent="0.2">
      <c r="B169" s="84"/>
      <c r="C169" s="84"/>
      <c r="D169" s="84"/>
      <c r="E169" s="85"/>
      <c r="F169" s="84"/>
    </row>
    <row r="170" spans="2:6" x14ac:dyDescent="0.2">
      <c r="B170" s="84"/>
      <c r="C170" s="84"/>
      <c r="D170" s="84"/>
      <c r="E170" s="85"/>
      <c r="F170" s="84"/>
    </row>
    <row r="171" spans="2:6" x14ac:dyDescent="0.2">
      <c r="B171" s="84"/>
      <c r="C171" s="84"/>
      <c r="D171" s="84"/>
      <c r="E171" s="85"/>
      <c r="F171" s="84"/>
    </row>
    <row r="172" spans="2:6" x14ac:dyDescent="0.2">
      <c r="B172" s="84"/>
      <c r="C172" s="84"/>
      <c r="D172" s="84"/>
      <c r="E172" s="85"/>
      <c r="F172" s="84"/>
    </row>
    <row r="173" spans="2:6" x14ac:dyDescent="0.2">
      <c r="B173" s="84"/>
      <c r="C173" s="84"/>
      <c r="D173" s="84"/>
      <c r="E173" s="85"/>
      <c r="F173" s="84"/>
    </row>
    <row r="174" spans="2:6" x14ac:dyDescent="0.2">
      <c r="B174" s="84"/>
      <c r="C174" s="84"/>
      <c r="D174" s="84"/>
      <c r="E174" s="85"/>
      <c r="F174" s="84"/>
    </row>
    <row r="175" spans="2:6" x14ac:dyDescent="0.2">
      <c r="B175" s="84"/>
      <c r="C175" s="84"/>
      <c r="D175" s="84"/>
      <c r="E175" s="85"/>
      <c r="F175" s="84"/>
    </row>
    <row r="176" spans="2:6" x14ac:dyDescent="0.2">
      <c r="B176" s="84"/>
      <c r="C176" s="84"/>
      <c r="D176" s="84"/>
      <c r="E176" s="85"/>
      <c r="F176" s="84"/>
    </row>
    <row r="177" spans="2:6" x14ac:dyDescent="0.2">
      <c r="B177" s="84"/>
      <c r="C177" s="84"/>
      <c r="D177" s="84"/>
      <c r="E177" s="85"/>
      <c r="F177" s="84"/>
    </row>
    <row r="178" spans="2:6" x14ac:dyDescent="0.2">
      <c r="B178" s="84"/>
      <c r="C178" s="84"/>
      <c r="D178" s="84"/>
      <c r="E178" s="85"/>
      <c r="F178" s="84"/>
    </row>
    <row r="179" spans="2:6" x14ac:dyDescent="0.2">
      <c r="B179" s="84"/>
      <c r="C179" s="84"/>
      <c r="D179" s="84"/>
      <c r="E179" s="85"/>
      <c r="F179" s="84"/>
    </row>
    <row r="180" spans="2:6" x14ac:dyDescent="0.2">
      <c r="B180" s="84"/>
      <c r="C180" s="84"/>
      <c r="D180" s="84"/>
      <c r="E180" s="85"/>
      <c r="F180" s="84"/>
    </row>
    <row r="181" spans="2:6" x14ac:dyDescent="0.2">
      <c r="B181" s="84"/>
      <c r="C181" s="84"/>
      <c r="D181" s="84"/>
      <c r="E181" s="85"/>
      <c r="F181" s="84"/>
    </row>
    <row r="182" spans="2:6" x14ac:dyDescent="0.2">
      <c r="B182" s="84"/>
      <c r="C182" s="84"/>
      <c r="D182" s="84"/>
      <c r="E182" s="85"/>
      <c r="F182" s="84"/>
    </row>
    <row r="183" spans="2:6" x14ac:dyDescent="0.2">
      <c r="B183" s="84"/>
      <c r="C183" s="84"/>
      <c r="D183" s="84"/>
      <c r="E183" s="85"/>
      <c r="F183" s="84"/>
    </row>
    <row r="184" spans="2:6" x14ac:dyDescent="0.2">
      <c r="B184" s="84"/>
      <c r="C184" s="84"/>
      <c r="D184" s="84"/>
      <c r="E184" s="85"/>
      <c r="F184" s="84"/>
    </row>
    <row r="185" spans="2:6" x14ac:dyDescent="0.2">
      <c r="B185" s="84"/>
      <c r="C185" s="84"/>
      <c r="D185" s="84"/>
      <c r="E185" s="85"/>
      <c r="F185" s="84"/>
    </row>
    <row r="186" spans="2:6" x14ac:dyDescent="0.2">
      <c r="B186" s="84"/>
      <c r="C186" s="84"/>
      <c r="D186" s="84"/>
      <c r="E186" s="85"/>
      <c r="F186" s="84"/>
    </row>
    <row r="187" spans="2:6" x14ac:dyDescent="0.2">
      <c r="B187" s="84"/>
      <c r="C187" s="84"/>
      <c r="D187" s="84"/>
      <c r="E187" s="85"/>
      <c r="F187" s="84"/>
    </row>
    <row r="188" spans="2:6" x14ac:dyDescent="0.2">
      <c r="B188" s="84"/>
      <c r="C188" s="84"/>
      <c r="D188" s="84"/>
      <c r="E188" s="85"/>
      <c r="F188" s="84"/>
    </row>
    <row r="189" spans="2:6" x14ac:dyDescent="0.2">
      <c r="B189" s="84"/>
      <c r="C189" s="84"/>
      <c r="D189" s="84"/>
      <c r="E189" s="85"/>
      <c r="F189" s="84"/>
    </row>
    <row r="190" spans="2:6" x14ac:dyDescent="0.2">
      <c r="B190" s="84"/>
      <c r="C190" s="84"/>
      <c r="D190" s="84"/>
      <c r="E190" s="85"/>
      <c r="F190" s="84"/>
    </row>
    <row r="191" spans="2:6" x14ac:dyDescent="0.2">
      <c r="B191" s="84"/>
      <c r="C191" s="84"/>
      <c r="D191" s="84"/>
      <c r="E191" s="85"/>
      <c r="F191" s="84"/>
    </row>
    <row r="192" spans="2:6" x14ac:dyDescent="0.2">
      <c r="B192" s="84"/>
      <c r="C192" s="84"/>
      <c r="D192" s="84"/>
      <c r="E192" s="85"/>
      <c r="F192" s="84"/>
    </row>
    <row r="193" spans="2:6" x14ac:dyDescent="0.2">
      <c r="B193" s="84"/>
      <c r="C193" s="84"/>
      <c r="D193" s="84"/>
      <c r="E193" s="85"/>
      <c r="F193" s="84"/>
    </row>
    <row r="194" spans="2:6" x14ac:dyDescent="0.2">
      <c r="B194" s="84"/>
      <c r="C194" s="84"/>
      <c r="D194" s="84"/>
      <c r="E194" s="85"/>
      <c r="F194" s="84"/>
    </row>
    <row r="195" spans="2:6" x14ac:dyDescent="0.2">
      <c r="B195" s="84"/>
      <c r="C195" s="84"/>
      <c r="D195" s="84"/>
      <c r="E195" s="85"/>
      <c r="F195" s="84"/>
    </row>
    <row r="196" spans="2:6" x14ac:dyDescent="0.2">
      <c r="B196" s="84"/>
      <c r="C196" s="84"/>
      <c r="D196" s="84"/>
      <c r="E196" s="85"/>
      <c r="F196" s="84"/>
    </row>
    <row r="197" spans="2:6" x14ac:dyDescent="0.2">
      <c r="B197" s="84"/>
      <c r="C197" s="84"/>
      <c r="D197" s="84"/>
      <c r="E197" s="85"/>
      <c r="F197" s="84"/>
    </row>
    <row r="198" spans="2:6" x14ac:dyDescent="0.2">
      <c r="B198" s="84"/>
      <c r="C198" s="84"/>
      <c r="D198" s="84"/>
      <c r="E198" s="85"/>
      <c r="F198" s="84"/>
    </row>
    <row r="199" spans="2:6" x14ac:dyDescent="0.2">
      <c r="B199" s="84"/>
      <c r="C199" s="84"/>
      <c r="D199" s="84"/>
      <c r="E199" s="85"/>
      <c r="F199" s="84"/>
    </row>
    <row r="200" spans="2:6" x14ac:dyDescent="0.2">
      <c r="B200" s="84"/>
      <c r="C200" s="84"/>
      <c r="D200" s="84"/>
      <c r="E200" s="85"/>
      <c r="F200" s="84"/>
    </row>
    <row r="201" spans="2:6" x14ac:dyDescent="0.2">
      <c r="B201" s="84"/>
      <c r="C201" s="84"/>
      <c r="D201" s="84"/>
      <c r="E201" s="85"/>
      <c r="F201" s="84"/>
    </row>
    <row r="202" spans="2:6" x14ac:dyDescent="0.2">
      <c r="B202" s="84"/>
      <c r="C202" s="84"/>
      <c r="D202" s="84"/>
      <c r="E202" s="85"/>
      <c r="F202" s="84"/>
    </row>
    <row r="203" spans="2:6" x14ac:dyDescent="0.2">
      <c r="B203" s="84"/>
      <c r="C203" s="84"/>
      <c r="D203" s="84"/>
      <c r="E203" s="85"/>
      <c r="F203" s="84"/>
    </row>
    <row r="204" spans="2:6" x14ac:dyDescent="0.2">
      <c r="B204" s="84"/>
      <c r="C204" s="84"/>
      <c r="D204" s="84"/>
      <c r="E204" s="85"/>
      <c r="F204" s="84"/>
    </row>
    <row r="205" spans="2:6" x14ac:dyDescent="0.2">
      <c r="B205" s="84"/>
      <c r="C205" s="84"/>
      <c r="D205" s="84"/>
      <c r="E205" s="85"/>
      <c r="F205" s="84"/>
    </row>
    <row r="206" spans="2:6" x14ac:dyDescent="0.2">
      <c r="B206" s="84"/>
      <c r="C206" s="84"/>
      <c r="D206" s="84"/>
      <c r="E206" s="85"/>
      <c r="F206" s="84"/>
    </row>
    <row r="207" spans="2:6" x14ac:dyDescent="0.2">
      <c r="B207" s="84"/>
      <c r="C207" s="84"/>
      <c r="D207" s="84"/>
      <c r="E207" s="85"/>
      <c r="F207" s="84"/>
    </row>
    <row r="208" spans="2:6" x14ac:dyDescent="0.2">
      <c r="B208" s="84"/>
      <c r="C208" s="84"/>
      <c r="D208" s="84"/>
      <c r="E208" s="85"/>
      <c r="F208" s="84"/>
    </row>
    <row r="209" spans="2:6" x14ac:dyDescent="0.2">
      <c r="B209" s="84"/>
      <c r="C209" s="84"/>
      <c r="D209" s="84"/>
      <c r="E209" s="85"/>
      <c r="F209" s="84"/>
    </row>
    <row r="210" spans="2:6" x14ac:dyDescent="0.2">
      <c r="B210" s="84"/>
      <c r="C210" s="84"/>
      <c r="D210" s="84"/>
      <c r="E210" s="85"/>
      <c r="F210" s="84"/>
    </row>
    <row r="211" spans="2:6" x14ac:dyDescent="0.2">
      <c r="B211" s="84"/>
      <c r="C211" s="84"/>
      <c r="D211" s="84"/>
      <c r="E211" s="85"/>
      <c r="F211" s="84"/>
    </row>
    <row r="212" spans="2:6" x14ac:dyDescent="0.2">
      <c r="B212" s="84"/>
      <c r="C212" s="84"/>
      <c r="D212" s="84"/>
      <c r="E212" s="85"/>
      <c r="F212" s="84"/>
    </row>
    <row r="213" spans="2:6" x14ac:dyDescent="0.2">
      <c r="B213" s="84"/>
      <c r="C213" s="84"/>
      <c r="D213" s="84"/>
      <c r="E213" s="85"/>
      <c r="F213" s="84"/>
    </row>
    <row r="214" spans="2:6" x14ac:dyDescent="0.2">
      <c r="B214" s="84"/>
      <c r="C214" s="84"/>
      <c r="D214" s="84"/>
      <c r="E214" s="85"/>
      <c r="F214" s="84"/>
    </row>
    <row r="215" spans="2:6" x14ac:dyDescent="0.2">
      <c r="B215" s="84"/>
      <c r="C215" s="84"/>
      <c r="D215" s="84"/>
      <c r="E215" s="85"/>
      <c r="F215" s="84"/>
    </row>
    <row r="216" spans="2:6" x14ac:dyDescent="0.2">
      <c r="B216" s="84"/>
      <c r="C216" s="84"/>
      <c r="D216" s="84"/>
      <c r="E216" s="85"/>
      <c r="F216" s="84"/>
    </row>
    <row r="217" spans="2:6" x14ac:dyDescent="0.2">
      <c r="B217" s="84"/>
      <c r="C217" s="84"/>
      <c r="D217" s="84"/>
      <c r="E217" s="85"/>
      <c r="F217" s="84"/>
    </row>
    <row r="218" spans="2:6" x14ac:dyDescent="0.2">
      <c r="B218" s="84"/>
      <c r="C218" s="84"/>
      <c r="D218" s="84"/>
      <c r="E218" s="85"/>
      <c r="F218" s="84"/>
    </row>
    <row r="219" spans="2:6" x14ac:dyDescent="0.2">
      <c r="B219" s="84"/>
      <c r="C219" s="84"/>
      <c r="D219" s="84"/>
      <c r="E219" s="85"/>
      <c r="F219" s="84"/>
    </row>
    <row r="220" spans="2:6" x14ac:dyDescent="0.2">
      <c r="B220" s="84"/>
      <c r="C220" s="84"/>
      <c r="D220" s="84"/>
      <c r="E220" s="85"/>
      <c r="F220" s="84"/>
    </row>
    <row r="221" spans="2:6" x14ac:dyDescent="0.2">
      <c r="B221" s="84"/>
      <c r="C221" s="84"/>
      <c r="D221" s="84"/>
      <c r="E221" s="85"/>
      <c r="F221" s="84"/>
    </row>
    <row r="222" spans="2:6" x14ac:dyDescent="0.2">
      <c r="B222" s="84"/>
      <c r="C222" s="84"/>
      <c r="D222" s="84"/>
      <c r="E222" s="85"/>
      <c r="F222" s="84"/>
    </row>
    <row r="223" spans="2:6" x14ac:dyDescent="0.2">
      <c r="B223" s="84"/>
      <c r="C223" s="84"/>
      <c r="D223" s="84"/>
      <c r="E223" s="85"/>
      <c r="F223" s="84"/>
    </row>
    <row r="224" spans="2:6" x14ac:dyDescent="0.2">
      <c r="B224" s="84"/>
      <c r="C224" s="84"/>
      <c r="D224" s="84"/>
      <c r="E224" s="85"/>
      <c r="F224" s="84"/>
    </row>
    <row r="225" spans="2:6" x14ac:dyDescent="0.2">
      <c r="B225" s="84"/>
      <c r="C225" s="84"/>
      <c r="D225" s="84"/>
      <c r="E225" s="85"/>
      <c r="F225" s="84"/>
    </row>
    <row r="226" spans="2:6" x14ac:dyDescent="0.2">
      <c r="B226" s="84"/>
      <c r="C226" s="84"/>
      <c r="D226" s="84"/>
      <c r="E226" s="85"/>
      <c r="F226" s="84"/>
    </row>
    <row r="227" spans="2:6" x14ac:dyDescent="0.2">
      <c r="B227" s="84"/>
      <c r="C227" s="84"/>
      <c r="D227" s="84"/>
      <c r="E227" s="85"/>
      <c r="F227" s="84"/>
    </row>
    <row r="228" spans="2:6" x14ac:dyDescent="0.2">
      <c r="B228" s="84"/>
      <c r="C228" s="84"/>
      <c r="D228" s="84"/>
      <c r="E228" s="85"/>
      <c r="F228" s="84"/>
    </row>
    <row r="229" spans="2:6" x14ac:dyDescent="0.2">
      <c r="B229" s="84"/>
      <c r="C229" s="84"/>
      <c r="D229" s="84"/>
      <c r="E229" s="85"/>
      <c r="F229" s="84"/>
    </row>
    <row r="230" spans="2:6" x14ac:dyDescent="0.2">
      <c r="B230" s="84"/>
      <c r="C230" s="84"/>
      <c r="D230" s="84"/>
      <c r="E230" s="85"/>
      <c r="F230" s="84"/>
    </row>
    <row r="231" spans="2:6" x14ac:dyDescent="0.2">
      <c r="B231" s="84"/>
      <c r="C231" s="84"/>
      <c r="D231" s="84"/>
      <c r="E231" s="85"/>
      <c r="F231" s="84"/>
    </row>
    <row r="232" spans="2:6" x14ac:dyDescent="0.2">
      <c r="B232" s="84"/>
      <c r="C232" s="84"/>
      <c r="D232" s="84"/>
      <c r="E232" s="85"/>
      <c r="F232" s="84"/>
    </row>
    <row r="233" spans="2:6" x14ac:dyDescent="0.2">
      <c r="B233" s="84"/>
      <c r="C233" s="84"/>
      <c r="D233" s="84"/>
      <c r="E233" s="85"/>
      <c r="F233" s="84"/>
    </row>
    <row r="234" spans="2:6" x14ac:dyDescent="0.2">
      <c r="B234" s="84"/>
      <c r="C234" s="84"/>
      <c r="D234" s="84"/>
      <c r="E234" s="85"/>
      <c r="F234" s="84"/>
    </row>
    <row r="235" spans="2:6" x14ac:dyDescent="0.2">
      <c r="B235" s="84"/>
      <c r="C235" s="84"/>
      <c r="D235" s="84"/>
      <c r="E235" s="85"/>
      <c r="F235" s="84"/>
    </row>
    <row r="236" spans="2:6" x14ac:dyDescent="0.2">
      <c r="B236" s="84"/>
      <c r="C236" s="84"/>
      <c r="D236" s="84"/>
      <c r="E236" s="85"/>
      <c r="F236" s="84"/>
    </row>
    <row r="237" spans="2:6" x14ac:dyDescent="0.2">
      <c r="B237" s="84"/>
      <c r="C237" s="84"/>
      <c r="D237" s="84"/>
      <c r="E237" s="85"/>
      <c r="F237" s="84"/>
    </row>
    <row r="238" spans="2:6" x14ac:dyDescent="0.2">
      <c r="B238" s="84"/>
      <c r="C238" s="84"/>
      <c r="D238" s="84"/>
      <c r="E238" s="85"/>
      <c r="F238" s="84"/>
    </row>
    <row r="239" spans="2:6" x14ac:dyDescent="0.2">
      <c r="B239" s="84"/>
      <c r="C239" s="84"/>
      <c r="D239" s="84"/>
      <c r="E239" s="85"/>
      <c r="F239" s="84"/>
    </row>
    <row r="240" spans="2:6" x14ac:dyDescent="0.2">
      <c r="B240" s="84"/>
      <c r="C240" s="84"/>
      <c r="D240" s="84"/>
      <c r="E240" s="85"/>
      <c r="F240" s="84"/>
    </row>
    <row r="241" spans="2:6" x14ac:dyDescent="0.2">
      <c r="B241" s="84"/>
      <c r="C241" s="84"/>
      <c r="D241" s="84"/>
      <c r="E241" s="85"/>
      <c r="F241" s="84"/>
    </row>
    <row r="242" spans="2:6" x14ac:dyDescent="0.2">
      <c r="B242" s="84"/>
      <c r="C242" s="84"/>
      <c r="D242" s="84"/>
      <c r="E242" s="85"/>
      <c r="F242" s="84"/>
    </row>
    <row r="243" spans="2:6" x14ac:dyDescent="0.2">
      <c r="B243" s="84"/>
      <c r="C243" s="84"/>
      <c r="D243" s="84"/>
      <c r="E243" s="85"/>
      <c r="F243" s="84"/>
    </row>
    <row r="244" spans="2:6" x14ac:dyDescent="0.2">
      <c r="B244" s="84"/>
      <c r="C244" s="84"/>
      <c r="D244" s="84"/>
      <c r="E244" s="85"/>
      <c r="F244" s="84"/>
    </row>
    <row r="245" spans="2:6" x14ac:dyDescent="0.2">
      <c r="B245" s="84"/>
      <c r="C245" s="84"/>
      <c r="D245" s="84"/>
      <c r="E245" s="85"/>
      <c r="F245" s="84"/>
    </row>
    <row r="246" spans="2:6" x14ac:dyDescent="0.2">
      <c r="B246" s="84"/>
      <c r="C246" s="84"/>
      <c r="D246" s="84"/>
      <c r="E246" s="85"/>
      <c r="F246" s="84"/>
    </row>
    <row r="247" spans="2:6" x14ac:dyDescent="0.2">
      <c r="B247" s="84"/>
      <c r="C247" s="84"/>
      <c r="D247" s="84"/>
      <c r="E247" s="85"/>
      <c r="F247" s="84"/>
    </row>
    <row r="248" spans="2:6" x14ac:dyDescent="0.2">
      <c r="B248" s="84"/>
      <c r="C248" s="84"/>
      <c r="D248" s="84"/>
      <c r="E248" s="85"/>
      <c r="F248" s="84"/>
    </row>
    <row r="249" spans="2:6" x14ac:dyDescent="0.2">
      <c r="B249" s="84"/>
      <c r="C249" s="84"/>
      <c r="D249" s="84"/>
      <c r="E249" s="85"/>
      <c r="F249" s="84"/>
    </row>
    <row r="250" spans="2:6" x14ac:dyDescent="0.2">
      <c r="B250" s="84"/>
      <c r="C250" s="84"/>
      <c r="D250" s="84"/>
      <c r="E250" s="85"/>
      <c r="F250" s="84"/>
    </row>
    <row r="251" spans="2:6" x14ac:dyDescent="0.2">
      <c r="B251" s="84"/>
      <c r="C251" s="84"/>
      <c r="D251" s="84"/>
      <c r="E251" s="85"/>
      <c r="F251" s="84"/>
    </row>
    <row r="252" spans="2:6" x14ac:dyDescent="0.2">
      <c r="B252" s="84"/>
      <c r="C252" s="84"/>
      <c r="D252" s="84"/>
      <c r="E252" s="85"/>
      <c r="F252" s="84"/>
    </row>
    <row r="253" spans="2:6" x14ac:dyDescent="0.2">
      <c r="B253" s="84"/>
      <c r="C253" s="84"/>
      <c r="D253" s="84"/>
      <c r="E253" s="85"/>
      <c r="F253" s="84"/>
    </row>
    <row r="254" spans="2:6" x14ac:dyDescent="0.2">
      <c r="B254" s="84"/>
      <c r="C254" s="84"/>
      <c r="D254" s="84"/>
      <c r="E254" s="85"/>
      <c r="F254" s="84"/>
    </row>
    <row r="255" spans="2:6" x14ac:dyDescent="0.2">
      <c r="B255" s="84"/>
      <c r="C255" s="84"/>
      <c r="D255" s="84"/>
      <c r="E255" s="85"/>
      <c r="F255" s="84"/>
    </row>
    <row r="256" spans="2:6" x14ac:dyDescent="0.2">
      <c r="B256" s="84"/>
      <c r="C256" s="84"/>
      <c r="D256" s="84"/>
      <c r="E256" s="85"/>
      <c r="F256" s="84"/>
    </row>
    <row r="257" spans="2:6" x14ac:dyDescent="0.2">
      <c r="B257" s="84"/>
      <c r="C257" s="84"/>
      <c r="D257" s="84"/>
      <c r="E257" s="85"/>
      <c r="F257" s="84"/>
    </row>
    <row r="258" spans="2:6" x14ac:dyDescent="0.2">
      <c r="B258" s="84"/>
      <c r="C258" s="84"/>
      <c r="D258" s="84"/>
      <c r="E258" s="85"/>
      <c r="F258" s="84"/>
    </row>
    <row r="259" spans="2:6" x14ac:dyDescent="0.2">
      <c r="B259" s="84"/>
      <c r="C259" s="84"/>
      <c r="D259" s="84"/>
      <c r="E259" s="85"/>
      <c r="F259" s="84"/>
    </row>
    <row r="260" spans="2:6" x14ac:dyDescent="0.2">
      <c r="B260" s="84"/>
      <c r="C260" s="84"/>
      <c r="D260" s="84"/>
      <c r="E260" s="85"/>
      <c r="F260" s="84"/>
    </row>
    <row r="261" spans="2:6" x14ac:dyDescent="0.2">
      <c r="B261" s="84"/>
      <c r="C261" s="84"/>
      <c r="D261" s="84"/>
      <c r="E261" s="85"/>
      <c r="F261" s="84"/>
    </row>
    <row r="262" spans="2:6" x14ac:dyDescent="0.2">
      <c r="B262" s="84"/>
      <c r="C262" s="84"/>
      <c r="D262" s="84"/>
      <c r="E262" s="85"/>
      <c r="F262" s="84"/>
    </row>
    <row r="263" spans="2:6" x14ac:dyDescent="0.2">
      <c r="B263" s="84"/>
      <c r="C263" s="84"/>
      <c r="D263" s="84"/>
      <c r="E263" s="85"/>
      <c r="F263" s="84"/>
    </row>
    <row r="264" spans="2:6" x14ac:dyDescent="0.2">
      <c r="B264" s="84"/>
      <c r="C264" s="84"/>
      <c r="D264" s="84"/>
      <c r="E264" s="85"/>
      <c r="F264" s="84"/>
    </row>
    <row r="265" spans="2:6" x14ac:dyDescent="0.2">
      <c r="B265" s="84"/>
      <c r="C265" s="84"/>
      <c r="D265" s="84"/>
      <c r="E265" s="85"/>
      <c r="F265" s="84"/>
    </row>
    <row r="266" spans="2:6" x14ac:dyDescent="0.2">
      <c r="B266" s="84"/>
      <c r="C266" s="84"/>
      <c r="D266" s="84"/>
      <c r="E266" s="85"/>
      <c r="F266" s="84"/>
    </row>
    <row r="267" spans="2:6" x14ac:dyDescent="0.2">
      <c r="B267" s="84"/>
      <c r="C267" s="84"/>
      <c r="D267" s="84"/>
      <c r="E267" s="85"/>
      <c r="F267" s="84"/>
    </row>
    <row r="268" spans="2:6" x14ac:dyDescent="0.2">
      <c r="B268" s="84"/>
      <c r="C268" s="84"/>
      <c r="D268" s="84"/>
      <c r="E268" s="85"/>
      <c r="F268" s="84"/>
    </row>
    <row r="269" spans="2:6" x14ac:dyDescent="0.2">
      <c r="B269" s="84"/>
      <c r="C269" s="84"/>
      <c r="D269" s="84"/>
      <c r="E269" s="85"/>
      <c r="F269" s="84"/>
    </row>
    <row r="270" spans="2:6" x14ac:dyDescent="0.2">
      <c r="B270" s="84"/>
      <c r="C270" s="84"/>
      <c r="D270" s="84"/>
      <c r="E270" s="85"/>
      <c r="F270" s="84"/>
    </row>
    <row r="271" spans="2:6" x14ac:dyDescent="0.2">
      <c r="B271" s="84"/>
      <c r="C271" s="84"/>
      <c r="D271" s="84"/>
      <c r="E271" s="85"/>
      <c r="F271" s="84"/>
    </row>
    <row r="272" spans="2:6" x14ac:dyDescent="0.2">
      <c r="B272" s="84"/>
      <c r="C272" s="84"/>
      <c r="D272" s="84"/>
      <c r="E272" s="85"/>
      <c r="F272" s="84"/>
    </row>
    <row r="273" spans="2:6" x14ac:dyDescent="0.2">
      <c r="B273" s="84"/>
      <c r="C273" s="84"/>
      <c r="D273" s="84"/>
      <c r="E273" s="85"/>
      <c r="F273" s="84"/>
    </row>
    <row r="274" spans="2:6" x14ac:dyDescent="0.2">
      <c r="B274" s="84"/>
      <c r="C274" s="84"/>
      <c r="D274" s="84"/>
      <c r="E274" s="85"/>
      <c r="F274" s="84"/>
    </row>
    <row r="275" spans="2:6" x14ac:dyDescent="0.2">
      <c r="B275" s="84"/>
      <c r="C275" s="84"/>
      <c r="D275" s="84"/>
      <c r="E275" s="85"/>
      <c r="F275" s="84"/>
    </row>
  </sheetData>
  <sheetProtection formatCells="0" formatColumns="0" formatRows="0" insertRows="0" deleteRows="0"/>
  <mergeCells count="1">
    <mergeCell ref="B7:E7"/>
  </mergeCells>
  <dataValidations count="2">
    <dataValidation type="list" allowBlank="1" showInputMessage="1" showErrorMessage="1" sqref="B108:B275" xr:uid="{1E31C87A-8811-49DC-9BF7-588C65321EA3}">
      <formula1>"Project-Wide, Write-Off"</formula1>
    </dataValidation>
    <dataValidation type="list" allowBlank="1" showInputMessage="1" showErrorMessage="1" sqref="B12:B107" xr:uid="{FF04C1E5-52F8-48C6-B8FB-1E13263E11B8}">
      <formula1>"Project-Wide, Write-Off, Contractor Cost Breakdown"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5D8CF09-527E-4ADE-9EEB-F492D9DA5D07}">
          <x14:formula1>
            <xm:f>OFFSET(Cost_Item!$A$1,VLOOKUP($C12,Cost_Item!$A:$G,6,FALSE)-1,1,VLOOKUP($C12,Cost_Item!$A:$G,7,FALSE),1)</xm:f>
          </x14:formula1>
          <xm:sqref>E14 D12:D275</xm:sqref>
        </x14:dataValidation>
        <x14:dataValidation type="list" allowBlank="1" showInputMessage="1" xr:uid="{6BA5F468-8C4F-4ADB-9FFF-798A3D589BA6}">
          <x14:formula1>
            <xm:f>Cost_Category!$A:$A</xm:f>
          </x14:formula1>
          <xm:sqref>C12:C275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E60B-044E-450E-BFEE-038EAD26D14F}">
  <sheetPr codeName="Sht_Renew"/>
  <dimension ref="B1:AJ211"/>
  <sheetViews>
    <sheetView showGridLines="0" zoomScaleNormal="100" workbookViewId="0">
      <selection activeCell="C13" sqref="C13"/>
    </sheetView>
  </sheetViews>
  <sheetFormatPr defaultRowHeight="14.25" x14ac:dyDescent="0.2"/>
  <cols>
    <col min="1" max="1" width="1.75" customWidth="1"/>
    <col min="2" max="2" width="14.625" customWidth="1"/>
    <col min="3" max="3" width="19.75" customWidth="1"/>
    <col min="4" max="4" width="17.375" customWidth="1"/>
    <col min="5" max="5" width="15" customWidth="1"/>
    <col min="6" max="6" width="13.625" customWidth="1"/>
    <col min="7" max="7" width="13.125" customWidth="1"/>
    <col min="8" max="8" width="14.625" customWidth="1"/>
    <col min="9" max="9" width="12" customWidth="1"/>
    <col min="10" max="10" width="11" bestFit="1" customWidth="1"/>
    <col min="11" max="11" width="14" bestFit="1" customWidth="1"/>
    <col min="12" max="12" width="14" customWidth="1"/>
    <col min="13" max="13" width="11.625" style="57" customWidth="1"/>
    <col min="14" max="14" width="12.125" style="57" bestFit="1" customWidth="1"/>
    <col min="15" max="15" width="13.375" style="57" customWidth="1"/>
    <col min="16" max="16" width="12.25" customWidth="1"/>
    <col min="17" max="17" width="11.75" customWidth="1"/>
    <col min="18" max="18" width="25.125" customWidth="1"/>
    <col min="19" max="19" width="14.125" customWidth="1"/>
    <col min="20" max="21" width="12.125" customWidth="1"/>
    <col min="22" max="23" width="10.375" style="120" customWidth="1"/>
    <col min="24" max="25" width="11.125" customWidth="1"/>
    <col min="26" max="26" width="10.375" customWidth="1"/>
    <col min="27" max="27" width="27.5" customWidth="1"/>
    <col min="28" max="28" width="11.125" customWidth="1"/>
    <col min="29" max="29" width="27.5" customWidth="1"/>
    <col min="30" max="30" width="10.375" customWidth="1"/>
    <col min="31" max="31" width="13.25" customWidth="1"/>
    <col min="32" max="32" width="11.5" customWidth="1"/>
    <col min="33" max="33" width="13.375" customWidth="1"/>
    <col min="34" max="34" width="12.25" customWidth="1"/>
    <col min="35" max="35" width="12" customWidth="1"/>
    <col min="36" max="36" width="13.375" customWidth="1"/>
  </cols>
  <sheetData>
    <row r="1" spans="2:36" ht="3" customHeight="1" x14ac:dyDescent="0.2">
      <c r="M1"/>
      <c r="N1"/>
      <c r="O1"/>
    </row>
    <row r="2" spans="2:36" ht="23.25" x14ac:dyDescent="0.2">
      <c r="B2" s="33" t="str">
        <f>"Project Asset Register - " &amp; PR_T1_Number &amp; " " &amp; PR_Project_Name</f>
        <v>Project Asset Register - Z123 Test</v>
      </c>
      <c r="C2" s="33"/>
      <c r="D2" s="33"/>
      <c r="E2" s="34"/>
      <c r="F2" s="34"/>
      <c r="G2" s="34"/>
      <c r="H2" s="34"/>
      <c r="I2" s="34"/>
      <c r="J2" s="34"/>
      <c r="K2" s="34"/>
      <c r="L2" s="34"/>
      <c r="M2" s="34"/>
      <c r="N2" s="34" t="s">
        <v>484</v>
      </c>
      <c r="O2" s="34"/>
      <c r="P2" s="34"/>
      <c r="Q2" s="34"/>
      <c r="R2" s="34"/>
      <c r="S2" s="34"/>
      <c r="T2" s="34"/>
      <c r="V2" s="121"/>
      <c r="W2" s="121"/>
      <c r="Z2" s="34"/>
      <c r="AA2" s="34"/>
      <c r="AB2" s="34"/>
      <c r="AC2" s="34"/>
      <c r="AD2" s="34"/>
      <c r="AE2" s="34"/>
    </row>
    <row r="3" spans="2:36" x14ac:dyDescent="0.2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68" t="s">
        <v>485</v>
      </c>
      <c r="O3" s="68"/>
      <c r="P3" s="68"/>
      <c r="Q3" s="71" t="s">
        <v>486</v>
      </c>
      <c r="R3" s="71"/>
      <c r="S3" s="71"/>
      <c r="T3" s="71"/>
      <c r="V3" s="121"/>
      <c r="W3" s="121"/>
      <c r="Z3" s="34"/>
      <c r="AA3" s="34"/>
      <c r="AB3" s="34"/>
      <c r="AC3" s="34"/>
      <c r="AD3" s="34"/>
      <c r="AE3" s="34"/>
    </row>
    <row r="4" spans="2:36" x14ac:dyDescent="0.2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67" t="s">
        <v>487</v>
      </c>
      <c r="O4" s="67"/>
      <c r="P4" s="67"/>
      <c r="Q4" s="34"/>
      <c r="R4" s="34"/>
      <c r="S4" s="34"/>
      <c r="T4" s="34"/>
      <c r="V4" s="121"/>
      <c r="W4" s="121"/>
      <c r="Z4" s="34"/>
      <c r="AA4" s="34"/>
      <c r="AB4" s="34"/>
      <c r="AC4" s="34"/>
      <c r="AD4" s="34"/>
      <c r="AE4" s="34"/>
    </row>
    <row r="5" spans="2:36" x14ac:dyDescent="0.2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69" t="s">
        <v>488</v>
      </c>
      <c r="O5" s="69"/>
      <c r="P5" s="69"/>
      <c r="Q5" s="34"/>
      <c r="R5" s="34"/>
      <c r="S5" s="34"/>
      <c r="T5" s="34"/>
      <c r="V5" s="121"/>
      <c r="W5" s="121"/>
      <c r="Z5" s="34"/>
      <c r="AA5" s="34"/>
      <c r="AB5" s="34"/>
      <c r="AC5" s="34"/>
      <c r="AD5" s="34"/>
      <c r="AE5" s="34"/>
    </row>
    <row r="6" spans="2:36" x14ac:dyDescent="0.2"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70" t="s">
        <v>489</v>
      </c>
      <c r="O6" s="70"/>
      <c r="P6" s="70"/>
      <c r="Q6" s="34"/>
      <c r="R6" s="34"/>
      <c r="S6" s="34"/>
      <c r="T6" s="34"/>
      <c r="V6" s="121"/>
      <c r="W6" s="121"/>
      <c r="Z6" s="34"/>
      <c r="AA6" s="34"/>
      <c r="AB6" s="34"/>
      <c r="AC6" s="34"/>
      <c r="AD6" s="34"/>
      <c r="AE6" s="34"/>
    </row>
    <row r="7" spans="2:36" ht="15.75" x14ac:dyDescent="0.25">
      <c r="B7" s="168" t="s">
        <v>950</v>
      </c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</row>
    <row r="8" spans="2:36" ht="15" x14ac:dyDescent="0.25">
      <c r="B8" s="10"/>
      <c r="C8" s="10"/>
      <c r="D8" s="10"/>
      <c r="E8" s="10"/>
      <c r="F8" s="10"/>
      <c r="G8" s="10"/>
      <c r="H8" s="10"/>
      <c r="I8" s="10"/>
      <c r="J8" s="9" t="s">
        <v>948</v>
      </c>
      <c r="K8" s="8">
        <f>SUM(K10:K142)</f>
        <v>0</v>
      </c>
      <c r="L8" s="8"/>
      <c r="M8" s="8"/>
      <c r="N8" s="8">
        <f>SUM(N10:N142)</f>
        <v>0</v>
      </c>
      <c r="O8" s="8">
        <f>SUM(O10:O142)</f>
        <v>0</v>
      </c>
      <c r="P8" s="10"/>
      <c r="Q8" s="10"/>
      <c r="R8" s="10"/>
      <c r="S8" s="10"/>
      <c r="T8" s="10"/>
      <c r="U8" s="10"/>
      <c r="V8" s="122"/>
      <c r="W8" s="122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8">
        <f>SUM(AH10:AH1008)</f>
        <v>0</v>
      </c>
      <c r="AI8" s="8">
        <f>SUM(AI10:AI1008)</f>
        <v>0</v>
      </c>
      <c r="AJ8" s="8">
        <f>SUM(AJ10:AJ1008)</f>
        <v>0</v>
      </c>
    </row>
    <row r="9" spans="2:36" s="2" customFormat="1" ht="51" x14ac:dyDescent="0.2">
      <c r="B9" s="77" t="s">
        <v>951</v>
      </c>
      <c r="C9" s="77" t="s">
        <v>952</v>
      </c>
      <c r="D9" s="77" t="s">
        <v>953</v>
      </c>
      <c r="E9" s="77" t="s">
        <v>954</v>
      </c>
      <c r="F9" s="77" t="s">
        <v>955</v>
      </c>
      <c r="G9" s="77" t="s">
        <v>956</v>
      </c>
      <c r="H9" s="77" t="s">
        <v>243</v>
      </c>
      <c r="I9" s="77" t="s">
        <v>957</v>
      </c>
      <c r="J9" s="77" t="s">
        <v>958</v>
      </c>
      <c r="K9" s="73" t="s">
        <v>959</v>
      </c>
      <c r="L9" s="75" t="s">
        <v>960</v>
      </c>
      <c r="M9" s="77" t="s">
        <v>961</v>
      </c>
      <c r="N9" s="73" t="s">
        <v>962</v>
      </c>
      <c r="O9" s="73" t="s">
        <v>963</v>
      </c>
      <c r="P9" s="77" t="s">
        <v>964</v>
      </c>
      <c r="Q9" s="77" t="s">
        <v>965</v>
      </c>
      <c r="R9" s="77" t="s">
        <v>966</v>
      </c>
      <c r="S9" s="77" t="s">
        <v>967</v>
      </c>
      <c r="T9" s="77" t="s">
        <v>968</v>
      </c>
      <c r="U9" s="77" t="s">
        <v>969</v>
      </c>
      <c r="V9" s="123" t="s">
        <v>970</v>
      </c>
      <c r="W9" s="123" t="s">
        <v>971</v>
      </c>
      <c r="X9" s="76" t="s">
        <v>972</v>
      </c>
      <c r="Y9" s="76" t="s">
        <v>973</v>
      </c>
      <c r="Z9" s="76" t="s">
        <v>974</v>
      </c>
      <c r="AA9" s="74" t="s">
        <v>935</v>
      </c>
      <c r="AB9" s="77" t="s">
        <v>975</v>
      </c>
      <c r="AC9" s="77" t="s">
        <v>976</v>
      </c>
      <c r="AD9" s="75" t="s">
        <v>977</v>
      </c>
      <c r="AE9" s="75" t="s">
        <v>978</v>
      </c>
      <c r="AF9" s="75" t="s">
        <v>979</v>
      </c>
      <c r="AG9" s="75" t="s">
        <v>980</v>
      </c>
      <c r="AH9" s="75" t="s">
        <v>981</v>
      </c>
      <c r="AI9" s="75" t="s">
        <v>982</v>
      </c>
      <c r="AJ9" s="75" t="s">
        <v>983</v>
      </c>
    </row>
    <row r="10" spans="2:36" s="3" customFormat="1" ht="12.75" x14ac:dyDescent="0.2">
      <c r="B10" s="47"/>
      <c r="C10" s="47"/>
      <c r="D10" s="47"/>
      <c r="E10" s="47"/>
      <c r="F10" s="47"/>
      <c r="G10" s="47"/>
      <c r="H10" s="47"/>
      <c r="I10" s="47"/>
      <c r="J10" s="48"/>
      <c r="K10" s="56">
        <f t="shared" ref="K10:K39" si="0">H10*J10</f>
        <v>0</v>
      </c>
      <c r="L10" s="93" t="str">
        <f>IFERROR(VLOOKUP($F10,SC_Component!$B:$C,2,FALSE),"")</f>
        <v/>
      </c>
      <c r="M10" s="58"/>
      <c r="N10" s="59">
        <f t="shared" ref="N10:N72" si="1">K10*M10</f>
        <v>0</v>
      </c>
      <c r="O10" s="59">
        <f t="shared" ref="O10:O72" si="2">K10*(1-M10)</f>
        <v>0</v>
      </c>
      <c r="P10" s="47"/>
      <c r="Q10" s="47"/>
      <c r="R10" s="47"/>
      <c r="S10" s="58"/>
      <c r="T10" s="47"/>
      <c r="U10" s="47"/>
      <c r="V10" s="119"/>
      <c r="W10" s="119"/>
      <c r="X10" s="47"/>
      <c r="Y10" s="47"/>
      <c r="Z10" s="47"/>
      <c r="AA10" s="47"/>
      <c r="AB10" s="47"/>
      <c r="AC10" s="47"/>
      <c r="AD10" s="93" t="str">
        <f t="array" ref="AD10">IFERROR(IF($B10="Building","Buildings",INDEX(CoA_Schema[AsseticCategory],MATCH(1,(CoA_Schema[AssetType]=$D10)*(CoA_Schema[AssetClass]=$B10)*(CoA_Schema[AssetSubClass]=$C10)*(CoA_Schema[Title]=$F10),0),0)),"")</f>
        <v/>
      </c>
      <c r="AE10" s="93" t="str">
        <f t="array" ref="AE10">IFERROR(IF($B10="Building","Buildings",INDEX(CoA_Schema[FinancialClass],MATCH(1,(CoA_Schema[AssetType]=$D10)*(CoA_Schema[AssetClass]=$B10)*(CoA_Schema[AssetSubClass]=$C10),0),0)),"")</f>
        <v/>
      </c>
      <c r="AF10" s="93" t="str">
        <f t="array" ref="AF10">IFERROR(IF($B10="Building","Buildings",INDEX(CoA_Schema[FinancialSubClass],MATCH(1,(CoA_Schema[AssetType]=$D10)*(CoA_Schema[AssetClass]=$B10)*(CoA_Schema[AssetSubClass]=$C10),0),0)),"")</f>
        <v/>
      </c>
      <c r="AG10" s="93" t="str">
        <f>IFERROR(VLOOKUP($I10,UoM!$A:$C,2,FALSE),"")</f>
        <v/>
      </c>
      <c r="AH10" s="56" t="str">
        <f>IFERROR(VLOOKUP("Renewed Assets:"&amp;ROW(),'Handover Cost Report'!$A:$U,17,FALSE),"")</f>
        <v/>
      </c>
      <c r="AI10" s="56" t="str">
        <f>IFERROR(VLOOKUP("Renewed Assets:"&amp;ROW(),'Handover Cost Report'!$A:$U,18,FALSE),"")</f>
        <v/>
      </c>
      <c r="AJ10" s="56" t="str">
        <f>IFERROR(VLOOKUP("Renewed Assets:"&amp;ROW(),'Handover Cost Report'!$A:$U,19,FALSE),"")</f>
        <v/>
      </c>
    </row>
    <row r="11" spans="2:36" s="3" customFormat="1" ht="12.75" x14ac:dyDescent="0.2">
      <c r="B11" s="47"/>
      <c r="C11" s="47"/>
      <c r="D11" s="47"/>
      <c r="E11" s="47"/>
      <c r="F11" s="47"/>
      <c r="G11" s="47"/>
      <c r="H11" s="47"/>
      <c r="I11" s="47"/>
      <c r="J11" s="48"/>
      <c r="K11" s="56">
        <f t="shared" si="0"/>
        <v>0</v>
      </c>
      <c r="L11" s="93" t="str">
        <f>IFERROR(VLOOKUP($F11,SC_Component!$B:$C,2,FALSE),"")</f>
        <v/>
      </c>
      <c r="M11" s="58"/>
      <c r="N11" s="59">
        <f t="shared" si="1"/>
        <v>0</v>
      </c>
      <c r="O11" s="59">
        <f t="shared" si="2"/>
        <v>0</v>
      </c>
      <c r="P11" s="47"/>
      <c r="Q11" s="47"/>
      <c r="R11" s="47"/>
      <c r="S11" s="58"/>
      <c r="T11" s="47"/>
      <c r="U11" s="47"/>
      <c r="V11" s="119"/>
      <c r="W11" s="119"/>
      <c r="X11" s="47"/>
      <c r="Y11" s="47"/>
      <c r="Z11" s="47"/>
      <c r="AA11" s="47"/>
      <c r="AB11" s="47"/>
      <c r="AC11" s="47"/>
      <c r="AD11" s="93" t="str">
        <f t="array" ref="AD11">IFERROR(IF($B11="Building","Buildings",INDEX(CoA_Schema[AsseticCategory],MATCH(1,(CoA_Schema[AssetType]=$D11)*(CoA_Schema[AssetClass]=$B11)*(CoA_Schema[AssetSubClass]=$C11)*(CoA_Schema[Title]=$F11),0),0)),"")</f>
        <v/>
      </c>
      <c r="AE11" s="93" t="str">
        <f t="array" ref="AE11">IFERROR(IF($B11="Building","Buildings",INDEX(CoA_Schema[FinancialClass],MATCH(1,(CoA_Schema[AssetType]=$D11)*(CoA_Schema[AssetClass]=$B11)*(CoA_Schema[AssetSubClass]=$C11),0),0)),"")</f>
        <v/>
      </c>
      <c r="AF11" s="93" t="str">
        <f t="array" ref="AF11">IFERROR(IF($B11="Building","Buildings",INDEX(CoA_Schema[FinancialSubClass],MATCH(1,(CoA_Schema[AssetType]=$D11)*(CoA_Schema[AssetClass]=$B11)*(CoA_Schema[AssetSubClass]=$C11),0),0)),"")</f>
        <v/>
      </c>
      <c r="AG11" s="93" t="str">
        <f>IFERROR(VLOOKUP($I11,UoM!$A:$C,2,FALSE),"")</f>
        <v/>
      </c>
      <c r="AH11" s="56" t="str">
        <f>IFERROR(VLOOKUP("Renewed Assets:"&amp;ROW(),'Handover Cost Report'!$A:$U,17,FALSE),"")</f>
        <v/>
      </c>
      <c r="AI11" s="56" t="str">
        <f>IFERROR(VLOOKUP("Renewed Assets:"&amp;ROW(),'Handover Cost Report'!$A:$U,18,FALSE),"")</f>
        <v/>
      </c>
      <c r="AJ11" s="56" t="str">
        <f>IFERROR(VLOOKUP("Renewed Assets:"&amp;ROW(),'Handover Cost Report'!$A:$U,19,FALSE),"")</f>
        <v/>
      </c>
    </row>
    <row r="12" spans="2:36" s="3" customFormat="1" ht="12.75" x14ac:dyDescent="0.2">
      <c r="B12" s="47"/>
      <c r="C12" s="47"/>
      <c r="D12" s="47"/>
      <c r="E12" s="47"/>
      <c r="F12" s="47"/>
      <c r="G12" s="47"/>
      <c r="H12" s="47"/>
      <c r="I12" s="47"/>
      <c r="J12" s="48"/>
      <c r="K12" s="56">
        <f t="shared" si="0"/>
        <v>0</v>
      </c>
      <c r="L12" s="93" t="str">
        <f>IFERROR(VLOOKUP($F12,SC_Component!$B:$C,2,FALSE),"")</f>
        <v/>
      </c>
      <c r="M12" s="58"/>
      <c r="N12" s="59">
        <f t="shared" si="1"/>
        <v>0</v>
      </c>
      <c r="O12" s="59">
        <f t="shared" si="2"/>
        <v>0</v>
      </c>
      <c r="P12" s="47"/>
      <c r="Q12" s="47"/>
      <c r="R12" s="47"/>
      <c r="S12" s="58"/>
      <c r="T12" s="47"/>
      <c r="U12" s="47"/>
      <c r="V12" s="119"/>
      <c r="W12" s="119"/>
      <c r="X12" s="47"/>
      <c r="Y12" s="47"/>
      <c r="Z12" s="47"/>
      <c r="AA12" s="47"/>
      <c r="AB12" s="47"/>
      <c r="AC12" s="47"/>
      <c r="AD12" s="93" t="str">
        <f t="array" ref="AD12">IFERROR(IF($B12="Building","Buildings",INDEX(CoA_Schema[AsseticCategory],MATCH(1,(CoA_Schema[AssetType]=$D12)*(CoA_Schema[AssetClass]=$B12)*(CoA_Schema[AssetSubClass]=$C12)*(CoA_Schema[Title]=$F12),0),0)),"")</f>
        <v/>
      </c>
      <c r="AE12" s="93" t="str">
        <f t="array" ref="AE12">IFERROR(IF($B12="Building","Buildings",INDEX(CoA_Schema[FinancialClass],MATCH(1,(CoA_Schema[AssetType]=$D12)*(CoA_Schema[AssetClass]=$B12)*(CoA_Schema[AssetSubClass]=$C12),0),0)),"")</f>
        <v/>
      </c>
      <c r="AF12" s="93" t="str">
        <f t="array" ref="AF12">IFERROR(IF($B12="Building","Buildings",INDEX(CoA_Schema[FinancialSubClass],MATCH(1,(CoA_Schema[AssetType]=$D12)*(CoA_Schema[AssetClass]=$B12)*(CoA_Schema[AssetSubClass]=$C12),0),0)),"")</f>
        <v/>
      </c>
      <c r="AG12" s="93" t="str">
        <f>IFERROR(VLOOKUP($I12,UoM!$A:$C,2,FALSE),"")</f>
        <v/>
      </c>
      <c r="AH12" s="56" t="str">
        <f>IFERROR(VLOOKUP("Renewed Assets:"&amp;ROW(),'Handover Cost Report'!$A:$U,17,FALSE),"")</f>
        <v/>
      </c>
      <c r="AI12" s="56" t="str">
        <f>IFERROR(VLOOKUP("Renewed Assets:"&amp;ROW(),'Handover Cost Report'!$A:$U,18,FALSE),"")</f>
        <v/>
      </c>
      <c r="AJ12" s="56" t="str">
        <f>IFERROR(VLOOKUP("Renewed Assets:"&amp;ROW(),'Handover Cost Report'!$A:$U,19,FALSE),"")</f>
        <v/>
      </c>
    </row>
    <row r="13" spans="2:36" s="3" customFormat="1" ht="12.75" x14ac:dyDescent="0.2">
      <c r="B13" s="47"/>
      <c r="C13" s="47"/>
      <c r="D13" s="47"/>
      <c r="E13" s="47"/>
      <c r="F13" s="47"/>
      <c r="G13" s="47"/>
      <c r="H13" s="47"/>
      <c r="I13" s="47"/>
      <c r="J13" s="48"/>
      <c r="K13" s="56">
        <f t="shared" si="0"/>
        <v>0</v>
      </c>
      <c r="L13" s="93" t="str">
        <f>IFERROR(VLOOKUP($F13,SC_Component!$B:$C,2,FALSE),"")</f>
        <v/>
      </c>
      <c r="M13" s="58"/>
      <c r="N13" s="59">
        <f t="shared" si="1"/>
        <v>0</v>
      </c>
      <c r="O13" s="59">
        <f t="shared" si="2"/>
        <v>0</v>
      </c>
      <c r="P13" s="47"/>
      <c r="Q13" s="47"/>
      <c r="R13" s="47"/>
      <c r="S13" s="58"/>
      <c r="T13" s="47"/>
      <c r="U13" s="47"/>
      <c r="V13" s="119"/>
      <c r="W13" s="119"/>
      <c r="X13" s="47"/>
      <c r="Y13" s="47"/>
      <c r="Z13" s="47"/>
      <c r="AA13" s="47"/>
      <c r="AB13" s="47"/>
      <c r="AC13" s="47"/>
      <c r="AD13" s="93" t="str">
        <f t="array" ref="AD13">IFERROR(IF($B13="Building","Buildings",INDEX(CoA_Schema[AsseticCategory],MATCH(1,(CoA_Schema[AssetType]=$D13)*(CoA_Schema[AssetClass]=$B13)*(CoA_Schema[AssetSubClass]=$C13)*(CoA_Schema[Title]=$F13),0),0)),"")</f>
        <v/>
      </c>
      <c r="AE13" s="93" t="str">
        <f t="array" ref="AE13">IFERROR(IF($B13="Building","Buildings",INDEX(CoA_Schema[FinancialClass],MATCH(1,(CoA_Schema[AssetType]=$D13)*(CoA_Schema[AssetClass]=$B13)*(CoA_Schema[AssetSubClass]=$C13),0),0)),"")</f>
        <v/>
      </c>
      <c r="AF13" s="93" t="str">
        <f t="array" ref="AF13">IFERROR(IF($B13="Building","Buildings",INDEX(CoA_Schema[FinancialSubClass],MATCH(1,(CoA_Schema[AssetType]=$D13)*(CoA_Schema[AssetClass]=$B13)*(CoA_Schema[AssetSubClass]=$C13),0),0)),"")</f>
        <v/>
      </c>
      <c r="AG13" s="93" t="str">
        <f>IFERROR(VLOOKUP($I13,UoM!$A:$C,2,FALSE),"")</f>
        <v/>
      </c>
      <c r="AH13" s="56" t="str">
        <f>IFERROR(VLOOKUP("Renewed Assets:"&amp;ROW(),'Handover Cost Report'!$A:$U,17,FALSE),"")</f>
        <v/>
      </c>
      <c r="AI13" s="56" t="str">
        <f>IFERROR(VLOOKUP("Renewed Assets:"&amp;ROW(),'Handover Cost Report'!$A:$U,18,FALSE),"")</f>
        <v/>
      </c>
      <c r="AJ13" s="56" t="str">
        <f>IFERROR(VLOOKUP("Renewed Assets:"&amp;ROW(),'Handover Cost Report'!$A:$U,19,FALSE),"")</f>
        <v/>
      </c>
    </row>
    <row r="14" spans="2:36" s="3" customFormat="1" ht="12.75" x14ac:dyDescent="0.2">
      <c r="B14" s="47"/>
      <c r="C14" s="47"/>
      <c r="D14" s="47"/>
      <c r="E14" s="47"/>
      <c r="F14" s="47"/>
      <c r="G14" s="47"/>
      <c r="H14" s="47"/>
      <c r="I14" s="47"/>
      <c r="J14" s="48"/>
      <c r="K14" s="56">
        <f t="shared" si="0"/>
        <v>0</v>
      </c>
      <c r="L14" s="93" t="str">
        <f>IFERROR(VLOOKUP($F14,SC_Component!$B:$C,2,FALSE),"")</f>
        <v/>
      </c>
      <c r="M14" s="58"/>
      <c r="N14" s="59">
        <f t="shared" si="1"/>
        <v>0</v>
      </c>
      <c r="O14" s="59">
        <f t="shared" si="2"/>
        <v>0</v>
      </c>
      <c r="P14" s="47"/>
      <c r="Q14" s="47"/>
      <c r="R14" s="47"/>
      <c r="S14" s="58"/>
      <c r="T14" s="47"/>
      <c r="U14" s="47"/>
      <c r="V14" s="119"/>
      <c r="W14" s="119"/>
      <c r="X14" s="47"/>
      <c r="Y14" s="47"/>
      <c r="Z14" s="47"/>
      <c r="AA14" s="47"/>
      <c r="AB14" s="47"/>
      <c r="AC14" s="47"/>
      <c r="AD14" s="93" t="str">
        <f t="array" ref="AD14">IFERROR(IF($B14="Building","Buildings",INDEX(CoA_Schema[AsseticCategory],MATCH(1,(CoA_Schema[AssetType]=$D14)*(CoA_Schema[AssetClass]=$B14)*(CoA_Schema[AssetSubClass]=$C14)*(CoA_Schema[Title]=$F14),0),0)),"")</f>
        <v/>
      </c>
      <c r="AE14" s="93" t="str">
        <f t="array" ref="AE14">IFERROR(IF($B14="Building","Buildings",INDEX(CoA_Schema[FinancialClass],MATCH(1,(CoA_Schema[AssetType]=$D14)*(CoA_Schema[AssetClass]=$B14)*(CoA_Schema[AssetSubClass]=$C14),0),0)),"")</f>
        <v/>
      </c>
      <c r="AF14" s="93" t="str">
        <f t="array" ref="AF14">IFERROR(IF($B14="Building","Buildings",INDEX(CoA_Schema[FinancialSubClass],MATCH(1,(CoA_Schema[AssetType]=$D14)*(CoA_Schema[AssetClass]=$B14)*(CoA_Schema[AssetSubClass]=$C14),0),0)),"")</f>
        <v/>
      </c>
      <c r="AG14" s="93" t="str">
        <f>IFERROR(VLOOKUP($I14,UoM!$A:$C,2,FALSE),"")</f>
        <v/>
      </c>
      <c r="AH14" s="56" t="str">
        <f>IFERROR(VLOOKUP("Renewed Assets:"&amp;ROW(),'Handover Cost Report'!$A:$U,17,FALSE),"")</f>
        <v/>
      </c>
      <c r="AI14" s="56" t="str">
        <f>IFERROR(VLOOKUP("Renewed Assets:"&amp;ROW(),'Handover Cost Report'!$A:$U,18,FALSE),"")</f>
        <v/>
      </c>
      <c r="AJ14" s="56" t="str">
        <f>IFERROR(VLOOKUP("Renewed Assets:"&amp;ROW(),'Handover Cost Report'!$A:$U,19,FALSE),"")</f>
        <v/>
      </c>
    </row>
    <row r="15" spans="2:36" s="3" customFormat="1" ht="12.75" x14ac:dyDescent="0.2">
      <c r="B15" s="47"/>
      <c r="C15" s="47"/>
      <c r="D15" s="47"/>
      <c r="E15" s="47"/>
      <c r="F15" s="47"/>
      <c r="G15" s="47"/>
      <c r="H15" s="47"/>
      <c r="I15" s="47"/>
      <c r="J15" s="48"/>
      <c r="K15" s="56">
        <f t="shared" si="0"/>
        <v>0</v>
      </c>
      <c r="L15" s="93" t="str">
        <f>IFERROR(VLOOKUP($F15,SC_Component!$B:$C,2,FALSE),"")</f>
        <v/>
      </c>
      <c r="M15" s="58"/>
      <c r="N15" s="59">
        <f t="shared" si="1"/>
        <v>0</v>
      </c>
      <c r="O15" s="59">
        <f t="shared" si="2"/>
        <v>0</v>
      </c>
      <c r="P15" s="47"/>
      <c r="Q15" s="47"/>
      <c r="R15" s="47"/>
      <c r="S15" s="58"/>
      <c r="T15" s="47"/>
      <c r="U15" s="47"/>
      <c r="V15" s="119"/>
      <c r="W15" s="119"/>
      <c r="X15" s="47"/>
      <c r="Y15" s="47"/>
      <c r="Z15" s="47"/>
      <c r="AA15" s="47"/>
      <c r="AB15" s="47"/>
      <c r="AC15" s="47"/>
      <c r="AD15" s="93" t="str">
        <f t="array" ref="AD15">IFERROR(IF($B15="Building","Buildings",INDEX(CoA_Schema[AsseticCategory],MATCH(1,(CoA_Schema[AssetType]=$D15)*(CoA_Schema[AssetClass]=$B15)*(CoA_Schema[AssetSubClass]=$C15)*(CoA_Schema[Title]=$F15),0),0)),"")</f>
        <v/>
      </c>
      <c r="AE15" s="93" t="str">
        <f t="array" ref="AE15">IFERROR(IF($B15="Building","Buildings",INDEX(CoA_Schema[FinancialClass],MATCH(1,(CoA_Schema[AssetType]=$D15)*(CoA_Schema[AssetClass]=$B15)*(CoA_Schema[AssetSubClass]=$C15),0),0)),"")</f>
        <v/>
      </c>
      <c r="AF15" s="93" t="str">
        <f t="array" ref="AF15">IFERROR(IF($B15="Building","Buildings",INDEX(CoA_Schema[FinancialSubClass],MATCH(1,(CoA_Schema[AssetType]=$D15)*(CoA_Schema[AssetClass]=$B15)*(CoA_Schema[AssetSubClass]=$C15),0),0)),"")</f>
        <v/>
      </c>
      <c r="AG15" s="93" t="str">
        <f>IFERROR(VLOOKUP($I15,UoM!$A:$C,2,FALSE),"")</f>
        <v/>
      </c>
      <c r="AH15" s="56" t="str">
        <f>IFERROR(VLOOKUP("Renewed Assets:"&amp;ROW(),'Handover Cost Report'!$A:$U,17,FALSE),"")</f>
        <v/>
      </c>
      <c r="AI15" s="56" t="str">
        <f>IFERROR(VLOOKUP("Renewed Assets:"&amp;ROW(),'Handover Cost Report'!$A:$U,18,FALSE),"")</f>
        <v/>
      </c>
      <c r="AJ15" s="56" t="str">
        <f>IFERROR(VLOOKUP("Renewed Assets:"&amp;ROW(),'Handover Cost Report'!$A:$U,19,FALSE),"")</f>
        <v/>
      </c>
    </row>
    <row r="16" spans="2:36" s="3" customFormat="1" ht="12.75" x14ac:dyDescent="0.2">
      <c r="B16" s="47"/>
      <c r="C16" s="47"/>
      <c r="D16" s="47"/>
      <c r="E16" s="47"/>
      <c r="F16" s="47"/>
      <c r="G16" s="47"/>
      <c r="H16" s="47"/>
      <c r="I16" s="47"/>
      <c r="J16" s="48"/>
      <c r="K16" s="56">
        <f t="shared" si="0"/>
        <v>0</v>
      </c>
      <c r="L16" s="93" t="str">
        <f>IFERROR(VLOOKUP($F16,SC_Component!$B:$C,2,FALSE),"")</f>
        <v/>
      </c>
      <c r="M16" s="58"/>
      <c r="N16" s="59">
        <f t="shared" si="1"/>
        <v>0</v>
      </c>
      <c r="O16" s="59">
        <f t="shared" si="2"/>
        <v>0</v>
      </c>
      <c r="P16" s="47"/>
      <c r="Q16" s="47"/>
      <c r="R16" s="47"/>
      <c r="S16" s="58"/>
      <c r="T16" s="47"/>
      <c r="U16" s="47"/>
      <c r="V16" s="119"/>
      <c r="W16" s="119"/>
      <c r="X16" s="47"/>
      <c r="Y16" s="47"/>
      <c r="Z16" s="47"/>
      <c r="AA16" s="47"/>
      <c r="AB16" s="47"/>
      <c r="AC16" s="47"/>
      <c r="AD16" s="93" t="str">
        <f t="array" ref="AD16">IFERROR(IF($B16="Building","Buildings",INDEX(CoA_Schema[AsseticCategory],MATCH(1,(CoA_Schema[AssetType]=$D16)*(CoA_Schema[AssetClass]=$B16)*(CoA_Schema[AssetSubClass]=$C16)*(CoA_Schema[Title]=$F16),0),0)),"")</f>
        <v/>
      </c>
      <c r="AE16" s="93" t="str">
        <f t="array" ref="AE16">IFERROR(IF($B16="Building","Buildings",INDEX(CoA_Schema[FinancialClass],MATCH(1,(CoA_Schema[AssetType]=$D16)*(CoA_Schema[AssetClass]=$B16)*(CoA_Schema[AssetSubClass]=$C16),0),0)),"")</f>
        <v/>
      </c>
      <c r="AF16" s="93" t="str">
        <f t="array" ref="AF16">IFERROR(IF($B16="Building","Buildings",INDEX(CoA_Schema[FinancialSubClass],MATCH(1,(CoA_Schema[AssetType]=$D16)*(CoA_Schema[AssetClass]=$B16)*(CoA_Schema[AssetSubClass]=$C16),0),0)),"")</f>
        <v/>
      </c>
      <c r="AG16" s="93" t="str">
        <f>IFERROR(VLOOKUP($I16,UoM!$A:$C,2,FALSE),"")</f>
        <v/>
      </c>
      <c r="AH16" s="56" t="str">
        <f>IFERROR(VLOOKUP("Renewed Assets:"&amp;ROW(),'Handover Cost Report'!$A:$U,17,FALSE),"")</f>
        <v/>
      </c>
      <c r="AI16" s="56" t="str">
        <f>IFERROR(VLOOKUP("Renewed Assets:"&amp;ROW(),'Handover Cost Report'!$A:$U,18,FALSE),"")</f>
        <v/>
      </c>
      <c r="AJ16" s="56" t="str">
        <f>IFERROR(VLOOKUP("Renewed Assets:"&amp;ROW(),'Handover Cost Report'!$A:$U,19,FALSE),"")</f>
        <v/>
      </c>
    </row>
    <row r="17" spans="2:36" s="3" customFormat="1" ht="12.75" x14ac:dyDescent="0.2">
      <c r="B17" s="47"/>
      <c r="C17" s="47"/>
      <c r="D17" s="47"/>
      <c r="E17" s="47"/>
      <c r="F17" s="47"/>
      <c r="G17" s="47"/>
      <c r="H17" s="47"/>
      <c r="I17" s="47"/>
      <c r="J17" s="48"/>
      <c r="K17" s="56">
        <f t="shared" si="0"/>
        <v>0</v>
      </c>
      <c r="L17" s="93" t="str">
        <f>IFERROR(VLOOKUP($F17,SC_Component!$B:$C,2,FALSE),"")</f>
        <v/>
      </c>
      <c r="M17" s="58"/>
      <c r="N17" s="59">
        <f t="shared" si="1"/>
        <v>0</v>
      </c>
      <c r="O17" s="59">
        <f t="shared" si="2"/>
        <v>0</v>
      </c>
      <c r="P17" s="47"/>
      <c r="Q17" s="47"/>
      <c r="R17" s="47"/>
      <c r="S17" s="58"/>
      <c r="T17" s="47"/>
      <c r="U17" s="47"/>
      <c r="V17" s="119"/>
      <c r="W17" s="119"/>
      <c r="X17" s="47"/>
      <c r="Y17" s="47"/>
      <c r="Z17" s="47"/>
      <c r="AA17" s="47"/>
      <c r="AB17" s="47"/>
      <c r="AC17" s="47"/>
      <c r="AD17" s="93" t="str">
        <f t="array" ref="AD17">IFERROR(IF($B17="Building","Buildings",INDEX(CoA_Schema[AsseticCategory],MATCH(1,(CoA_Schema[AssetType]=$D17)*(CoA_Schema[AssetClass]=$B17)*(CoA_Schema[AssetSubClass]=$C17)*(CoA_Schema[Title]=$F17),0),0)),"")</f>
        <v/>
      </c>
      <c r="AE17" s="93" t="str">
        <f t="array" ref="AE17">IFERROR(IF($B17="Building","Buildings",INDEX(CoA_Schema[FinancialClass],MATCH(1,(CoA_Schema[AssetType]=$D17)*(CoA_Schema[AssetClass]=$B17)*(CoA_Schema[AssetSubClass]=$C17),0),0)),"")</f>
        <v/>
      </c>
      <c r="AF17" s="93" t="str">
        <f t="array" ref="AF17">IFERROR(IF($B17="Building","Buildings",INDEX(CoA_Schema[FinancialSubClass],MATCH(1,(CoA_Schema[AssetType]=$D17)*(CoA_Schema[AssetClass]=$B17)*(CoA_Schema[AssetSubClass]=$C17),0),0)),"")</f>
        <v/>
      </c>
      <c r="AG17" s="93" t="str">
        <f>IFERROR(VLOOKUP($I17,UoM!$A:$C,2,FALSE),"")</f>
        <v/>
      </c>
      <c r="AH17" s="56" t="str">
        <f>IFERROR(VLOOKUP("Renewed Assets:"&amp;ROW(),'Handover Cost Report'!$A:$U,17,FALSE),"")</f>
        <v/>
      </c>
      <c r="AI17" s="56" t="str">
        <f>IFERROR(VLOOKUP("Renewed Assets:"&amp;ROW(),'Handover Cost Report'!$A:$U,18,FALSE),"")</f>
        <v/>
      </c>
      <c r="AJ17" s="56" t="str">
        <f>IFERROR(VLOOKUP("Renewed Assets:"&amp;ROW(),'Handover Cost Report'!$A:$U,19,FALSE),"")</f>
        <v/>
      </c>
    </row>
    <row r="18" spans="2:36" s="3" customFormat="1" ht="12.75" x14ac:dyDescent="0.2">
      <c r="B18" s="47"/>
      <c r="C18" s="47"/>
      <c r="D18" s="47"/>
      <c r="E18" s="47"/>
      <c r="F18" s="47"/>
      <c r="G18" s="47"/>
      <c r="H18" s="47"/>
      <c r="I18" s="47"/>
      <c r="J18" s="48"/>
      <c r="K18" s="56">
        <f t="shared" si="0"/>
        <v>0</v>
      </c>
      <c r="L18" s="93" t="str">
        <f>IFERROR(VLOOKUP($F18,SC_Component!$B:$C,2,FALSE),"")</f>
        <v/>
      </c>
      <c r="M18" s="58"/>
      <c r="N18" s="59">
        <f t="shared" si="1"/>
        <v>0</v>
      </c>
      <c r="O18" s="59">
        <f t="shared" si="2"/>
        <v>0</v>
      </c>
      <c r="P18" s="47"/>
      <c r="Q18" s="47"/>
      <c r="R18" s="47"/>
      <c r="S18" s="58"/>
      <c r="T18" s="47"/>
      <c r="U18" s="47"/>
      <c r="V18" s="119"/>
      <c r="W18" s="119"/>
      <c r="X18" s="47"/>
      <c r="Y18" s="47"/>
      <c r="Z18" s="47"/>
      <c r="AA18" s="47"/>
      <c r="AB18" s="47"/>
      <c r="AC18" s="47"/>
      <c r="AD18" s="93" t="str">
        <f t="array" ref="AD18">IFERROR(IF($B18="Building","Buildings",INDEX(CoA_Schema[AsseticCategory],MATCH(1,(CoA_Schema[AssetType]=$D18)*(CoA_Schema[AssetClass]=$B18)*(CoA_Schema[AssetSubClass]=$C18)*(CoA_Schema[Title]=$F18),0),0)),"")</f>
        <v/>
      </c>
      <c r="AE18" s="93" t="str">
        <f t="array" ref="AE18">IFERROR(IF($B18="Building","Buildings",INDEX(CoA_Schema[FinancialClass],MATCH(1,(CoA_Schema[AssetType]=$D18)*(CoA_Schema[AssetClass]=$B18)*(CoA_Schema[AssetSubClass]=$C18),0),0)),"")</f>
        <v/>
      </c>
      <c r="AF18" s="93" t="str">
        <f t="array" ref="AF18">IFERROR(IF($B18="Building","Buildings",INDEX(CoA_Schema[FinancialSubClass],MATCH(1,(CoA_Schema[AssetType]=$D18)*(CoA_Schema[AssetClass]=$B18)*(CoA_Schema[AssetSubClass]=$C18),0),0)),"")</f>
        <v/>
      </c>
      <c r="AG18" s="93" t="str">
        <f>IFERROR(VLOOKUP($I18,UoM!$A:$C,2,FALSE),"")</f>
        <v/>
      </c>
      <c r="AH18" s="56" t="str">
        <f>IFERROR(VLOOKUP("Renewed Assets:"&amp;ROW(),'Handover Cost Report'!$A:$U,17,FALSE),"")</f>
        <v/>
      </c>
      <c r="AI18" s="56" t="str">
        <f>IFERROR(VLOOKUP("Renewed Assets:"&amp;ROW(),'Handover Cost Report'!$A:$U,18,FALSE),"")</f>
        <v/>
      </c>
      <c r="AJ18" s="56" t="str">
        <f>IFERROR(VLOOKUP("Renewed Assets:"&amp;ROW(),'Handover Cost Report'!$A:$U,19,FALSE),"")</f>
        <v/>
      </c>
    </row>
    <row r="19" spans="2:36" s="3" customFormat="1" ht="12.75" x14ac:dyDescent="0.2">
      <c r="B19" s="47"/>
      <c r="C19" s="47"/>
      <c r="D19" s="47"/>
      <c r="E19" s="47"/>
      <c r="F19" s="47"/>
      <c r="G19" s="47"/>
      <c r="H19" s="47"/>
      <c r="I19" s="47"/>
      <c r="J19" s="48"/>
      <c r="K19" s="56">
        <f t="shared" si="0"/>
        <v>0</v>
      </c>
      <c r="L19" s="93" t="str">
        <f>IFERROR(VLOOKUP($F19,SC_Component!$B:$C,2,FALSE),"")</f>
        <v/>
      </c>
      <c r="M19" s="58"/>
      <c r="N19" s="59">
        <f t="shared" si="1"/>
        <v>0</v>
      </c>
      <c r="O19" s="59">
        <f t="shared" si="2"/>
        <v>0</v>
      </c>
      <c r="P19" s="47"/>
      <c r="Q19" s="47"/>
      <c r="R19" s="47"/>
      <c r="S19" s="58"/>
      <c r="T19" s="47"/>
      <c r="U19" s="47"/>
      <c r="V19" s="119"/>
      <c r="W19" s="119"/>
      <c r="X19" s="47"/>
      <c r="Y19" s="47"/>
      <c r="Z19" s="47"/>
      <c r="AA19" s="47"/>
      <c r="AB19" s="47"/>
      <c r="AC19" s="47"/>
      <c r="AD19" s="93" t="str">
        <f t="array" ref="AD19">IFERROR(IF($B19="Building","Buildings",INDEX(CoA_Schema[AsseticCategory],MATCH(1,(CoA_Schema[AssetType]=$D19)*(CoA_Schema[AssetClass]=$B19)*(CoA_Schema[AssetSubClass]=$C19)*(CoA_Schema[Title]=$F19),0),0)),"")</f>
        <v/>
      </c>
      <c r="AE19" s="93" t="str">
        <f t="array" ref="AE19">IFERROR(IF($B19="Building","Buildings",INDEX(CoA_Schema[FinancialClass],MATCH(1,(CoA_Schema[AssetType]=$D19)*(CoA_Schema[AssetClass]=$B19)*(CoA_Schema[AssetSubClass]=$C19),0),0)),"")</f>
        <v/>
      </c>
      <c r="AF19" s="93" t="str">
        <f t="array" ref="AF19">IFERROR(IF($B19="Building","Buildings",INDEX(CoA_Schema[FinancialSubClass],MATCH(1,(CoA_Schema[AssetType]=$D19)*(CoA_Schema[AssetClass]=$B19)*(CoA_Schema[AssetSubClass]=$C19),0),0)),"")</f>
        <v/>
      </c>
      <c r="AG19" s="93" t="str">
        <f>IFERROR(VLOOKUP($I19,UoM!$A:$C,2,FALSE),"")</f>
        <v/>
      </c>
      <c r="AH19" s="56" t="str">
        <f>IFERROR(VLOOKUP("Renewed Assets:"&amp;ROW(),'Handover Cost Report'!$A:$U,17,FALSE),"")</f>
        <v/>
      </c>
      <c r="AI19" s="56" t="str">
        <f>IFERROR(VLOOKUP("Renewed Assets:"&amp;ROW(),'Handover Cost Report'!$A:$U,18,FALSE),"")</f>
        <v/>
      </c>
      <c r="AJ19" s="56" t="str">
        <f>IFERROR(VLOOKUP("Renewed Assets:"&amp;ROW(),'Handover Cost Report'!$A:$U,19,FALSE),"")</f>
        <v/>
      </c>
    </row>
    <row r="20" spans="2:36" s="3" customFormat="1" ht="12.75" x14ac:dyDescent="0.2">
      <c r="B20" s="47"/>
      <c r="C20" s="47"/>
      <c r="D20" s="47"/>
      <c r="E20" s="47"/>
      <c r="F20" s="47"/>
      <c r="G20" s="47"/>
      <c r="H20" s="47"/>
      <c r="I20" s="47"/>
      <c r="J20" s="48"/>
      <c r="K20" s="56">
        <f t="shared" si="0"/>
        <v>0</v>
      </c>
      <c r="L20" s="93" t="str">
        <f>IFERROR(VLOOKUP($F20,SC_Component!$B:$C,2,FALSE),"")</f>
        <v/>
      </c>
      <c r="M20" s="58"/>
      <c r="N20" s="59">
        <f t="shared" si="1"/>
        <v>0</v>
      </c>
      <c r="O20" s="59">
        <f t="shared" si="2"/>
        <v>0</v>
      </c>
      <c r="P20" s="47"/>
      <c r="Q20" s="47"/>
      <c r="R20" s="47"/>
      <c r="S20" s="58"/>
      <c r="T20" s="47"/>
      <c r="U20" s="47"/>
      <c r="V20" s="119"/>
      <c r="W20" s="119"/>
      <c r="X20" s="47"/>
      <c r="Y20" s="47"/>
      <c r="Z20" s="47"/>
      <c r="AA20" s="47"/>
      <c r="AB20" s="47"/>
      <c r="AC20" s="47"/>
      <c r="AD20" s="93" t="str">
        <f t="array" ref="AD20">IFERROR(IF($B20="Building","Buildings",INDEX(CoA_Schema[AsseticCategory],MATCH(1,(CoA_Schema[AssetType]=$D20)*(CoA_Schema[AssetClass]=$B20)*(CoA_Schema[AssetSubClass]=$C20)*(CoA_Schema[Title]=$F20),0),0)),"")</f>
        <v/>
      </c>
      <c r="AE20" s="93" t="str">
        <f t="array" ref="AE20">IFERROR(IF($B20="Building","Buildings",INDEX(CoA_Schema[FinancialClass],MATCH(1,(CoA_Schema[AssetType]=$D20)*(CoA_Schema[AssetClass]=$B20)*(CoA_Schema[AssetSubClass]=$C20),0),0)),"")</f>
        <v/>
      </c>
      <c r="AF20" s="93" t="str">
        <f t="array" ref="AF20">IFERROR(IF($B20="Building","Buildings",INDEX(CoA_Schema[FinancialSubClass],MATCH(1,(CoA_Schema[AssetType]=$D20)*(CoA_Schema[AssetClass]=$B20)*(CoA_Schema[AssetSubClass]=$C20),0),0)),"")</f>
        <v/>
      </c>
      <c r="AG20" s="93" t="str">
        <f>IFERROR(VLOOKUP($I20,UoM!$A:$C,2,FALSE),"")</f>
        <v/>
      </c>
      <c r="AH20" s="56" t="str">
        <f>IFERROR(VLOOKUP("Renewed Assets:"&amp;ROW(),'Handover Cost Report'!$A:$U,17,FALSE),"")</f>
        <v/>
      </c>
      <c r="AI20" s="56" t="str">
        <f>IFERROR(VLOOKUP("Renewed Assets:"&amp;ROW(),'Handover Cost Report'!$A:$U,18,FALSE),"")</f>
        <v/>
      </c>
      <c r="AJ20" s="56" t="str">
        <f>IFERROR(VLOOKUP("Renewed Assets:"&amp;ROW(),'Handover Cost Report'!$A:$U,19,FALSE),"")</f>
        <v/>
      </c>
    </row>
    <row r="21" spans="2:36" s="3" customFormat="1" ht="12.75" x14ac:dyDescent="0.2">
      <c r="B21" s="47"/>
      <c r="C21" s="47"/>
      <c r="D21" s="47"/>
      <c r="E21" s="47"/>
      <c r="F21" s="47"/>
      <c r="G21" s="47"/>
      <c r="H21" s="47"/>
      <c r="I21" s="47"/>
      <c r="J21" s="48"/>
      <c r="K21" s="56">
        <f t="shared" si="0"/>
        <v>0</v>
      </c>
      <c r="L21" s="93" t="str">
        <f>IFERROR(VLOOKUP($F21,SC_Component!$B:$C,2,FALSE),"")</f>
        <v/>
      </c>
      <c r="M21" s="58"/>
      <c r="N21" s="59">
        <f t="shared" si="1"/>
        <v>0</v>
      </c>
      <c r="O21" s="59">
        <f t="shared" si="2"/>
        <v>0</v>
      </c>
      <c r="P21" s="47"/>
      <c r="Q21" s="47"/>
      <c r="R21" s="47"/>
      <c r="S21" s="58"/>
      <c r="T21" s="47"/>
      <c r="U21" s="47"/>
      <c r="V21" s="119"/>
      <c r="W21" s="119"/>
      <c r="X21" s="47"/>
      <c r="Y21" s="47"/>
      <c r="Z21" s="47"/>
      <c r="AA21" s="47"/>
      <c r="AB21" s="47"/>
      <c r="AC21" s="47"/>
      <c r="AD21" s="93" t="str">
        <f t="array" ref="AD21">IFERROR(IF($B21="Building","Buildings",INDEX(CoA_Schema[AsseticCategory],MATCH(1,(CoA_Schema[AssetType]=$D21)*(CoA_Schema[AssetClass]=$B21)*(CoA_Schema[AssetSubClass]=$C21)*(CoA_Schema[Title]=$F21),0),0)),"")</f>
        <v/>
      </c>
      <c r="AE21" s="93" t="str">
        <f t="array" ref="AE21">IFERROR(IF($B21="Building","Buildings",INDEX(CoA_Schema[FinancialClass],MATCH(1,(CoA_Schema[AssetType]=$D21)*(CoA_Schema[AssetClass]=$B21)*(CoA_Schema[AssetSubClass]=$C21),0),0)),"")</f>
        <v/>
      </c>
      <c r="AF21" s="93" t="str">
        <f t="array" ref="AF21">IFERROR(IF($B21="Building","Buildings",INDEX(CoA_Schema[FinancialSubClass],MATCH(1,(CoA_Schema[AssetType]=$D21)*(CoA_Schema[AssetClass]=$B21)*(CoA_Schema[AssetSubClass]=$C21),0),0)),"")</f>
        <v/>
      </c>
      <c r="AG21" s="93" t="str">
        <f>IFERROR(VLOOKUP($I21,UoM!$A:$C,2,FALSE),"")</f>
        <v/>
      </c>
      <c r="AH21" s="56" t="str">
        <f>IFERROR(VLOOKUP("Renewed Assets:"&amp;ROW(),'Handover Cost Report'!$A:$U,17,FALSE),"")</f>
        <v/>
      </c>
      <c r="AI21" s="56" t="str">
        <f>IFERROR(VLOOKUP("Renewed Assets:"&amp;ROW(),'Handover Cost Report'!$A:$U,18,FALSE),"")</f>
        <v/>
      </c>
      <c r="AJ21" s="56" t="str">
        <f>IFERROR(VLOOKUP("Renewed Assets:"&amp;ROW(),'Handover Cost Report'!$A:$U,19,FALSE),"")</f>
        <v/>
      </c>
    </row>
    <row r="22" spans="2:36" s="3" customFormat="1" ht="12.75" x14ac:dyDescent="0.2">
      <c r="B22" s="47"/>
      <c r="C22" s="47"/>
      <c r="D22" s="47"/>
      <c r="E22" s="47"/>
      <c r="F22" s="47"/>
      <c r="G22" s="47"/>
      <c r="H22" s="47"/>
      <c r="I22" s="47"/>
      <c r="J22" s="48"/>
      <c r="K22" s="56">
        <f t="shared" si="0"/>
        <v>0</v>
      </c>
      <c r="L22" s="93" t="str">
        <f>IFERROR(VLOOKUP($F22,SC_Component!$B:$C,2,FALSE),"")</f>
        <v/>
      </c>
      <c r="M22" s="58"/>
      <c r="N22" s="59">
        <f t="shared" si="1"/>
        <v>0</v>
      </c>
      <c r="O22" s="59">
        <f t="shared" si="2"/>
        <v>0</v>
      </c>
      <c r="P22" s="47"/>
      <c r="Q22" s="47"/>
      <c r="R22" s="47"/>
      <c r="S22" s="58"/>
      <c r="T22" s="47"/>
      <c r="U22" s="47"/>
      <c r="V22" s="119"/>
      <c r="W22" s="119"/>
      <c r="X22" s="47"/>
      <c r="Y22" s="47"/>
      <c r="Z22" s="47"/>
      <c r="AA22" s="47"/>
      <c r="AB22" s="47"/>
      <c r="AC22" s="47"/>
      <c r="AD22" s="93" t="str">
        <f t="array" ref="AD22">IFERROR(IF($B22="Building","Buildings",INDEX(CoA_Schema[AsseticCategory],MATCH(1,(CoA_Schema[AssetType]=$D22)*(CoA_Schema[AssetClass]=$B22)*(CoA_Schema[AssetSubClass]=$C22)*(CoA_Schema[Title]=$F22),0),0)),"")</f>
        <v/>
      </c>
      <c r="AE22" s="93" t="str">
        <f t="array" ref="AE22">IFERROR(IF($B22="Building","Buildings",INDEX(CoA_Schema[FinancialClass],MATCH(1,(CoA_Schema[AssetType]=$D22)*(CoA_Schema[AssetClass]=$B22)*(CoA_Schema[AssetSubClass]=$C22),0),0)),"")</f>
        <v/>
      </c>
      <c r="AF22" s="93" t="str">
        <f t="array" ref="AF22">IFERROR(IF($B22="Building","Buildings",INDEX(CoA_Schema[FinancialSubClass],MATCH(1,(CoA_Schema[AssetType]=$D22)*(CoA_Schema[AssetClass]=$B22)*(CoA_Schema[AssetSubClass]=$C22),0),0)),"")</f>
        <v/>
      </c>
      <c r="AG22" s="93" t="str">
        <f>IFERROR(VLOOKUP($I22,UoM!$A:$C,2,FALSE),"")</f>
        <v/>
      </c>
      <c r="AH22" s="56" t="str">
        <f>IFERROR(VLOOKUP("Renewed Assets:"&amp;ROW(),'Handover Cost Report'!$A:$U,17,FALSE),"")</f>
        <v/>
      </c>
      <c r="AI22" s="56" t="str">
        <f>IFERROR(VLOOKUP("Renewed Assets:"&amp;ROW(),'Handover Cost Report'!$A:$U,18,FALSE),"")</f>
        <v/>
      </c>
      <c r="AJ22" s="56" t="str">
        <f>IFERROR(VLOOKUP("Renewed Assets:"&amp;ROW(),'Handover Cost Report'!$A:$U,19,FALSE),"")</f>
        <v/>
      </c>
    </row>
    <row r="23" spans="2:36" s="3" customFormat="1" ht="12.75" x14ac:dyDescent="0.2">
      <c r="B23" s="47"/>
      <c r="C23" s="47"/>
      <c r="D23" s="47"/>
      <c r="E23" s="47"/>
      <c r="F23" s="47"/>
      <c r="G23" s="47"/>
      <c r="H23" s="47"/>
      <c r="I23" s="47"/>
      <c r="J23" s="48"/>
      <c r="K23" s="56">
        <f t="shared" si="0"/>
        <v>0</v>
      </c>
      <c r="L23" s="93" t="str">
        <f>IFERROR(VLOOKUP($F23,SC_Component!$B:$C,2,FALSE),"")</f>
        <v/>
      </c>
      <c r="M23" s="58"/>
      <c r="N23" s="59">
        <f t="shared" si="1"/>
        <v>0</v>
      </c>
      <c r="O23" s="59">
        <f t="shared" si="2"/>
        <v>0</v>
      </c>
      <c r="P23" s="47"/>
      <c r="Q23" s="47"/>
      <c r="R23" s="47"/>
      <c r="S23" s="58"/>
      <c r="T23" s="47"/>
      <c r="U23" s="47"/>
      <c r="V23" s="119"/>
      <c r="W23" s="119"/>
      <c r="X23" s="47"/>
      <c r="Y23" s="47"/>
      <c r="Z23" s="47"/>
      <c r="AA23" s="47"/>
      <c r="AB23" s="47"/>
      <c r="AC23" s="47"/>
      <c r="AD23" s="93" t="str">
        <f t="array" ref="AD23">IFERROR(IF($B23="Building","Buildings",INDEX(CoA_Schema[AsseticCategory],MATCH(1,(CoA_Schema[AssetType]=$D23)*(CoA_Schema[AssetClass]=$B23)*(CoA_Schema[AssetSubClass]=$C23)*(CoA_Schema[Title]=$F23),0),0)),"")</f>
        <v/>
      </c>
      <c r="AE23" s="93" t="str">
        <f t="array" ref="AE23">IFERROR(IF($B23="Building","Buildings",INDEX(CoA_Schema[FinancialClass],MATCH(1,(CoA_Schema[AssetType]=$D23)*(CoA_Schema[AssetClass]=$B23)*(CoA_Schema[AssetSubClass]=$C23),0),0)),"")</f>
        <v/>
      </c>
      <c r="AF23" s="93" t="str">
        <f t="array" ref="AF23">IFERROR(IF($B23="Building","Buildings",INDEX(CoA_Schema[FinancialSubClass],MATCH(1,(CoA_Schema[AssetType]=$D23)*(CoA_Schema[AssetClass]=$B23)*(CoA_Schema[AssetSubClass]=$C23),0),0)),"")</f>
        <v/>
      </c>
      <c r="AG23" s="93" t="str">
        <f>IFERROR(VLOOKUP($I23,UoM!$A:$C,2,FALSE),"")</f>
        <v/>
      </c>
      <c r="AH23" s="56" t="str">
        <f>IFERROR(VLOOKUP("Renewed Assets:"&amp;ROW(),'Handover Cost Report'!$A:$U,17,FALSE),"")</f>
        <v/>
      </c>
      <c r="AI23" s="56" t="str">
        <f>IFERROR(VLOOKUP("Renewed Assets:"&amp;ROW(),'Handover Cost Report'!$A:$U,18,FALSE),"")</f>
        <v/>
      </c>
      <c r="AJ23" s="56" t="str">
        <f>IFERROR(VLOOKUP("Renewed Assets:"&amp;ROW(),'Handover Cost Report'!$A:$U,19,FALSE),"")</f>
        <v/>
      </c>
    </row>
    <row r="24" spans="2:36" s="3" customFormat="1" ht="12.75" x14ac:dyDescent="0.2">
      <c r="B24" s="47"/>
      <c r="C24" s="47"/>
      <c r="D24" s="47"/>
      <c r="E24" s="47"/>
      <c r="F24" s="47"/>
      <c r="G24" s="47"/>
      <c r="H24" s="47"/>
      <c r="I24" s="47"/>
      <c r="J24" s="48"/>
      <c r="K24" s="56">
        <f t="shared" si="0"/>
        <v>0</v>
      </c>
      <c r="L24" s="93" t="str">
        <f>IFERROR(VLOOKUP($F24,SC_Component!$B:$C,2,FALSE),"")</f>
        <v/>
      </c>
      <c r="M24" s="58"/>
      <c r="N24" s="59">
        <f t="shared" si="1"/>
        <v>0</v>
      </c>
      <c r="O24" s="59">
        <f t="shared" si="2"/>
        <v>0</v>
      </c>
      <c r="P24" s="47"/>
      <c r="Q24" s="47"/>
      <c r="R24" s="47"/>
      <c r="S24" s="58"/>
      <c r="T24" s="47"/>
      <c r="U24" s="47"/>
      <c r="V24" s="119"/>
      <c r="W24" s="119"/>
      <c r="X24" s="47"/>
      <c r="Y24" s="47"/>
      <c r="Z24" s="47"/>
      <c r="AA24" s="47"/>
      <c r="AB24" s="47"/>
      <c r="AC24" s="47"/>
      <c r="AD24" s="93" t="str">
        <f t="array" ref="AD24">IFERROR(IF($B24="Building","Buildings",INDEX(CoA_Schema[AsseticCategory],MATCH(1,(CoA_Schema[AssetType]=$D24)*(CoA_Schema[AssetClass]=$B24)*(CoA_Schema[AssetSubClass]=$C24)*(CoA_Schema[Title]=$F24),0),0)),"")</f>
        <v/>
      </c>
      <c r="AE24" s="93" t="str">
        <f t="array" ref="AE24">IFERROR(IF($B24="Building","Buildings",INDEX(CoA_Schema[FinancialClass],MATCH(1,(CoA_Schema[AssetType]=$D24)*(CoA_Schema[AssetClass]=$B24)*(CoA_Schema[AssetSubClass]=$C24),0),0)),"")</f>
        <v/>
      </c>
      <c r="AF24" s="93" t="str">
        <f t="array" ref="AF24">IFERROR(IF($B24="Building","Buildings",INDEX(CoA_Schema[FinancialSubClass],MATCH(1,(CoA_Schema[AssetType]=$D24)*(CoA_Schema[AssetClass]=$B24)*(CoA_Schema[AssetSubClass]=$C24),0),0)),"")</f>
        <v/>
      </c>
      <c r="AG24" s="93" t="str">
        <f>IFERROR(VLOOKUP($I24,UoM!$A:$C,2,FALSE),"")</f>
        <v/>
      </c>
      <c r="AH24" s="56" t="str">
        <f>IFERROR(VLOOKUP("Renewed Assets:"&amp;ROW(),'Handover Cost Report'!$A:$U,17,FALSE),"")</f>
        <v/>
      </c>
      <c r="AI24" s="56" t="str">
        <f>IFERROR(VLOOKUP("Renewed Assets:"&amp;ROW(),'Handover Cost Report'!$A:$U,18,FALSE),"")</f>
        <v/>
      </c>
      <c r="AJ24" s="56" t="str">
        <f>IFERROR(VLOOKUP("Renewed Assets:"&amp;ROW(),'Handover Cost Report'!$A:$U,19,FALSE),"")</f>
        <v/>
      </c>
    </row>
    <row r="25" spans="2:36" s="3" customFormat="1" ht="12.75" x14ac:dyDescent="0.2">
      <c r="B25" s="47"/>
      <c r="C25" s="47"/>
      <c r="D25" s="47"/>
      <c r="E25" s="47"/>
      <c r="F25" s="47"/>
      <c r="G25" s="47"/>
      <c r="H25" s="47"/>
      <c r="I25" s="47"/>
      <c r="J25" s="48"/>
      <c r="K25" s="56">
        <f t="shared" si="0"/>
        <v>0</v>
      </c>
      <c r="L25" s="93" t="str">
        <f>IFERROR(VLOOKUP($F25,SC_Component!$B:$C,2,FALSE),"")</f>
        <v/>
      </c>
      <c r="M25" s="58"/>
      <c r="N25" s="59">
        <f t="shared" si="1"/>
        <v>0</v>
      </c>
      <c r="O25" s="59">
        <f t="shared" si="2"/>
        <v>0</v>
      </c>
      <c r="P25" s="47"/>
      <c r="Q25" s="47"/>
      <c r="R25" s="47"/>
      <c r="S25" s="58"/>
      <c r="T25" s="47"/>
      <c r="U25" s="47"/>
      <c r="V25" s="119"/>
      <c r="W25" s="119"/>
      <c r="X25" s="47"/>
      <c r="Y25" s="47"/>
      <c r="Z25" s="47"/>
      <c r="AA25" s="47"/>
      <c r="AB25" s="47"/>
      <c r="AC25" s="47"/>
      <c r="AD25" s="93" t="str">
        <f t="array" ref="AD25">IFERROR(IF($B25="Building","Buildings",INDEX(CoA_Schema[AsseticCategory],MATCH(1,(CoA_Schema[AssetType]=$D25)*(CoA_Schema[AssetClass]=$B25)*(CoA_Schema[AssetSubClass]=$C25)*(CoA_Schema[Title]=$F25),0),0)),"")</f>
        <v/>
      </c>
      <c r="AE25" s="93" t="str">
        <f t="array" ref="AE25">IFERROR(IF($B25="Building","Buildings",INDEX(CoA_Schema[FinancialClass],MATCH(1,(CoA_Schema[AssetType]=$D25)*(CoA_Schema[AssetClass]=$B25)*(CoA_Schema[AssetSubClass]=$C25),0),0)),"")</f>
        <v/>
      </c>
      <c r="AF25" s="93" t="str">
        <f t="array" ref="AF25">IFERROR(IF($B25="Building","Buildings",INDEX(CoA_Schema[FinancialSubClass],MATCH(1,(CoA_Schema[AssetType]=$D25)*(CoA_Schema[AssetClass]=$B25)*(CoA_Schema[AssetSubClass]=$C25),0),0)),"")</f>
        <v/>
      </c>
      <c r="AG25" s="93" t="str">
        <f>IFERROR(VLOOKUP($I25,UoM!$A:$C,2,FALSE),"")</f>
        <v/>
      </c>
      <c r="AH25" s="56" t="str">
        <f>IFERROR(VLOOKUP("Renewed Assets:"&amp;ROW(),'Handover Cost Report'!$A:$U,17,FALSE),"")</f>
        <v/>
      </c>
      <c r="AI25" s="56" t="str">
        <f>IFERROR(VLOOKUP("Renewed Assets:"&amp;ROW(),'Handover Cost Report'!$A:$U,18,FALSE),"")</f>
        <v/>
      </c>
      <c r="AJ25" s="56" t="str">
        <f>IFERROR(VLOOKUP("Renewed Assets:"&amp;ROW(),'Handover Cost Report'!$A:$U,19,FALSE),"")</f>
        <v/>
      </c>
    </row>
    <row r="26" spans="2:36" s="3" customFormat="1" ht="12.75" x14ac:dyDescent="0.2">
      <c r="B26" s="47"/>
      <c r="C26" s="47"/>
      <c r="D26" s="47"/>
      <c r="E26" s="47"/>
      <c r="F26" s="47"/>
      <c r="G26" s="47"/>
      <c r="H26" s="47"/>
      <c r="I26" s="47"/>
      <c r="J26" s="48"/>
      <c r="K26" s="56">
        <f t="shared" si="0"/>
        <v>0</v>
      </c>
      <c r="L26" s="93" t="str">
        <f>IFERROR(VLOOKUP($F26,SC_Component!$B:$C,2,FALSE),"")</f>
        <v/>
      </c>
      <c r="M26" s="58"/>
      <c r="N26" s="59">
        <f t="shared" si="1"/>
        <v>0</v>
      </c>
      <c r="O26" s="59">
        <f t="shared" si="2"/>
        <v>0</v>
      </c>
      <c r="P26" s="47"/>
      <c r="Q26" s="47"/>
      <c r="R26" s="47"/>
      <c r="S26" s="58"/>
      <c r="T26" s="47"/>
      <c r="U26" s="47"/>
      <c r="V26" s="119"/>
      <c r="W26" s="119"/>
      <c r="X26" s="47"/>
      <c r="Y26" s="47"/>
      <c r="Z26" s="47"/>
      <c r="AA26" s="47"/>
      <c r="AB26" s="47"/>
      <c r="AC26" s="47"/>
      <c r="AD26" s="93" t="str">
        <f t="array" ref="AD26">IFERROR(IF($B26="Building","Buildings",INDEX(CoA_Schema[AsseticCategory],MATCH(1,(CoA_Schema[AssetType]=$D26)*(CoA_Schema[AssetClass]=$B26)*(CoA_Schema[AssetSubClass]=$C26)*(CoA_Schema[Title]=$F26),0),0)),"")</f>
        <v/>
      </c>
      <c r="AE26" s="93" t="str">
        <f t="array" ref="AE26">IFERROR(IF($B26="Building","Buildings",INDEX(CoA_Schema[FinancialClass],MATCH(1,(CoA_Schema[AssetType]=$D26)*(CoA_Schema[AssetClass]=$B26)*(CoA_Schema[AssetSubClass]=$C26),0),0)),"")</f>
        <v/>
      </c>
      <c r="AF26" s="93" t="str">
        <f t="array" ref="AF26">IFERROR(IF($B26="Building","Buildings",INDEX(CoA_Schema[FinancialSubClass],MATCH(1,(CoA_Schema[AssetType]=$D26)*(CoA_Schema[AssetClass]=$B26)*(CoA_Schema[AssetSubClass]=$C26),0),0)),"")</f>
        <v/>
      </c>
      <c r="AG26" s="93" t="str">
        <f>IFERROR(VLOOKUP($I26,UoM!$A:$C,2,FALSE),"")</f>
        <v/>
      </c>
      <c r="AH26" s="56" t="str">
        <f>IFERROR(VLOOKUP("Renewed Assets:"&amp;ROW(),'Handover Cost Report'!$A:$U,17,FALSE),"")</f>
        <v/>
      </c>
      <c r="AI26" s="56" t="str">
        <f>IFERROR(VLOOKUP("Renewed Assets:"&amp;ROW(),'Handover Cost Report'!$A:$U,18,FALSE),"")</f>
        <v/>
      </c>
      <c r="AJ26" s="56" t="str">
        <f>IFERROR(VLOOKUP("Renewed Assets:"&amp;ROW(),'Handover Cost Report'!$A:$U,19,FALSE),"")</f>
        <v/>
      </c>
    </row>
    <row r="27" spans="2:36" s="3" customFormat="1" ht="12.75" x14ac:dyDescent="0.2">
      <c r="B27" s="47"/>
      <c r="C27" s="47"/>
      <c r="D27" s="47"/>
      <c r="E27" s="47"/>
      <c r="F27" s="47"/>
      <c r="G27" s="47"/>
      <c r="H27" s="47"/>
      <c r="I27" s="47"/>
      <c r="J27" s="48"/>
      <c r="K27" s="56">
        <f t="shared" si="0"/>
        <v>0</v>
      </c>
      <c r="L27" s="93" t="str">
        <f>IFERROR(VLOOKUP($F27,SC_Component!$B:$C,2,FALSE),"")</f>
        <v/>
      </c>
      <c r="M27" s="58"/>
      <c r="N27" s="59">
        <f t="shared" si="1"/>
        <v>0</v>
      </c>
      <c r="O27" s="59">
        <f t="shared" si="2"/>
        <v>0</v>
      </c>
      <c r="P27" s="47"/>
      <c r="Q27" s="47"/>
      <c r="R27" s="47"/>
      <c r="S27" s="58"/>
      <c r="T27" s="47"/>
      <c r="U27" s="47"/>
      <c r="V27" s="119"/>
      <c r="W27" s="119"/>
      <c r="X27" s="47"/>
      <c r="Y27" s="47"/>
      <c r="Z27" s="47"/>
      <c r="AA27" s="47"/>
      <c r="AB27" s="47"/>
      <c r="AC27" s="47"/>
      <c r="AD27" s="93" t="str">
        <f t="array" ref="AD27">IFERROR(IF($B27="Building","Buildings",INDEX(CoA_Schema[AsseticCategory],MATCH(1,(CoA_Schema[AssetType]=$D27)*(CoA_Schema[AssetClass]=$B27)*(CoA_Schema[AssetSubClass]=$C27)*(CoA_Schema[Title]=$F27),0),0)),"")</f>
        <v/>
      </c>
      <c r="AE27" s="93" t="str">
        <f t="array" ref="AE27">IFERROR(IF($B27="Building","Buildings",INDEX(CoA_Schema[FinancialClass],MATCH(1,(CoA_Schema[AssetType]=$D27)*(CoA_Schema[AssetClass]=$B27)*(CoA_Schema[AssetSubClass]=$C27),0),0)),"")</f>
        <v/>
      </c>
      <c r="AF27" s="93" t="str">
        <f t="array" ref="AF27">IFERROR(IF($B27="Building","Buildings",INDEX(CoA_Schema[FinancialSubClass],MATCH(1,(CoA_Schema[AssetType]=$D27)*(CoA_Schema[AssetClass]=$B27)*(CoA_Schema[AssetSubClass]=$C27),0),0)),"")</f>
        <v/>
      </c>
      <c r="AG27" s="93" t="str">
        <f>IFERROR(VLOOKUP($I27,UoM!$A:$C,2,FALSE),"")</f>
        <v/>
      </c>
      <c r="AH27" s="56" t="str">
        <f>IFERROR(VLOOKUP("Renewed Assets:"&amp;ROW(),'Handover Cost Report'!$A:$U,17,FALSE),"")</f>
        <v/>
      </c>
      <c r="AI27" s="56" t="str">
        <f>IFERROR(VLOOKUP("Renewed Assets:"&amp;ROW(),'Handover Cost Report'!$A:$U,18,FALSE),"")</f>
        <v/>
      </c>
      <c r="AJ27" s="56" t="str">
        <f>IFERROR(VLOOKUP("Renewed Assets:"&amp;ROW(),'Handover Cost Report'!$A:$U,19,FALSE),"")</f>
        <v/>
      </c>
    </row>
    <row r="28" spans="2:36" s="3" customFormat="1" ht="12.75" x14ac:dyDescent="0.2">
      <c r="B28" s="47"/>
      <c r="C28" s="47"/>
      <c r="D28" s="47"/>
      <c r="E28" s="47"/>
      <c r="F28" s="47"/>
      <c r="G28" s="47"/>
      <c r="H28" s="47"/>
      <c r="I28" s="47"/>
      <c r="J28" s="48"/>
      <c r="K28" s="56">
        <f t="shared" si="0"/>
        <v>0</v>
      </c>
      <c r="L28" s="93" t="str">
        <f>IFERROR(VLOOKUP($F28,SC_Component!$B:$C,2,FALSE),"")</f>
        <v/>
      </c>
      <c r="M28" s="58"/>
      <c r="N28" s="59">
        <f t="shared" si="1"/>
        <v>0</v>
      </c>
      <c r="O28" s="59">
        <f t="shared" si="2"/>
        <v>0</v>
      </c>
      <c r="P28" s="47"/>
      <c r="Q28" s="47"/>
      <c r="R28" s="47"/>
      <c r="S28" s="58"/>
      <c r="T28" s="47"/>
      <c r="U28" s="47"/>
      <c r="V28" s="119"/>
      <c r="W28" s="119"/>
      <c r="X28" s="47"/>
      <c r="Y28" s="47"/>
      <c r="Z28" s="47"/>
      <c r="AA28" s="47"/>
      <c r="AB28" s="47"/>
      <c r="AC28" s="47"/>
      <c r="AD28" s="93" t="str">
        <f t="array" ref="AD28">IFERROR(IF($B28="Building","Buildings",INDEX(CoA_Schema[AsseticCategory],MATCH(1,(CoA_Schema[AssetType]=$D28)*(CoA_Schema[AssetClass]=$B28)*(CoA_Schema[AssetSubClass]=$C28)*(CoA_Schema[Title]=$F28),0),0)),"")</f>
        <v/>
      </c>
      <c r="AE28" s="93" t="str">
        <f t="array" ref="AE28">IFERROR(IF($B28="Building","Buildings",INDEX(CoA_Schema[FinancialClass],MATCH(1,(CoA_Schema[AssetType]=$D28)*(CoA_Schema[AssetClass]=$B28)*(CoA_Schema[AssetSubClass]=$C28),0),0)),"")</f>
        <v/>
      </c>
      <c r="AF28" s="93" t="str">
        <f t="array" ref="AF28">IFERROR(IF($B28="Building","Buildings",INDEX(CoA_Schema[FinancialSubClass],MATCH(1,(CoA_Schema[AssetType]=$D28)*(CoA_Schema[AssetClass]=$B28)*(CoA_Schema[AssetSubClass]=$C28),0),0)),"")</f>
        <v/>
      </c>
      <c r="AG28" s="93" t="str">
        <f>IFERROR(VLOOKUP($I28,UoM!$A:$C,2,FALSE),"")</f>
        <v/>
      </c>
      <c r="AH28" s="56" t="str">
        <f>IFERROR(VLOOKUP("Renewed Assets:"&amp;ROW(),'Handover Cost Report'!$A:$U,17,FALSE),"")</f>
        <v/>
      </c>
      <c r="AI28" s="56" t="str">
        <f>IFERROR(VLOOKUP("Renewed Assets:"&amp;ROW(),'Handover Cost Report'!$A:$U,18,FALSE),"")</f>
        <v/>
      </c>
      <c r="AJ28" s="56" t="str">
        <f>IFERROR(VLOOKUP("Renewed Assets:"&amp;ROW(),'Handover Cost Report'!$A:$U,19,FALSE),"")</f>
        <v/>
      </c>
    </row>
    <row r="29" spans="2:36" s="3" customFormat="1" ht="12.75" x14ac:dyDescent="0.2">
      <c r="B29" s="47"/>
      <c r="C29" s="47"/>
      <c r="D29" s="47"/>
      <c r="E29" s="47"/>
      <c r="F29" s="47"/>
      <c r="G29" s="47"/>
      <c r="H29" s="47"/>
      <c r="I29" s="47"/>
      <c r="J29" s="48"/>
      <c r="K29" s="56">
        <f t="shared" si="0"/>
        <v>0</v>
      </c>
      <c r="L29" s="93" t="str">
        <f>IFERROR(VLOOKUP($F29,SC_Component!$B:$C,2,FALSE),"")</f>
        <v/>
      </c>
      <c r="M29" s="58"/>
      <c r="N29" s="59">
        <f t="shared" si="1"/>
        <v>0</v>
      </c>
      <c r="O29" s="59">
        <f t="shared" si="2"/>
        <v>0</v>
      </c>
      <c r="P29" s="47"/>
      <c r="Q29" s="47"/>
      <c r="R29" s="47"/>
      <c r="S29" s="58"/>
      <c r="T29" s="47"/>
      <c r="U29" s="47"/>
      <c r="V29" s="119"/>
      <c r="W29" s="119"/>
      <c r="X29" s="47"/>
      <c r="Y29" s="47"/>
      <c r="Z29" s="47"/>
      <c r="AA29" s="47"/>
      <c r="AB29" s="47"/>
      <c r="AC29" s="47"/>
      <c r="AD29" s="93" t="str">
        <f t="array" ref="AD29">IFERROR(IF($B29="Building","Buildings",INDEX(CoA_Schema[AsseticCategory],MATCH(1,(CoA_Schema[AssetType]=$D29)*(CoA_Schema[AssetClass]=$B29)*(CoA_Schema[AssetSubClass]=$C29)*(CoA_Schema[Title]=$F29),0),0)),"")</f>
        <v/>
      </c>
      <c r="AE29" s="93" t="str">
        <f t="array" ref="AE29">IFERROR(IF($B29="Building","Buildings",INDEX(CoA_Schema[FinancialClass],MATCH(1,(CoA_Schema[AssetType]=$D29)*(CoA_Schema[AssetClass]=$B29)*(CoA_Schema[AssetSubClass]=$C29),0),0)),"")</f>
        <v/>
      </c>
      <c r="AF29" s="93" t="str">
        <f t="array" ref="AF29">IFERROR(IF($B29="Building","Buildings",INDEX(CoA_Schema[FinancialSubClass],MATCH(1,(CoA_Schema[AssetType]=$D29)*(CoA_Schema[AssetClass]=$B29)*(CoA_Schema[AssetSubClass]=$C29),0),0)),"")</f>
        <v/>
      </c>
      <c r="AG29" s="93" t="str">
        <f>IFERROR(VLOOKUP($I29,UoM!$A:$C,2,FALSE),"")</f>
        <v/>
      </c>
      <c r="AH29" s="56" t="str">
        <f>IFERROR(VLOOKUP("Renewed Assets:"&amp;ROW(),'Handover Cost Report'!$A:$U,17,FALSE),"")</f>
        <v/>
      </c>
      <c r="AI29" s="56" t="str">
        <f>IFERROR(VLOOKUP("Renewed Assets:"&amp;ROW(),'Handover Cost Report'!$A:$U,18,FALSE),"")</f>
        <v/>
      </c>
      <c r="AJ29" s="56" t="str">
        <f>IFERROR(VLOOKUP("Renewed Assets:"&amp;ROW(),'Handover Cost Report'!$A:$U,19,FALSE),"")</f>
        <v/>
      </c>
    </row>
    <row r="30" spans="2:36" s="3" customFormat="1" ht="12.75" x14ac:dyDescent="0.2">
      <c r="B30" s="47"/>
      <c r="C30" s="47"/>
      <c r="D30" s="47"/>
      <c r="E30" s="47"/>
      <c r="F30" s="47"/>
      <c r="G30" s="47"/>
      <c r="H30" s="47"/>
      <c r="I30" s="47"/>
      <c r="J30" s="48"/>
      <c r="K30" s="56">
        <f t="shared" si="0"/>
        <v>0</v>
      </c>
      <c r="L30" s="93" t="str">
        <f>IFERROR(VLOOKUP($F30,SC_Component!$B:$C,2,FALSE),"")</f>
        <v/>
      </c>
      <c r="M30" s="58"/>
      <c r="N30" s="59">
        <f t="shared" si="1"/>
        <v>0</v>
      </c>
      <c r="O30" s="59">
        <f t="shared" si="2"/>
        <v>0</v>
      </c>
      <c r="P30" s="47"/>
      <c r="Q30" s="47"/>
      <c r="R30" s="47"/>
      <c r="S30" s="58"/>
      <c r="T30" s="47"/>
      <c r="U30" s="47"/>
      <c r="V30" s="119"/>
      <c r="W30" s="119"/>
      <c r="X30" s="47"/>
      <c r="Y30" s="47"/>
      <c r="Z30" s="47"/>
      <c r="AA30" s="47"/>
      <c r="AB30" s="47"/>
      <c r="AC30" s="47"/>
      <c r="AD30" s="93" t="str">
        <f t="array" ref="AD30">IFERROR(IF($B30="Building","Buildings",INDEX(CoA_Schema[AsseticCategory],MATCH(1,(CoA_Schema[AssetType]=$D30)*(CoA_Schema[AssetClass]=$B30)*(CoA_Schema[AssetSubClass]=$C30)*(CoA_Schema[Title]=$F30),0),0)),"")</f>
        <v/>
      </c>
      <c r="AE30" s="93" t="str">
        <f t="array" ref="AE30">IFERROR(IF($B30="Building","Buildings",INDEX(CoA_Schema[FinancialClass],MATCH(1,(CoA_Schema[AssetType]=$D30)*(CoA_Schema[AssetClass]=$B30)*(CoA_Schema[AssetSubClass]=$C30),0),0)),"")</f>
        <v/>
      </c>
      <c r="AF30" s="93" t="str">
        <f t="array" ref="AF30">IFERROR(IF($B30="Building","Buildings",INDEX(CoA_Schema[FinancialSubClass],MATCH(1,(CoA_Schema[AssetType]=$D30)*(CoA_Schema[AssetClass]=$B30)*(CoA_Schema[AssetSubClass]=$C30),0),0)),"")</f>
        <v/>
      </c>
      <c r="AG30" s="93" t="str">
        <f>IFERROR(VLOOKUP($I30,UoM!$A:$C,2,FALSE),"")</f>
        <v/>
      </c>
      <c r="AH30" s="56" t="str">
        <f>IFERROR(VLOOKUP("Renewed Assets:"&amp;ROW(),'Handover Cost Report'!$A:$U,17,FALSE),"")</f>
        <v/>
      </c>
      <c r="AI30" s="56" t="str">
        <f>IFERROR(VLOOKUP("Renewed Assets:"&amp;ROW(),'Handover Cost Report'!$A:$U,18,FALSE),"")</f>
        <v/>
      </c>
      <c r="AJ30" s="56" t="str">
        <f>IFERROR(VLOOKUP("Renewed Assets:"&amp;ROW(),'Handover Cost Report'!$A:$U,19,FALSE),"")</f>
        <v/>
      </c>
    </row>
    <row r="31" spans="2:36" s="3" customFormat="1" ht="12.75" x14ac:dyDescent="0.2">
      <c r="B31" s="47"/>
      <c r="C31" s="47"/>
      <c r="D31" s="47"/>
      <c r="E31" s="47"/>
      <c r="F31" s="47"/>
      <c r="G31" s="47"/>
      <c r="H31" s="47"/>
      <c r="I31" s="47"/>
      <c r="J31" s="48"/>
      <c r="K31" s="56">
        <f t="shared" si="0"/>
        <v>0</v>
      </c>
      <c r="L31" s="93" t="str">
        <f>IFERROR(VLOOKUP($F31,SC_Component!$B:$C,2,FALSE),"")</f>
        <v/>
      </c>
      <c r="M31" s="58"/>
      <c r="N31" s="59">
        <f t="shared" si="1"/>
        <v>0</v>
      </c>
      <c r="O31" s="59">
        <f t="shared" si="2"/>
        <v>0</v>
      </c>
      <c r="P31" s="47"/>
      <c r="Q31" s="47"/>
      <c r="R31" s="47"/>
      <c r="S31" s="58"/>
      <c r="T31" s="47"/>
      <c r="U31" s="47"/>
      <c r="V31" s="119"/>
      <c r="W31" s="119"/>
      <c r="X31" s="47"/>
      <c r="Y31" s="47"/>
      <c r="Z31" s="47"/>
      <c r="AA31" s="47"/>
      <c r="AB31" s="47"/>
      <c r="AC31" s="47"/>
      <c r="AD31" s="93" t="str">
        <f t="array" ref="AD31">IFERROR(IF($B31="Building","Buildings",INDEX(CoA_Schema[AsseticCategory],MATCH(1,(CoA_Schema[AssetType]=$D31)*(CoA_Schema[AssetClass]=$B31)*(CoA_Schema[AssetSubClass]=$C31)*(CoA_Schema[Title]=$F31),0),0)),"")</f>
        <v/>
      </c>
      <c r="AE31" s="93" t="str">
        <f t="array" ref="AE31">IFERROR(IF($B31="Building","Buildings",INDEX(CoA_Schema[FinancialClass],MATCH(1,(CoA_Schema[AssetType]=$D31)*(CoA_Schema[AssetClass]=$B31)*(CoA_Schema[AssetSubClass]=$C31),0),0)),"")</f>
        <v/>
      </c>
      <c r="AF31" s="93" t="str">
        <f t="array" ref="AF31">IFERROR(IF($B31="Building","Buildings",INDEX(CoA_Schema[FinancialSubClass],MATCH(1,(CoA_Schema[AssetType]=$D31)*(CoA_Schema[AssetClass]=$B31)*(CoA_Schema[AssetSubClass]=$C31),0),0)),"")</f>
        <v/>
      </c>
      <c r="AG31" s="93" t="str">
        <f>IFERROR(VLOOKUP($I31,UoM!$A:$C,2,FALSE),"")</f>
        <v/>
      </c>
      <c r="AH31" s="56" t="str">
        <f>IFERROR(VLOOKUP("Renewed Assets:"&amp;ROW(),'Handover Cost Report'!$A:$U,17,FALSE),"")</f>
        <v/>
      </c>
      <c r="AI31" s="56" t="str">
        <f>IFERROR(VLOOKUP("Renewed Assets:"&amp;ROW(),'Handover Cost Report'!$A:$U,18,FALSE),"")</f>
        <v/>
      </c>
      <c r="AJ31" s="56" t="str">
        <f>IFERROR(VLOOKUP("Renewed Assets:"&amp;ROW(),'Handover Cost Report'!$A:$U,19,FALSE),"")</f>
        <v/>
      </c>
    </row>
    <row r="32" spans="2:36" s="3" customFormat="1" ht="12.75" x14ac:dyDescent="0.2">
      <c r="B32" s="47"/>
      <c r="C32" s="47"/>
      <c r="D32" s="47"/>
      <c r="E32" s="47"/>
      <c r="F32" s="47"/>
      <c r="G32" s="47"/>
      <c r="H32" s="47"/>
      <c r="I32" s="47"/>
      <c r="J32" s="48"/>
      <c r="K32" s="56">
        <f t="shared" si="0"/>
        <v>0</v>
      </c>
      <c r="L32" s="93" t="str">
        <f>IFERROR(VLOOKUP($F32,SC_Component!$B:$C,2,FALSE),"")</f>
        <v/>
      </c>
      <c r="M32" s="58"/>
      <c r="N32" s="59">
        <f t="shared" si="1"/>
        <v>0</v>
      </c>
      <c r="O32" s="59">
        <f t="shared" si="2"/>
        <v>0</v>
      </c>
      <c r="P32" s="47"/>
      <c r="Q32" s="47"/>
      <c r="R32" s="47"/>
      <c r="S32" s="58"/>
      <c r="T32" s="47"/>
      <c r="U32" s="47"/>
      <c r="V32" s="119"/>
      <c r="W32" s="119"/>
      <c r="X32" s="47"/>
      <c r="Y32" s="47"/>
      <c r="Z32" s="47"/>
      <c r="AA32" s="47"/>
      <c r="AB32" s="47"/>
      <c r="AC32" s="47"/>
      <c r="AD32" s="93" t="str">
        <f t="array" ref="AD32">IFERROR(IF($B32="Building","Buildings",INDEX(CoA_Schema[AsseticCategory],MATCH(1,(CoA_Schema[AssetType]=$D32)*(CoA_Schema[AssetClass]=$B32)*(CoA_Schema[AssetSubClass]=$C32)*(CoA_Schema[Title]=$F32),0),0)),"")</f>
        <v/>
      </c>
      <c r="AE32" s="93" t="str">
        <f t="array" ref="AE32">IFERROR(IF($B32="Building","Buildings",INDEX(CoA_Schema[FinancialClass],MATCH(1,(CoA_Schema[AssetType]=$D32)*(CoA_Schema[AssetClass]=$B32)*(CoA_Schema[AssetSubClass]=$C32),0),0)),"")</f>
        <v/>
      </c>
      <c r="AF32" s="93" t="str">
        <f t="array" ref="AF32">IFERROR(IF($B32="Building","Buildings",INDEX(CoA_Schema[FinancialSubClass],MATCH(1,(CoA_Schema[AssetType]=$D32)*(CoA_Schema[AssetClass]=$B32)*(CoA_Schema[AssetSubClass]=$C32),0),0)),"")</f>
        <v/>
      </c>
      <c r="AG32" s="93" t="str">
        <f>IFERROR(VLOOKUP($I32,UoM!$A:$C,2,FALSE),"")</f>
        <v/>
      </c>
      <c r="AH32" s="56" t="str">
        <f>IFERROR(VLOOKUP("Renewed Assets:"&amp;ROW(),'Handover Cost Report'!$A:$U,17,FALSE),"")</f>
        <v/>
      </c>
      <c r="AI32" s="56" t="str">
        <f>IFERROR(VLOOKUP("Renewed Assets:"&amp;ROW(),'Handover Cost Report'!$A:$U,18,FALSE),"")</f>
        <v/>
      </c>
      <c r="AJ32" s="56" t="str">
        <f>IFERROR(VLOOKUP("Renewed Assets:"&amp;ROW(),'Handover Cost Report'!$A:$U,19,FALSE),"")</f>
        <v/>
      </c>
    </row>
    <row r="33" spans="2:36" s="3" customFormat="1" ht="12.75" x14ac:dyDescent="0.2">
      <c r="B33" s="47"/>
      <c r="C33" s="47"/>
      <c r="D33" s="47"/>
      <c r="E33" s="47"/>
      <c r="F33" s="47"/>
      <c r="G33" s="47"/>
      <c r="H33" s="47"/>
      <c r="I33" s="47"/>
      <c r="J33" s="48"/>
      <c r="K33" s="56">
        <f t="shared" si="0"/>
        <v>0</v>
      </c>
      <c r="L33" s="93" t="str">
        <f>IFERROR(VLOOKUP($F33,SC_Component!$B:$C,2,FALSE),"")</f>
        <v/>
      </c>
      <c r="M33" s="58"/>
      <c r="N33" s="59">
        <f t="shared" si="1"/>
        <v>0</v>
      </c>
      <c r="O33" s="59">
        <f t="shared" si="2"/>
        <v>0</v>
      </c>
      <c r="P33" s="47"/>
      <c r="Q33" s="47"/>
      <c r="R33" s="47"/>
      <c r="S33" s="58"/>
      <c r="T33" s="47"/>
      <c r="U33" s="47"/>
      <c r="V33" s="119"/>
      <c r="W33" s="119"/>
      <c r="X33" s="47"/>
      <c r="Y33" s="47"/>
      <c r="Z33" s="47"/>
      <c r="AA33" s="47"/>
      <c r="AB33" s="47"/>
      <c r="AC33" s="47"/>
      <c r="AD33" s="93" t="str">
        <f t="array" ref="AD33">IFERROR(IF($B33="Building","Buildings",INDEX(CoA_Schema[AsseticCategory],MATCH(1,(CoA_Schema[AssetType]=$D33)*(CoA_Schema[AssetClass]=$B33)*(CoA_Schema[AssetSubClass]=$C33)*(CoA_Schema[Title]=$F33),0),0)),"")</f>
        <v/>
      </c>
      <c r="AE33" s="93" t="str">
        <f t="array" ref="AE33">IFERROR(IF($B33="Building","Buildings",INDEX(CoA_Schema[FinancialClass],MATCH(1,(CoA_Schema[AssetType]=$D33)*(CoA_Schema[AssetClass]=$B33)*(CoA_Schema[AssetSubClass]=$C33),0),0)),"")</f>
        <v/>
      </c>
      <c r="AF33" s="93" t="str">
        <f t="array" ref="AF33">IFERROR(IF($B33="Building","Buildings",INDEX(CoA_Schema[FinancialSubClass],MATCH(1,(CoA_Schema[AssetType]=$D33)*(CoA_Schema[AssetClass]=$B33)*(CoA_Schema[AssetSubClass]=$C33),0),0)),"")</f>
        <v/>
      </c>
      <c r="AG33" s="93" t="str">
        <f>IFERROR(VLOOKUP($I33,UoM!$A:$C,2,FALSE),"")</f>
        <v/>
      </c>
      <c r="AH33" s="56" t="str">
        <f>IFERROR(VLOOKUP("Renewed Assets:"&amp;ROW(),'Handover Cost Report'!$A:$U,17,FALSE),"")</f>
        <v/>
      </c>
      <c r="AI33" s="56" t="str">
        <f>IFERROR(VLOOKUP("Renewed Assets:"&amp;ROW(),'Handover Cost Report'!$A:$U,18,FALSE),"")</f>
        <v/>
      </c>
      <c r="AJ33" s="56" t="str">
        <f>IFERROR(VLOOKUP("Renewed Assets:"&amp;ROW(),'Handover Cost Report'!$A:$U,19,FALSE),"")</f>
        <v/>
      </c>
    </row>
    <row r="34" spans="2:36" s="3" customFormat="1" ht="12.75" x14ac:dyDescent="0.2">
      <c r="B34" s="47"/>
      <c r="C34" s="47"/>
      <c r="D34" s="47"/>
      <c r="E34" s="47"/>
      <c r="F34" s="47"/>
      <c r="G34" s="47"/>
      <c r="H34" s="47"/>
      <c r="I34" s="47"/>
      <c r="J34" s="48"/>
      <c r="K34" s="56">
        <f t="shared" si="0"/>
        <v>0</v>
      </c>
      <c r="L34" s="93" t="str">
        <f>IFERROR(VLOOKUP($F34,SC_Component!$B:$C,2,FALSE),"")</f>
        <v/>
      </c>
      <c r="M34" s="58"/>
      <c r="N34" s="59">
        <f t="shared" si="1"/>
        <v>0</v>
      </c>
      <c r="O34" s="59">
        <f t="shared" si="2"/>
        <v>0</v>
      </c>
      <c r="P34" s="47"/>
      <c r="Q34" s="47"/>
      <c r="R34" s="47"/>
      <c r="S34" s="58"/>
      <c r="T34" s="47"/>
      <c r="U34" s="47"/>
      <c r="V34" s="119"/>
      <c r="W34" s="119"/>
      <c r="X34" s="47"/>
      <c r="Y34" s="47"/>
      <c r="Z34" s="47"/>
      <c r="AA34" s="47"/>
      <c r="AB34" s="47"/>
      <c r="AC34" s="47"/>
      <c r="AD34" s="93" t="str">
        <f t="array" ref="AD34">IFERROR(IF($B34="Building","Buildings",INDEX(CoA_Schema[AsseticCategory],MATCH(1,(CoA_Schema[AssetType]=$D34)*(CoA_Schema[AssetClass]=$B34)*(CoA_Schema[AssetSubClass]=$C34)*(CoA_Schema[Title]=$F34),0),0)),"")</f>
        <v/>
      </c>
      <c r="AE34" s="93" t="str">
        <f t="array" ref="AE34">IFERROR(IF($B34="Building","Buildings",INDEX(CoA_Schema[FinancialClass],MATCH(1,(CoA_Schema[AssetType]=$D34)*(CoA_Schema[AssetClass]=$B34)*(CoA_Schema[AssetSubClass]=$C34),0),0)),"")</f>
        <v/>
      </c>
      <c r="AF34" s="93" t="str">
        <f t="array" ref="AF34">IFERROR(IF($B34="Building","Buildings",INDEX(CoA_Schema[FinancialSubClass],MATCH(1,(CoA_Schema[AssetType]=$D34)*(CoA_Schema[AssetClass]=$B34)*(CoA_Schema[AssetSubClass]=$C34),0),0)),"")</f>
        <v/>
      </c>
      <c r="AG34" s="93" t="str">
        <f>IFERROR(VLOOKUP($I34,UoM!$A:$C,2,FALSE),"")</f>
        <v/>
      </c>
      <c r="AH34" s="56" t="str">
        <f>IFERROR(VLOOKUP("Renewed Assets:"&amp;ROW(),'Handover Cost Report'!$A:$U,17,FALSE),"")</f>
        <v/>
      </c>
      <c r="AI34" s="56" t="str">
        <f>IFERROR(VLOOKUP("Renewed Assets:"&amp;ROW(),'Handover Cost Report'!$A:$U,18,FALSE),"")</f>
        <v/>
      </c>
      <c r="AJ34" s="56" t="str">
        <f>IFERROR(VLOOKUP("Renewed Assets:"&amp;ROW(),'Handover Cost Report'!$A:$U,19,FALSE),"")</f>
        <v/>
      </c>
    </row>
    <row r="35" spans="2:36" s="3" customFormat="1" ht="12.75" x14ac:dyDescent="0.2">
      <c r="B35" s="47"/>
      <c r="C35" s="47"/>
      <c r="D35" s="47"/>
      <c r="E35" s="47"/>
      <c r="F35" s="47"/>
      <c r="G35" s="47"/>
      <c r="H35" s="47"/>
      <c r="I35" s="47"/>
      <c r="J35" s="48"/>
      <c r="K35" s="56">
        <f t="shared" si="0"/>
        <v>0</v>
      </c>
      <c r="L35" s="93" t="str">
        <f>IFERROR(VLOOKUP($F35,SC_Component!$B:$C,2,FALSE),"")</f>
        <v/>
      </c>
      <c r="M35" s="58"/>
      <c r="N35" s="59">
        <f t="shared" si="1"/>
        <v>0</v>
      </c>
      <c r="O35" s="59">
        <f t="shared" si="2"/>
        <v>0</v>
      </c>
      <c r="P35" s="47"/>
      <c r="Q35" s="47"/>
      <c r="R35" s="47"/>
      <c r="S35" s="58"/>
      <c r="T35" s="47"/>
      <c r="U35" s="47"/>
      <c r="V35" s="119"/>
      <c r="W35" s="119"/>
      <c r="X35" s="47"/>
      <c r="Y35" s="47"/>
      <c r="Z35" s="47"/>
      <c r="AA35" s="47"/>
      <c r="AB35" s="47"/>
      <c r="AC35" s="47"/>
      <c r="AD35" s="93" t="str">
        <f t="array" ref="AD35">IFERROR(IF($B35="Building","Buildings",INDEX(CoA_Schema[AsseticCategory],MATCH(1,(CoA_Schema[AssetType]=$D35)*(CoA_Schema[AssetClass]=$B35)*(CoA_Schema[AssetSubClass]=$C35)*(CoA_Schema[Title]=$F35),0),0)),"")</f>
        <v/>
      </c>
      <c r="AE35" s="93" t="str">
        <f t="array" ref="AE35">IFERROR(IF($B35="Building","Buildings",INDEX(CoA_Schema[FinancialClass],MATCH(1,(CoA_Schema[AssetType]=$D35)*(CoA_Schema[AssetClass]=$B35)*(CoA_Schema[AssetSubClass]=$C35),0),0)),"")</f>
        <v/>
      </c>
      <c r="AF35" s="93" t="str">
        <f t="array" ref="AF35">IFERROR(IF($B35="Building","Buildings",INDEX(CoA_Schema[FinancialSubClass],MATCH(1,(CoA_Schema[AssetType]=$D35)*(CoA_Schema[AssetClass]=$B35)*(CoA_Schema[AssetSubClass]=$C35),0),0)),"")</f>
        <v/>
      </c>
      <c r="AG35" s="93" t="str">
        <f>IFERROR(VLOOKUP($I35,UoM!$A:$C,2,FALSE),"")</f>
        <v/>
      </c>
      <c r="AH35" s="56" t="str">
        <f>IFERROR(VLOOKUP("Renewed Assets:"&amp;ROW(),'Handover Cost Report'!$A:$U,17,FALSE),"")</f>
        <v/>
      </c>
      <c r="AI35" s="56" t="str">
        <f>IFERROR(VLOOKUP("Renewed Assets:"&amp;ROW(),'Handover Cost Report'!$A:$U,18,FALSE),"")</f>
        <v/>
      </c>
      <c r="AJ35" s="56" t="str">
        <f>IFERROR(VLOOKUP("Renewed Assets:"&amp;ROW(),'Handover Cost Report'!$A:$U,19,FALSE),"")</f>
        <v/>
      </c>
    </row>
    <row r="36" spans="2:36" s="3" customFormat="1" ht="12.75" x14ac:dyDescent="0.2">
      <c r="B36" s="47"/>
      <c r="C36" s="47"/>
      <c r="D36" s="47"/>
      <c r="E36" s="47"/>
      <c r="F36" s="47"/>
      <c r="G36" s="47"/>
      <c r="H36" s="47"/>
      <c r="I36" s="47"/>
      <c r="J36" s="48"/>
      <c r="K36" s="56">
        <f t="shared" si="0"/>
        <v>0</v>
      </c>
      <c r="L36" s="93" t="str">
        <f>IFERROR(VLOOKUP($F36,SC_Component!$B:$C,2,FALSE),"")</f>
        <v/>
      </c>
      <c r="M36" s="58"/>
      <c r="N36" s="59">
        <f t="shared" si="1"/>
        <v>0</v>
      </c>
      <c r="O36" s="59">
        <f t="shared" si="2"/>
        <v>0</v>
      </c>
      <c r="P36" s="47"/>
      <c r="Q36" s="47"/>
      <c r="R36" s="47"/>
      <c r="S36" s="58"/>
      <c r="T36" s="47"/>
      <c r="U36" s="47"/>
      <c r="V36" s="119"/>
      <c r="W36" s="119"/>
      <c r="X36" s="47"/>
      <c r="Y36" s="47"/>
      <c r="Z36" s="47"/>
      <c r="AA36" s="47"/>
      <c r="AB36" s="47"/>
      <c r="AC36" s="47"/>
      <c r="AD36" s="93" t="str">
        <f t="array" ref="AD36">IFERROR(IF($B36="Building","Buildings",INDEX(CoA_Schema[AsseticCategory],MATCH(1,(CoA_Schema[AssetType]=$D36)*(CoA_Schema[AssetClass]=$B36)*(CoA_Schema[AssetSubClass]=$C36)*(CoA_Schema[Title]=$F36),0),0)),"")</f>
        <v/>
      </c>
      <c r="AE36" s="93" t="str">
        <f t="array" ref="AE36">IFERROR(IF($B36="Building","Buildings",INDEX(CoA_Schema[FinancialClass],MATCH(1,(CoA_Schema[AssetType]=$D36)*(CoA_Schema[AssetClass]=$B36)*(CoA_Schema[AssetSubClass]=$C36),0),0)),"")</f>
        <v/>
      </c>
      <c r="AF36" s="93" t="str">
        <f t="array" ref="AF36">IFERROR(IF($B36="Building","Buildings",INDEX(CoA_Schema[FinancialSubClass],MATCH(1,(CoA_Schema[AssetType]=$D36)*(CoA_Schema[AssetClass]=$B36)*(CoA_Schema[AssetSubClass]=$C36),0),0)),"")</f>
        <v/>
      </c>
      <c r="AG36" s="93" t="str">
        <f>IFERROR(VLOOKUP($I36,UoM!$A:$C,2,FALSE),"")</f>
        <v/>
      </c>
      <c r="AH36" s="56" t="str">
        <f>IFERROR(VLOOKUP("Renewed Assets:"&amp;ROW(),'Handover Cost Report'!$A:$U,17,FALSE),"")</f>
        <v/>
      </c>
      <c r="AI36" s="56" t="str">
        <f>IFERROR(VLOOKUP("Renewed Assets:"&amp;ROW(),'Handover Cost Report'!$A:$U,18,FALSE),"")</f>
        <v/>
      </c>
      <c r="AJ36" s="56" t="str">
        <f>IFERROR(VLOOKUP("Renewed Assets:"&amp;ROW(),'Handover Cost Report'!$A:$U,19,FALSE),"")</f>
        <v/>
      </c>
    </row>
    <row r="37" spans="2:36" s="3" customFormat="1" ht="12.75" x14ac:dyDescent="0.2">
      <c r="B37" s="47"/>
      <c r="C37" s="47"/>
      <c r="D37" s="47"/>
      <c r="E37" s="47"/>
      <c r="F37" s="47"/>
      <c r="G37" s="47"/>
      <c r="H37" s="47"/>
      <c r="I37" s="47"/>
      <c r="J37" s="48"/>
      <c r="K37" s="56">
        <f t="shared" si="0"/>
        <v>0</v>
      </c>
      <c r="L37" s="93" t="str">
        <f>IFERROR(VLOOKUP($F37,SC_Component!$B:$C,2,FALSE),"")</f>
        <v/>
      </c>
      <c r="M37" s="58"/>
      <c r="N37" s="59">
        <f t="shared" si="1"/>
        <v>0</v>
      </c>
      <c r="O37" s="59">
        <f t="shared" si="2"/>
        <v>0</v>
      </c>
      <c r="P37" s="47"/>
      <c r="Q37" s="47"/>
      <c r="R37" s="47"/>
      <c r="S37" s="58"/>
      <c r="T37" s="47"/>
      <c r="U37" s="47"/>
      <c r="V37" s="119"/>
      <c r="W37" s="119"/>
      <c r="X37" s="47"/>
      <c r="Y37" s="47"/>
      <c r="Z37" s="47"/>
      <c r="AA37" s="47"/>
      <c r="AB37" s="47"/>
      <c r="AC37" s="47"/>
      <c r="AD37" s="93" t="str">
        <f t="array" ref="AD37">IFERROR(IF($B37="Building","Buildings",INDEX(CoA_Schema[AsseticCategory],MATCH(1,(CoA_Schema[AssetType]=$D37)*(CoA_Schema[AssetClass]=$B37)*(CoA_Schema[AssetSubClass]=$C37)*(CoA_Schema[Title]=$F37),0),0)),"")</f>
        <v/>
      </c>
      <c r="AE37" s="93" t="str">
        <f t="array" ref="AE37">IFERROR(IF($B37="Building","Buildings",INDEX(CoA_Schema[FinancialClass],MATCH(1,(CoA_Schema[AssetType]=$D37)*(CoA_Schema[AssetClass]=$B37)*(CoA_Schema[AssetSubClass]=$C37),0),0)),"")</f>
        <v/>
      </c>
      <c r="AF37" s="93" t="str">
        <f t="array" ref="AF37">IFERROR(IF($B37="Building","Buildings",INDEX(CoA_Schema[FinancialSubClass],MATCH(1,(CoA_Schema[AssetType]=$D37)*(CoA_Schema[AssetClass]=$B37)*(CoA_Schema[AssetSubClass]=$C37),0),0)),"")</f>
        <v/>
      </c>
      <c r="AG37" s="93" t="str">
        <f>IFERROR(VLOOKUP($I37,UoM!$A:$C,2,FALSE),"")</f>
        <v/>
      </c>
      <c r="AH37" s="56" t="str">
        <f>IFERROR(VLOOKUP("Renewed Assets:"&amp;ROW(),'Handover Cost Report'!$A:$U,17,FALSE),"")</f>
        <v/>
      </c>
      <c r="AI37" s="56" t="str">
        <f>IFERROR(VLOOKUP("Renewed Assets:"&amp;ROW(),'Handover Cost Report'!$A:$U,18,FALSE),"")</f>
        <v/>
      </c>
      <c r="AJ37" s="56" t="str">
        <f>IFERROR(VLOOKUP("Renewed Assets:"&amp;ROW(),'Handover Cost Report'!$A:$U,19,FALSE),"")</f>
        <v/>
      </c>
    </row>
    <row r="38" spans="2:36" s="3" customFormat="1" ht="12.75" x14ac:dyDescent="0.2">
      <c r="B38" s="47"/>
      <c r="C38" s="47"/>
      <c r="D38" s="47"/>
      <c r="E38" s="47"/>
      <c r="F38" s="47"/>
      <c r="G38" s="47"/>
      <c r="H38" s="47"/>
      <c r="I38" s="47"/>
      <c r="J38" s="48"/>
      <c r="K38" s="56">
        <f t="shared" si="0"/>
        <v>0</v>
      </c>
      <c r="L38" s="93" t="str">
        <f>IFERROR(VLOOKUP($F38,SC_Component!$B:$C,2,FALSE),"")</f>
        <v/>
      </c>
      <c r="M38" s="58"/>
      <c r="N38" s="59">
        <f t="shared" si="1"/>
        <v>0</v>
      </c>
      <c r="O38" s="59">
        <f t="shared" si="2"/>
        <v>0</v>
      </c>
      <c r="P38" s="47"/>
      <c r="Q38" s="47"/>
      <c r="R38" s="47"/>
      <c r="S38" s="58"/>
      <c r="T38" s="47"/>
      <c r="U38" s="47"/>
      <c r="V38" s="119"/>
      <c r="W38" s="119"/>
      <c r="X38" s="47"/>
      <c r="Y38" s="47"/>
      <c r="Z38" s="47"/>
      <c r="AA38" s="47"/>
      <c r="AB38" s="47"/>
      <c r="AC38" s="47"/>
      <c r="AD38" s="93" t="str">
        <f t="array" ref="AD38">IFERROR(IF($B38="Building","Buildings",INDEX(CoA_Schema[AsseticCategory],MATCH(1,(CoA_Schema[AssetType]=$D38)*(CoA_Schema[AssetClass]=$B38)*(CoA_Schema[AssetSubClass]=$C38)*(CoA_Schema[Title]=$F38),0),0)),"")</f>
        <v/>
      </c>
      <c r="AE38" s="93" t="str">
        <f t="array" ref="AE38">IFERROR(IF($B38="Building","Buildings",INDEX(CoA_Schema[FinancialClass],MATCH(1,(CoA_Schema[AssetType]=$D38)*(CoA_Schema[AssetClass]=$B38)*(CoA_Schema[AssetSubClass]=$C38),0),0)),"")</f>
        <v/>
      </c>
      <c r="AF38" s="93" t="str">
        <f t="array" ref="AF38">IFERROR(IF($B38="Building","Buildings",INDEX(CoA_Schema[FinancialSubClass],MATCH(1,(CoA_Schema[AssetType]=$D38)*(CoA_Schema[AssetClass]=$B38)*(CoA_Schema[AssetSubClass]=$C38),0),0)),"")</f>
        <v/>
      </c>
      <c r="AG38" s="93" t="str">
        <f>IFERROR(VLOOKUP($I38,UoM!$A:$C,2,FALSE),"")</f>
        <v/>
      </c>
      <c r="AH38" s="56" t="str">
        <f>IFERROR(VLOOKUP("Renewed Assets:"&amp;ROW(),'Handover Cost Report'!$A:$U,17,FALSE),"")</f>
        <v/>
      </c>
      <c r="AI38" s="56" t="str">
        <f>IFERROR(VLOOKUP("Renewed Assets:"&amp;ROW(),'Handover Cost Report'!$A:$U,18,FALSE),"")</f>
        <v/>
      </c>
      <c r="AJ38" s="56" t="str">
        <f>IFERROR(VLOOKUP("Renewed Assets:"&amp;ROW(),'Handover Cost Report'!$A:$U,19,FALSE),"")</f>
        <v/>
      </c>
    </row>
    <row r="39" spans="2:36" s="3" customFormat="1" ht="12.75" x14ac:dyDescent="0.2">
      <c r="B39" s="47"/>
      <c r="C39" s="47"/>
      <c r="D39" s="47"/>
      <c r="E39" s="47"/>
      <c r="F39" s="47"/>
      <c r="G39" s="47"/>
      <c r="H39" s="47"/>
      <c r="I39" s="47"/>
      <c r="J39" s="48"/>
      <c r="K39" s="56">
        <f t="shared" si="0"/>
        <v>0</v>
      </c>
      <c r="L39" s="93" t="str">
        <f>IFERROR(VLOOKUP($F39,SC_Component!$B:$C,2,FALSE),"")</f>
        <v/>
      </c>
      <c r="M39" s="58"/>
      <c r="N39" s="59">
        <f t="shared" si="1"/>
        <v>0</v>
      </c>
      <c r="O39" s="59">
        <f t="shared" si="2"/>
        <v>0</v>
      </c>
      <c r="P39" s="47"/>
      <c r="Q39" s="47"/>
      <c r="R39" s="47"/>
      <c r="S39" s="58"/>
      <c r="T39" s="47"/>
      <c r="U39" s="47"/>
      <c r="V39" s="119"/>
      <c r="W39" s="119"/>
      <c r="X39" s="47"/>
      <c r="Y39" s="47"/>
      <c r="Z39" s="47"/>
      <c r="AA39" s="47"/>
      <c r="AB39" s="47"/>
      <c r="AC39" s="47"/>
      <c r="AD39" s="93" t="str">
        <f t="array" ref="AD39">IFERROR(IF($B39="Building","Buildings",INDEX(CoA_Schema[AsseticCategory],MATCH(1,(CoA_Schema[AssetType]=$D39)*(CoA_Schema[AssetClass]=$B39)*(CoA_Schema[AssetSubClass]=$C39)*(CoA_Schema[Title]=$F39),0),0)),"")</f>
        <v/>
      </c>
      <c r="AE39" s="93" t="str">
        <f t="array" ref="AE39">IFERROR(IF($B39="Building","Buildings",INDEX(CoA_Schema[FinancialClass],MATCH(1,(CoA_Schema[AssetType]=$D39)*(CoA_Schema[AssetClass]=$B39)*(CoA_Schema[AssetSubClass]=$C39),0),0)),"")</f>
        <v/>
      </c>
      <c r="AF39" s="93" t="str">
        <f t="array" ref="AF39">IFERROR(IF($B39="Building","Buildings",INDEX(CoA_Schema[FinancialSubClass],MATCH(1,(CoA_Schema[AssetType]=$D39)*(CoA_Schema[AssetClass]=$B39)*(CoA_Schema[AssetSubClass]=$C39),0),0)),"")</f>
        <v/>
      </c>
      <c r="AG39" s="93" t="str">
        <f>IFERROR(VLOOKUP($I39,UoM!$A:$C,2,FALSE),"")</f>
        <v/>
      </c>
      <c r="AH39" s="56" t="str">
        <f>IFERROR(VLOOKUP("Renewed Assets:"&amp;ROW(),'Handover Cost Report'!$A:$U,17,FALSE),"")</f>
        <v/>
      </c>
      <c r="AI39" s="56" t="str">
        <f>IFERROR(VLOOKUP("Renewed Assets:"&amp;ROW(),'Handover Cost Report'!$A:$U,18,FALSE),"")</f>
        <v/>
      </c>
      <c r="AJ39" s="56" t="str">
        <f>IFERROR(VLOOKUP("Renewed Assets:"&amp;ROW(),'Handover Cost Report'!$A:$U,19,FALSE),"")</f>
        <v/>
      </c>
    </row>
    <row r="40" spans="2:36" s="3" customFormat="1" ht="12.75" x14ac:dyDescent="0.2">
      <c r="B40" s="47"/>
      <c r="C40" s="47"/>
      <c r="D40" s="47"/>
      <c r="E40" s="47"/>
      <c r="F40" s="47"/>
      <c r="G40" s="47"/>
      <c r="H40" s="47"/>
      <c r="I40" s="47"/>
      <c r="J40" s="48"/>
      <c r="K40" s="56">
        <f t="shared" ref="K40:K71" si="3">H40*J40</f>
        <v>0</v>
      </c>
      <c r="L40" s="93" t="str">
        <f>IFERROR(VLOOKUP($F40,SC_Component!$B:$C,2,FALSE),"")</f>
        <v/>
      </c>
      <c r="M40" s="58"/>
      <c r="N40" s="59">
        <f t="shared" si="1"/>
        <v>0</v>
      </c>
      <c r="O40" s="59">
        <f t="shared" si="2"/>
        <v>0</v>
      </c>
      <c r="P40" s="47"/>
      <c r="Q40" s="47"/>
      <c r="R40" s="47"/>
      <c r="S40" s="58"/>
      <c r="T40" s="47"/>
      <c r="U40" s="47"/>
      <c r="V40" s="119"/>
      <c r="W40" s="119"/>
      <c r="X40" s="47"/>
      <c r="Y40" s="47"/>
      <c r="Z40" s="47"/>
      <c r="AA40" s="47"/>
      <c r="AB40" s="47"/>
      <c r="AC40" s="47"/>
      <c r="AD40" s="93" t="str">
        <f t="array" ref="AD40">IFERROR(IF($B40="Building","Buildings",INDEX(CoA_Schema[AsseticCategory],MATCH(1,(CoA_Schema[AssetType]=$D40)*(CoA_Schema[AssetClass]=$B40)*(CoA_Schema[AssetSubClass]=$C40)*(CoA_Schema[Title]=$F40),0),0)),"")</f>
        <v/>
      </c>
      <c r="AE40" s="93" t="str">
        <f t="array" ref="AE40">IFERROR(IF($B40="Building","Buildings",INDEX(CoA_Schema[FinancialClass],MATCH(1,(CoA_Schema[AssetType]=$D40)*(CoA_Schema[AssetClass]=$B40)*(CoA_Schema[AssetSubClass]=$C40),0),0)),"")</f>
        <v/>
      </c>
      <c r="AF40" s="93" t="str">
        <f t="array" ref="AF40">IFERROR(IF($B40="Building","Buildings",INDEX(CoA_Schema[FinancialSubClass],MATCH(1,(CoA_Schema[AssetType]=$D40)*(CoA_Schema[AssetClass]=$B40)*(CoA_Schema[AssetSubClass]=$C40),0),0)),"")</f>
        <v/>
      </c>
      <c r="AG40" s="93" t="str">
        <f>IFERROR(VLOOKUP($I40,UoM!$A:$C,2,FALSE),"")</f>
        <v/>
      </c>
      <c r="AH40" s="56" t="str">
        <f>IFERROR(VLOOKUP("Renewed Assets:"&amp;ROW(),'Handover Cost Report'!$A:$U,17,FALSE),"")</f>
        <v/>
      </c>
      <c r="AI40" s="56" t="str">
        <f>IFERROR(VLOOKUP("Renewed Assets:"&amp;ROW(),'Handover Cost Report'!$A:$U,18,FALSE),"")</f>
        <v/>
      </c>
      <c r="AJ40" s="56" t="str">
        <f>IFERROR(VLOOKUP("Renewed Assets:"&amp;ROW(),'Handover Cost Report'!$A:$U,19,FALSE),"")</f>
        <v/>
      </c>
    </row>
    <row r="41" spans="2:36" s="3" customFormat="1" ht="12.75" x14ac:dyDescent="0.2">
      <c r="B41" s="47"/>
      <c r="C41" s="47"/>
      <c r="D41" s="47"/>
      <c r="E41" s="47"/>
      <c r="F41" s="47"/>
      <c r="G41" s="47"/>
      <c r="H41" s="47"/>
      <c r="I41" s="47"/>
      <c r="J41" s="48"/>
      <c r="K41" s="56">
        <f t="shared" si="3"/>
        <v>0</v>
      </c>
      <c r="L41" s="93" t="str">
        <f>IFERROR(VLOOKUP($F41,SC_Component!$B:$C,2,FALSE),"")</f>
        <v/>
      </c>
      <c r="M41" s="58"/>
      <c r="N41" s="59">
        <f t="shared" si="1"/>
        <v>0</v>
      </c>
      <c r="O41" s="59">
        <f t="shared" si="2"/>
        <v>0</v>
      </c>
      <c r="P41" s="47"/>
      <c r="Q41" s="47"/>
      <c r="R41" s="47"/>
      <c r="S41" s="58"/>
      <c r="T41" s="47"/>
      <c r="U41" s="47"/>
      <c r="V41" s="119"/>
      <c r="W41" s="119"/>
      <c r="X41" s="47"/>
      <c r="Y41" s="47"/>
      <c r="Z41" s="47"/>
      <c r="AA41" s="47"/>
      <c r="AB41" s="47"/>
      <c r="AC41" s="47"/>
      <c r="AD41" s="93" t="str">
        <f t="array" ref="AD41">IFERROR(IF($B41="Building","Buildings",INDEX(CoA_Schema[AsseticCategory],MATCH(1,(CoA_Schema[AssetType]=$D41)*(CoA_Schema[AssetClass]=$B41)*(CoA_Schema[AssetSubClass]=$C41)*(CoA_Schema[Title]=$F41),0),0)),"")</f>
        <v/>
      </c>
      <c r="AE41" s="93" t="str">
        <f t="array" ref="AE41">IFERROR(IF($B41="Building","Buildings",INDEX(CoA_Schema[FinancialClass],MATCH(1,(CoA_Schema[AssetType]=$D41)*(CoA_Schema[AssetClass]=$B41)*(CoA_Schema[AssetSubClass]=$C41),0),0)),"")</f>
        <v/>
      </c>
      <c r="AF41" s="93" t="str">
        <f t="array" ref="AF41">IFERROR(IF($B41="Building","Buildings",INDEX(CoA_Schema[FinancialSubClass],MATCH(1,(CoA_Schema[AssetType]=$D41)*(CoA_Schema[AssetClass]=$B41)*(CoA_Schema[AssetSubClass]=$C41),0),0)),"")</f>
        <v/>
      </c>
      <c r="AG41" s="93" t="str">
        <f>IFERROR(VLOOKUP($I41,UoM!$A:$C,2,FALSE),"")</f>
        <v/>
      </c>
      <c r="AH41" s="56" t="str">
        <f>IFERROR(VLOOKUP("Renewed Assets:"&amp;ROW(),'Handover Cost Report'!$A:$U,17,FALSE),"")</f>
        <v/>
      </c>
      <c r="AI41" s="56" t="str">
        <f>IFERROR(VLOOKUP("Renewed Assets:"&amp;ROW(),'Handover Cost Report'!$A:$U,18,FALSE),"")</f>
        <v/>
      </c>
      <c r="AJ41" s="56" t="str">
        <f>IFERROR(VLOOKUP("Renewed Assets:"&amp;ROW(),'Handover Cost Report'!$A:$U,19,FALSE),"")</f>
        <v/>
      </c>
    </row>
    <row r="42" spans="2:36" s="3" customFormat="1" ht="12.75" x14ac:dyDescent="0.2">
      <c r="B42" s="47"/>
      <c r="C42" s="47"/>
      <c r="D42" s="47"/>
      <c r="E42" s="47"/>
      <c r="F42" s="47"/>
      <c r="G42" s="47"/>
      <c r="H42" s="47"/>
      <c r="I42" s="47"/>
      <c r="J42" s="48"/>
      <c r="K42" s="56">
        <f t="shared" si="3"/>
        <v>0</v>
      </c>
      <c r="L42" s="93" t="str">
        <f>IFERROR(VLOOKUP($F42,SC_Component!$B:$C,2,FALSE),"")</f>
        <v/>
      </c>
      <c r="M42" s="58"/>
      <c r="N42" s="59">
        <f t="shared" si="1"/>
        <v>0</v>
      </c>
      <c r="O42" s="59">
        <f t="shared" si="2"/>
        <v>0</v>
      </c>
      <c r="P42" s="47"/>
      <c r="Q42" s="47"/>
      <c r="R42" s="47"/>
      <c r="S42" s="58"/>
      <c r="T42" s="47"/>
      <c r="U42" s="47"/>
      <c r="V42" s="119"/>
      <c r="W42" s="119"/>
      <c r="X42" s="47"/>
      <c r="Y42" s="47"/>
      <c r="Z42" s="47"/>
      <c r="AA42" s="47"/>
      <c r="AB42" s="47"/>
      <c r="AC42" s="47"/>
      <c r="AD42" s="93" t="str">
        <f t="array" ref="AD42">IFERROR(IF($B42="Building","Buildings",INDEX(CoA_Schema[AsseticCategory],MATCH(1,(CoA_Schema[AssetType]=$D42)*(CoA_Schema[AssetClass]=$B42)*(CoA_Schema[AssetSubClass]=$C42)*(CoA_Schema[Title]=$F42),0),0)),"")</f>
        <v/>
      </c>
      <c r="AE42" s="93" t="str">
        <f t="array" ref="AE42">IFERROR(IF($B42="Building","Buildings",INDEX(CoA_Schema[FinancialClass],MATCH(1,(CoA_Schema[AssetType]=$D42)*(CoA_Schema[AssetClass]=$B42)*(CoA_Schema[AssetSubClass]=$C42),0),0)),"")</f>
        <v/>
      </c>
      <c r="AF42" s="93" t="str">
        <f t="array" ref="AF42">IFERROR(IF($B42="Building","Buildings",INDEX(CoA_Schema[FinancialSubClass],MATCH(1,(CoA_Schema[AssetType]=$D42)*(CoA_Schema[AssetClass]=$B42)*(CoA_Schema[AssetSubClass]=$C42),0),0)),"")</f>
        <v/>
      </c>
      <c r="AG42" s="93" t="str">
        <f>IFERROR(VLOOKUP($I42,UoM!$A:$C,2,FALSE),"")</f>
        <v/>
      </c>
      <c r="AH42" s="56" t="str">
        <f>IFERROR(VLOOKUP("Renewed Assets:"&amp;ROW(),'Handover Cost Report'!$A:$U,17,FALSE),"")</f>
        <v/>
      </c>
      <c r="AI42" s="56" t="str">
        <f>IFERROR(VLOOKUP("Renewed Assets:"&amp;ROW(),'Handover Cost Report'!$A:$U,18,FALSE),"")</f>
        <v/>
      </c>
      <c r="AJ42" s="56" t="str">
        <f>IFERROR(VLOOKUP("Renewed Assets:"&amp;ROW(),'Handover Cost Report'!$A:$U,19,FALSE),"")</f>
        <v/>
      </c>
    </row>
    <row r="43" spans="2:36" s="3" customFormat="1" ht="12.75" x14ac:dyDescent="0.2">
      <c r="B43" s="47"/>
      <c r="C43" s="47"/>
      <c r="D43" s="47"/>
      <c r="E43" s="47"/>
      <c r="F43" s="47"/>
      <c r="G43" s="47"/>
      <c r="H43" s="47"/>
      <c r="I43" s="47"/>
      <c r="J43" s="48"/>
      <c r="K43" s="56">
        <f t="shared" si="3"/>
        <v>0</v>
      </c>
      <c r="L43" s="93" t="str">
        <f>IFERROR(VLOOKUP($F43,SC_Component!$B:$C,2,FALSE),"")</f>
        <v/>
      </c>
      <c r="M43" s="58"/>
      <c r="N43" s="59">
        <f t="shared" si="1"/>
        <v>0</v>
      </c>
      <c r="O43" s="59">
        <f t="shared" si="2"/>
        <v>0</v>
      </c>
      <c r="P43" s="47"/>
      <c r="Q43" s="47"/>
      <c r="R43" s="47"/>
      <c r="S43" s="58"/>
      <c r="T43" s="47"/>
      <c r="U43" s="47"/>
      <c r="V43" s="119"/>
      <c r="W43" s="119"/>
      <c r="X43" s="47"/>
      <c r="Y43" s="47"/>
      <c r="Z43" s="47"/>
      <c r="AA43" s="47"/>
      <c r="AB43" s="47"/>
      <c r="AC43" s="47"/>
      <c r="AD43" s="93" t="str">
        <f t="array" ref="AD43">IFERROR(IF($B43="Building","Buildings",INDEX(CoA_Schema[AsseticCategory],MATCH(1,(CoA_Schema[AssetType]=$D43)*(CoA_Schema[AssetClass]=$B43)*(CoA_Schema[AssetSubClass]=$C43)*(CoA_Schema[Title]=$F43),0),0)),"")</f>
        <v/>
      </c>
      <c r="AE43" s="93" t="str">
        <f t="array" ref="AE43">IFERROR(IF($B43="Building","Buildings",INDEX(CoA_Schema[FinancialClass],MATCH(1,(CoA_Schema[AssetType]=$D43)*(CoA_Schema[AssetClass]=$B43)*(CoA_Schema[AssetSubClass]=$C43),0),0)),"")</f>
        <v/>
      </c>
      <c r="AF43" s="93" t="str">
        <f t="array" ref="AF43">IFERROR(IF($B43="Building","Buildings",INDEX(CoA_Schema[FinancialSubClass],MATCH(1,(CoA_Schema[AssetType]=$D43)*(CoA_Schema[AssetClass]=$B43)*(CoA_Schema[AssetSubClass]=$C43),0),0)),"")</f>
        <v/>
      </c>
      <c r="AG43" s="93" t="str">
        <f>IFERROR(VLOOKUP($I43,UoM!$A:$C,2,FALSE),"")</f>
        <v/>
      </c>
      <c r="AH43" s="56" t="str">
        <f>IFERROR(VLOOKUP("Renewed Assets:"&amp;ROW(),'Handover Cost Report'!$A:$U,17,FALSE),"")</f>
        <v/>
      </c>
      <c r="AI43" s="56" t="str">
        <f>IFERROR(VLOOKUP("Renewed Assets:"&amp;ROW(),'Handover Cost Report'!$A:$U,18,FALSE),"")</f>
        <v/>
      </c>
      <c r="AJ43" s="56" t="str">
        <f>IFERROR(VLOOKUP("Renewed Assets:"&amp;ROW(),'Handover Cost Report'!$A:$U,19,FALSE),"")</f>
        <v/>
      </c>
    </row>
    <row r="44" spans="2:36" s="3" customFormat="1" ht="12.75" x14ac:dyDescent="0.2">
      <c r="B44" s="47"/>
      <c r="C44" s="47"/>
      <c r="D44" s="47"/>
      <c r="E44" s="47"/>
      <c r="F44" s="47"/>
      <c r="G44" s="47"/>
      <c r="H44" s="47"/>
      <c r="I44" s="47"/>
      <c r="J44" s="48"/>
      <c r="K44" s="56">
        <f t="shared" si="3"/>
        <v>0</v>
      </c>
      <c r="L44" s="93" t="str">
        <f>IFERROR(VLOOKUP($F44,SC_Component!$B:$C,2,FALSE),"")</f>
        <v/>
      </c>
      <c r="M44" s="58"/>
      <c r="N44" s="59">
        <f t="shared" si="1"/>
        <v>0</v>
      </c>
      <c r="O44" s="59">
        <f t="shared" si="2"/>
        <v>0</v>
      </c>
      <c r="P44" s="47"/>
      <c r="Q44" s="47"/>
      <c r="R44" s="47"/>
      <c r="S44" s="58"/>
      <c r="T44" s="47"/>
      <c r="U44" s="47"/>
      <c r="V44" s="119"/>
      <c r="W44" s="119"/>
      <c r="X44" s="47"/>
      <c r="Y44" s="47"/>
      <c r="Z44" s="47"/>
      <c r="AA44" s="47"/>
      <c r="AB44" s="47"/>
      <c r="AC44" s="47"/>
      <c r="AD44" s="93" t="str">
        <f t="array" ref="AD44">IFERROR(IF($B44="Building","Buildings",INDEX(CoA_Schema[AsseticCategory],MATCH(1,(CoA_Schema[AssetType]=$D44)*(CoA_Schema[AssetClass]=$B44)*(CoA_Schema[AssetSubClass]=$C44)*(CoA_Schema[Title]=$F44),0),0)),"")</f>
        <v/>
      </c>
      <c r="AE44" s="93" t="str">
        <f t="array" ref="AE44">IFERROR(IF($B44="Building","Buildings",INDEX(CoA_Schema[FinancialClass],MATCH(1,(CoA_Schema[AssetType]=$D44)*(CoA_Schema[AssetClass]=$B44)*(CoA_Schema[AssetSubClass]=$C44),0),0)),"")</f>
        <v/>
      </c>
      <c r="AF44" s="93" t="str">
        <f t="array" ref="AF44">IFERROR(IF($B44="Building","Buildings",INDEX(CoA_Schema[FinancialSubClass],MATCH(1,(CoA_Schema[AssetType]=$D44)*(CoA_Schema[AssetClass]=$B44)*(CoA_Schema[AssetSubClass]=$C44),0),0)),"")</f>
        <v/>
      </c>
      <c r="AG44" s="93" t="str">
        <f>IFERROR(VLOOKUP($I44,UoM!$A:$C,2,FALSE),"")</f>
        <v/>
      </c>
      <c r="AH44" s="56" t="str">
        <f>IFERROR(VLOOKUP("Renewed Assets:"&amp;ROW(),'Handover Cost Report'!$A:$U,17,FALSE),"")</f>
        <v/>
      </c>
      <c r="AI44" s="56" t="str">
        <f>IFERROR(VLOOKUP("Renewed Assets:"&amp;ROW(),'Handover Cost Report'!$A:$U,18,FALSE),"")</f>
        <v/>
      </c>
      <c r="AJ44" s="56" t="str">
        <f>IFERROR(VLOOKUP("Renewed Assets:"&amp;ROW(),'Handover Cost Report'!$A:$U,19,FALSE),"")</f>
        <v/>
      </c>
    </row>
    <row r="45" spans="2:36" s="3" customFormat="1" ht="12.75" x14ac:dyDescent="0.2">
      <c r="B45" s="47"/>
      <c r="C45" s="47"/>
      <c r="D45" s="47"/>
      <c r="E45" s="47"/>
      <c r="F45" s="47"/>
      <c r="G45" s="47"/>
      <c r="H45" s="47"/>
      <c r="I45" s="47"/>
      <c r="J45" s="48"/>
      <c r="K45" s="56">
        <f t="shared" si="3"/>
        <v>0</v>
      </c>
      <c r="L45" s="93" t="str">
        <f>IFERROR(VLOOKUP($F45,SC_Component!$B:$C,2,FALSE),"")</f>
        <v/>
      </c>
      <c r="M45" s="58"/>
      <c r="N45" s="59">
        <f t="shared" si="1"/>
        <v>0</v>
      </c>
      <c r="O45" s="59">
        <f t="shared" si="2"/>
        <v>0</v>
      </c>
      <c r="P45" s="47"/>
      <c r="Q45" s="47"/>
      <c r="R45" s="47"/>
      <c r="S45" s="58"/>
      <c r="T45" s="47"/>
      <c r="U45" s="47"/>
      <c r="V45" s="119"/>
      <c r="W45" s="119"/>
      <c r="X45" s="47"/>
      <c r="Y45" s="47"/>
      <c r="Z45" s="47"/>
      <c r="AA45" s="47"/>
      <c r="AB45" s="47"/>
      <c r="AC45" s="47"/>
      <c r="AD45" s="93" t="str">
        <f t="array" ref="AD45">IFERROR(IF($B45="Building","Buildings",INDEX(CoA_Schema[AsseticCategory],MATCH(1,(CoA_Schema[AssetType]=$D45)*(CoA_Schema[AssetClass]=$B45)*(CoA_Schema[AssetSubClass]=$C45)*(CoA_Schema[Title]=$F45),0),0)),"")</f>
        <v/>
      </c>
      <c r="AE45" s="93" t="str">
        <f t="array" ref="AE45">IFERROR(IF($B45="Building","Buildings",INDEX(CoA_Schema[FinancialClass],MATCH(1,(CoA_Schema[AssetType]=$D45)*(CoA_Schema[AssetClass]=$B45)*(CoA_Schema[AssetSubClass]=$C45),0),0)),"")</f>
        <v/>
      </c>
      <c r="AF45" s="93" t="str">
        <f t="array" ref="AF45">IFERROR(IF($B45="Building","Buildings",INDEX(CoA_Schema[FinancialSubClass],MATCH(1,(CoA_Schema[AssetType]=$D45)*(CoA_Schema[AssetClass]=$B45)*(CoA_Schema[AssetSubClass]=$C45),0),0)),"")</f>
        <v/>
      </c>
      <c r="AG45" s="93" t="str">
        <f>IFERROR(VLOOKUP($I45,UoM!$A:$C,2,FALSE),"")</f>
        <v/>
      </c>
      <c r="AH45" s="56" t="str">
        <f>IFERROR(VLOOKUP("Renewed Assets:"&amp;ROW(),'Handover Cost Report'!$A:$U,17,FALSE),"")</f>
        <v/>
      </c>
      <c r="AI45" s="56" t="str">
        <f>IFERROR(VLOOKUP("Renewed Assets:"&amp;ROW(),'Handover Cost Report'!$A:$U,18,FALSE),"")</f>
        <v/>
      </c>
      <c r="AJ45" s="56" t="str">
        <f>IFERROR(VLOOKUP("Renewed Assets:"&amp;ROW(),'Handover Cost Report'!$A:$U,19,FALSE),"")</f>
        <v/>
      </c>
    </row>
    <row r="46" spans="2:36" s="3" customFormat="1" ht="12.75" x14ac:dyDescent="0.2">
      <c r="B46" s="47"/>
      <c r="C46" s="47"/>
      <c r="D46" s="47"/>
      <c r="E46" s="47"/>
      <c r="F46" s="47"/>
      <c r="G46" s="47"/>
      <c r="H46" s="47"/>
      <c r="I46" s="47"/>
      <c r="J46" s="48"/>
      <c r="K46" s="56">
        <f t="shared" si="3"/>
        <v>0</v>
      </c>
      <c r="L46" s="93" t="str">
        <f>IFERROR(VLOOKUP($F46,SC_Component!$B:$C,2,FALSE),"")</f>
        <v/>
      </c>
      <c r="M46" s="58"/>
      <c r="N46" s="59">
        <f t="shared" si="1"/>
        <v>0</v>
      </c>
      <c r="O46" s="59">
        <f t="shared" si="2"/>
        <v>0</v>
      </c>
      <c r="P46" s="47"/>
      <c r="Q46" s="47"/>
      <c r="R46" s="47"/>
      <c r="S46" s="58"/>
      <c r="T46" s="47"/>
      <c r="U46" s="47"/>
      <c r="V46" s="119"/>
      <c r="W46" s="119"/>
      <c r="X46" s="47"/>
      <c r="Y46" s="47"/>
      <c r="Z46" s="47"/>
      <c r="AA46" s="47"/>
      <c r="AB46" s="47"/>
      <c r="AC46" s="47"/>
      <c r="AD46" s="93" t="str">
        <f t="array" ref="AD46">IFERROR(IF($B46="Building","Buildings",INDEX(CoA_Schema[AsseticCategory],MATCH(1,(CoA_Schema[AssetType]=$D46)*(CoA_Schema[AssetClass]=$B46)*(CoA_Schema[AssetSubClass]=$C46)*(CoA_Schema[Title]=$F46),0),0)),"")</f>
        <v/>
      </c>
      <c r="AE46" s="93" t="str">
        <f t="array" ref="AE46">IFERROR(IF($B46="Building","Buildings",INDEX(CoA_Schema[FinancialClass],MATCH(1,(CoA_Schema[AssetType]=$D46)*(CoA_Schema[AssetClass]=$B46)*(CoA_Schema[AssetSubClass]=$C46),0),0)),"")</f>
        <v/>
      </c>
      <c r="AF46" s="93" t="str">
        <f t="array" ref="AF46">IFERROR(IF($B46="Building","Buildings",INDEX(CoA_Schema[FinancialSubClass],MATCH(1,(CoA_Schema[AssetType]=$D46)*(CoA_Schema[AssetClass]=$B46)*(CoA_Schema[AssetSubClass]=$C46),0),0)),"")</f>
        <v/>
      </c>
      <c r="AG46" s="93" t="str">
        <f>IFERROR(VLOOKUP($I46,UoM!$A:$C,2,FALSE),"")</f>
        <v/>
      </c>
      <c r="AH46" s="56" t="str">
        <f>IFERROR(VLOOKUP("Renewed Assets:"&amp;ROW(),'Handover Cost Report'!$A:$U,17,FALSE),"")</f>
        <v/>
      </c>
      <c r="AI46" s="56" t="str">
        <f>IFERROR(VLOOKUP("Renewed Assets:"&amp;ROW(),'Handover Cost Report'!$A:$U,18,FALSE),"")</f>
        <v/>
      </c>
      <c r="AJ46" s="56" t="str">
        <f>IFERROR(VLOOKUP("Renewed Assets:"&amp;ROW(),'Handover Cost Report'!$A:$U,19,FALSE),"")</f>
        <v/>
      </c>
    </row>
    <row r="47" spans="2:36" s="3" customFormat="1" ht="12.75" x14ac:dyDescent="0.2">
      <c r="B47" s="47"/>
      <c r="C47" s="47"/>
      <c r="D47" s="47"/>
      <c r="E47" s="47"/>
      <c r="F47" s="47"/>
      <c r="G47" s="47"/>
      <c r="H47" s="47"/>
      <c r="I47" s="47"/>
      <c r="J47" s="48"/>
      <c r="K47" s="56">
        <f t="shared" si="3"/>
        <v>0</v>
      </c>
      <c r="L47" s="93" t="str">
        <f>IFERROR(VLOOKUP($F47,SC_Component!$B:$C,2,FALSE),"")</f>
        <v/>
      </c>
      <c r="M47" s="58"/>
      <c r="N47" s="59">
        <f t="shared" si="1"/>
        <v>0</v>
      </c>
      <c r="O47" s="59">
        <f t="shared" si="2"/>
        <v>0</v>
      </c>
      <c r="P47" s="47"/>
      <c r="Q47" s="47"/>
      <c r="R47" s="47"/>
      <c r="S47" s="58"/>
      <c r="T47" s="47"/>
      <c r="U47" s="47"/>
      <c r="V47" s="119"/>
      <c r="W47" s="119"/>
      <c r="X47" s="47"/>
      <c r="Y47" s="47"/>
      <c r="Z47" s="47"/>
      <c r="AA47" s="47"/>
      <c r="AB47" s="47"/>
      <c r="AC47" s="47"/>
      <c r="AD47" s="93" t="str">
        <f t="array" ref="AD47">IFERROR(IF($B47="Building","Buildings",INDEX(CoA_Schema[AsseticCategory],MATCH(1,(CoA_Schema[AssetType]=$D47)*(CoA_Schema[AssetClass]=$B47)*(CoA_Schema[AssetSubClass]=$C47)*(CoA_Schema[Title]=$F47),0),0)),"")</f>
        <v/>
      </c>
      <c r="AE47" s="93" t="str">
        <f t="array" ref="AE47">IFERROR(IF($B47="Building","Buildings",INDEX(CoA_Schema[FinancialClass],MATCH(1,(CoA_Schema[AssetType]=$D47)*(CoA_Schema[AssetClass]=$B47)*(CoA_Schema[AssetSubClass]=$C47),0),0)),"")</f>
        <v/>
      </c>
      <c r="AF47" s="93" t="str">
        <f t="array" ref="AF47">IFERROR(IF($B47="Building","Buildings",INDEX(CoA_Schema[FinancialSubClass],MATCH(1,(CoA_Schema[AssetType]=$D47)*(CoA_Schema[AssetClass]=$B47)*(CoA_Schema[AssetSubClass]=$C47),0),0)),"")</f>
        <v/>
      </c>
      <c r="AG47" s="93" t="str">
        <f>IFERROR(VLOOKUP($I47,UoM!$A:$C,2,FALSE),"")</f>
        <v/>
      </c>
      <c r="AH47" s="56" t="str">
        <f>IFERROR(VLOOKUP("Renewed Assets:"&amp;ROW(),'Handover Cost Report'!$A:$U,17,FALSE),"")</f>
        <v/>
      </c>
      <c r="AI47" s="56" t="str">
        <f>IFERROR(VLOOKUP("Renewed Assets:"&amp;ROW(),'Handover Cost Report'!$A:$U,18,FALSE),"")</f>
        <v/>
      </c>
      <c r="AJ47" s="56" t="str">
        <f>IFERROR(VLOOKUP("Renewed Assets:"&amp;ROW(),'Handover Cost Report'!$A:$U,19,FALSE),"")</f>
        <v/>
      </c>
    </row>
    <row r="48" spans="2:36" s="3" customFormat="1" ht="12.75" x14ac:dyDescent="0.2">
      <c r="B48" s="47"/>
      <c r="C48" s="47"/>
      <c r="D48" s="47"/>
      <c r="E48" s="47"/>
      <c r="F48" s="47"/>
      <c r="G48" s="47"/>
      <c r="H48" s="47"/>
      <c r="I48" s="47"/>
      <c r="J48" s="48"/>
      <c r="K48" s="56">
        <f t="shared" si="3"/>
        <v>0</v>
      </c>
      <c r="L48" s="93" t="str">
        <f>IFERROR(VLOOKUP($F48,SC_Component!$B:$C,2,FALSE),"")</f>
        <v/>
      </c>
      <c r="M48" s="58"/>
      <c r="N48" s="59">
        <f t="shared" si="1"/>
        <v>0</v>
      </c>
      <c r="O48" s="59">
        <f t="shared" si="2"/>
        <v>0</v>
      </c>
      <c r="P48" s="47"/>
      <c r="Q48" s="47"/>
      <c r="R48" s="47"/>
      <c r="S48" s="58"/>
      <c r="T48" s="47"/>
      <c r="U48" s="47"/>
      <c r="V48" s="119"/>
      <c r="W48" s="119"/>
      <c r="X48" s="47"/>
      <c r="Y48" s="47"/>
      <c r="Z48" s="47"/>
      <c r="AA48" s="47"/>
      <c r="AB48" s="47"/>
      <c r="AC48" s="47"/>
      <c r="AD48" s="93" t="str">
        <f t="array" ref="AD48">IFERROR(IF($B48="Building","Buildings",INDEX(CoA_Schema[AsseticCategory],MATCH(1,(CoA_Schema[AssetType]=$D48)*(CoA_Schema[AssetClass]=$B48)*(CoA_Schema[AssetSubClass]=$C48)*(CoA_Schema[Title]=$F48),0),0)),"")</f>
        <v/>
      </c>
      <c r="AE48" s="93" t="str">
        <f t="array" ref="AE48">IFERROR(IF($B48="Building","Buildings",INDEX(CoA_Schema[FinancialClass],MATCH(1,(CoA_Schema[AssetType]=$D48)*(CoA_Schema[AssetClass]=$B48)*(CoA_Schema[AssetSubClass]=$C48),0),0)),"")</f>
        <v/>
      </c>
      <c r="AF48" s="93" t="str">
        <f t="array" ref="AF48">IFERROR(IF($B48="Building","Buildings",INDEX(CoA_Schema[FinancialSubClass],MATCH(1,(CoA_Schema[AssetType]=$D48)*(CoA_Schema[AssetClass]=$B48)*(CoA_Schema[AssetSubClass]=$C48),0),0)),"")</f>
        <v/>
      </c>
      <c r="AG48" s="93" t="str">
        <f>IFERROR(VLOOKUP($I48,UoM!$A:$C,2,FALSE),"")</f>
        <v/>
      </c>
      <c r="AH48" s="56" t="str">
        <f>IFERROR(VLOOKUP("Renewed Assets:"&amp;ROW(),'Handover Cost Report'!$A:$U,17,FALSE),"")</f>
        <v/>
      </c>
      <c r="AI48" s="56" t="str">
        <f>IFERROR(VLOOKUP("Renewed Assets:"&amp;ROW(),'Handover Cost Report'!$A:$U,18,FALSE),"")</f>
        <v/>
      </c>
      <c r="AJ48" s="56" t="str">
        <f>IFERROR(VLOOKUP("Renewed Assets:"&amp;ROW(),'Handover Cost Report'!$A:$U,19,FALSE),"")</f>
        <v/>
      </c>
    </row>
    <row r="49" spans="2:36" s="3" customFormat="1" ht="12.75" x14ac:dyDescent="0.2">
      <c r="B49" s="47"/>
      <c r="C49" s="47"/>
      <c r="D49" s="47"/>
      <c r="E49" s="47"/>
      <c r="F49" s="47"/>
      <c r="G49" s="47"/>
      <c r="H49" s="47"/>
      <c r="I49" s="47"/>
      <c r="J49" s="48"/>
      <c r="K49" s="56">
        <f t="shared" si="3"/>
        <v>0</v>
      </c>
      <c r="L49" s="93" t="str">
        <f>IFERROR(VLOOKUP($F49,SC_Component!$B:$C,2,FALSE),"")</f>
        <v/>
      </c>
      <c r="M49" s="58"/>
      <c r="N49" s="59">
        <f t="shared" si="1"/>
        <v>0</v>
      </c>
      <c r="O49" s="59">
        <f t="shared" si="2"/>
        <v>0</v>
      </c>
      <c r="P49" s="47"/>
      <c r="Q49" s="47"/>
      <c r="R49" s="47"/>
      <c r="S49" s="58"/>
      <c r="T49" s="47"/>
      <c r="U49" s="47"/>
      <c r="V49" s="119"/>
      <c r="W49" s="119"/>
      <c r="X49" s="47"/>
      <c r="Y49" s="47"/>
      <c r="Z49" s="47"/>
      <c r="AA49" s="47"/>
      <c r="AB49" s="47"/>
      <c r="AC49" s="47"/>
      <c r="AD49" s="93" t="str">
        <f t="array" ref="AD49">IFERROR(IF($B49="Building","Buildings",INDEX(CoA_Schema[AsseticCategory],MATCH(1,(CoA_Schema[AssetType]=$D49)*(CoA_Schema[AssetClass]=$B49)*(CoA_Schema[AssetSubClass]=$C49)*(CoA_Schema[Title]=$F49),0),0)),"")</f>
        <v/>
      </c>
      <c r="AE49" s="93" t="str">
        <f t="array" ref="AE49">IFERROR(IF($B49="Building","Buildings",INDEX(CoA_Schema[FinancialClass],MATCH(1,(CoA_Schema[AssetType]=$D49)*(CoA_Schema[AssetClass]=$B49)*(CoA_Schema[AssetSubClass]=$C49),0),0)),"")</f>
        <v/>
      </c>
      <c r="AF49" s="93" t="str">
        <f t="array" ref="AF49">IFERROR(IF($B49="Building","Buildings",INDEX(CoA_Schema[FinancialSubClass],MATCH(1,(CoA_Schema[AssetType]=$D49)*(CoA_Schema[AssetClass]=$B49)*(CoA_Schema[AssetSubClass]=$C49),0),0)),"")</f>
        <v/>
      </c>
      <c r="AG49" s="93" t="str">
        <f>IFERROR(VLOOKUP($I49,UoM!$A:$C,2,FALSE),"")</f>
        <v/>
      </c>
      <c r="AH49" s="56" t="str">
        <f>IFERROR(VLOOKUP("Renewed Assets:"&amp;ROW(),'Handover Cost Report'!$A:$U,17,FALSE),"")</f>
        <v/>
      </c>
      <c r="AI49" s="56" t="str">
        <f>IFERROR(VLOOKUP("Renewed Assets:"&amp;ROW(),'Handover Cost Report'!$A:$U,18,FALSE),"")</f>
        <v/>
      </c>
      <c r="AJ49" s="56" t="str">
        <f>IFERROR(VLOOKUP("Renewed Assets:"&amp;ROW(),'Handover Cost Report'!$A:$U,19,FALSE),"")</f>
        <v/>
      </c>
    </row>
    <row r="50" spans="2:36" s="3" customFormat="1" ht="12.75" x14ac:dyDescent="0.2">
      <c r="B50" s="47"/>
      <c r="C50" s="47"/>
      <c r="D50" s="47"/>
      <c r="E50" s="47"/>
      <c r="F50" s="47"/>
      <c r="G50" s="47"/>
      <c r="H50" s="47"/>
      <c r="I50" s="47"/>
      <c r="J50" s="48"/>
      <c r="K50" s="56">
        <f t="shared" si="3"/>
        <v>0</v>
      </c>
      <c r="L50" s="93" t="str">
        <f>IFERROR(VLOOKUP($F50,SC_Component!$B:$C,2,FALSE),"")</f>
        <v/>
      </c>
      <c r="M50" s="58"/>
      <c r="N50" s="59">
        <f t="shared" si="1"/>
        <v>0</v>
      </c>
      <c r="O50" s="59">
        <f t="shared" si="2"/>
        <v>0</v>
      </c>
      <c r="P50" s="47"/>
      <c r="Q50" s="47"/>
      <c r="R50" s="47"/>
      <c r="S50" s="58"/>
      <c r="T50" s="47"/>
      <c r="U50" s="47"/>
      <c r="V50" s="119"/>
      <c r="W50" s="119"/>
      <c r="X50" s="47"/>
      <c r="Y50" s="47"/>
      <c r="Z50" s="47"/>
      <c r="AA50" s="47"/>
      <c r="AB50" s="47"/>
      <c r="AC50" s="47"/>
      <c r="AD50" s="93" t="str">
        <f t="array" ref="AD50">IFERROR(IF($B50="Building","Buildings",INDEX(CoA_Schema[AsseticCategory],MATCH(1,(CoA_Schema[AssetType]=$D50)*(CoA_Schema[AssetClass]=$B50)*(CoA_Schema[AssetSubClass]=$C50)*(CoA_Schema[Title]=$F50),0),0)),"")</f>
        <v/>
      </c>
      <c r="AE50" s="93" t="str">
        <f t="array" ref="AE50">IFERROR(IF($B50="Building","Buildings",INDEX(CoA_Schema[FinancialClass],MATCH(1,(CoA_Schema[AssetType]=$D50)*(CoA_Schema[AssetClass]=$B50)*(CoA_Schema[AssetSubClass]=$C50),0),0)),"")</f>
        <v/>
      </c>
      <c r="AF50" s="93" t="str">
        <f t="array" ref="AF50">IFERROR(IF($B50="Building","Buildings",INDEX(CoA_Schema[FinancialSubClass],MATCH(1,(CoA_Schema[AssetType]=$D50)*(CoA_Schema[AssetClass]=$B50)*(CoA_Schema[AssetSubClass]=$C50),0),0)),"")</f>
        <v/>
      </c>
      <c r="AG50" s="93" t="str">
        <f>IFERROR(VLOOKUP($I50,UoM!$A:$C,2,FALSE),"")</f>
        <v/>
      </c>
      <c r="AH50" s="56" t="str">
        <f>IFERROR(VLOOKUP("Renewed Assets:"&amp;ROW(),'Handover Cost Report'!$A:$U,17,FALSE),"")</f>
        <v/>
      </c>
      <c r="AI50" s="56" t="str">
        <f>IFERROR(VLOOKUP("Renewed Assets:"&amp;ROW(),'Handover Cost Report'!$A:$U,18,FALSE),"")</f>
        <v/>
      </c>
      <c r="AJ50" s="56" t="str">
        <f>IFERROR(VLOOKUP("Renewed Assets:"&amp;ROW(),'Handover Cost Report'!$A:$U,19,FALSE),"")</f>
        <v/>
      </c>
    </row>
    <row r="51" spans="2:36" s="3" customFormat="1" ht="12.75" x14ac:dyDescent="0.2">
      <c r="B51" s="47"/>
      <c r="C51" s="47"/>
      <c r="D51" s="47"/>
      <c r="E51" s="47"/>
      <c r="F51" s="47"/>
      <c r="G51" s="47"/>
      <c r="H51" s="47"/>
      <c r="I51" s="47"/>
      <c r="J51" s="48"/>
      <c r="K51" s="56">
        <f t="shared" si="3"/>
        <v>0</v>
      </c>
      <c r="L51" s="93" t="str">
        <f>IFERROR(VLOOKUP($F51,SC_Component!$B:$C,2,FALSE),"")</f>
        <v/>
      </c>
      <c r="M51" s="58"/>
      <c r="N51" s="59">
        <f t="shared" si="1"/>
        <v>0</v>
      </c>
      <c r="O51" s="59">
        <f t="shared" si="2"/>
        <v>0</v>
      </c>
      <c r="P51" s="47"/>
      <c r="Q51" s="47"/>
      <c r="R51" s="47"/>
      <c r="S51" s="58"/>
      <c r="T51" s="47"/>
      <c r="U51" s="47"/>
      <c r="V51" s="119"/>
      <c r="W51" s="119"/>
      <c r="X51" s="47"/>
      <c r="Y51" s="47"/>
      <c r="Z51" s="47"/>
      <c r="AA51" s="47"/>
      <c r="AB51" s="47"/>
      <c r="AC51" s="47"/>
      <c r="AD51" s="93" t="str">
        <f t="array" ref="AD51">IFERROR(IF($B51="Building","Buildings",INDEX(CoA_Schema[AsseticCategory],MATCH(1,(CoA_Schema[AssetType]=$D51)*(CoA_Schema[AssetClass]=$B51)*(CoA_Schema[AssetSubClass]=$C51)*(CoA_Schema[Title]=$F51),0),0)),"")</f>
        <v/>
      </c>
      <c r="AE51" s="93" t="str">
        <f t="array" ref="AE51">IFERROR(IF($B51="Building","Buildings",INDEX(CoA_Schema[FinancialClass],MATCH(1,(CoA_Schema[AssetType]=$D51)*(CoA_Schema[AssetClass]=$B51)*(CoA_Schema[AssetSubClass]=$C51),0),0)),"")</f>
        <v/>
      </c>
      <c r="AF51" s="93" t="str">
        <f t="array" ref="AF51">IFERROR(IF($B51="Building","Buildings",INDEX(CoA_Schema[FinancialSubClass],MATCH(1,(CoA_Schema[AssetType]=$D51)*(CoA_Schema[AssetClass]=$B51)*(CoA_Schema[AssetSubClass]=$C51),0),0)),"")</f>
        <v/>
      </c>
      <c r="AG51" s="93" t="str">
        <f>IFERROR(VLOOKUP($I51,UoM!$A:$C,2,FALSE),"")</f>
        <v/>
      </c>
      <c r="AH51" s="56" t="str">
        <f>IFERROR(VLOOKUP("Renewed Assets:"&amp;ROW(),'Handover Cost Report'!$A:$U,17,FALSE),"")</f>
        <v/>
      </c>
      <c r="AI51" s="56" t="str">
        <f>IFERROR(VLOOKUP("Renewed Assets:"&amp;ROW(),'Handover Cost Report'!$A:$U,18,FALSE),"")</f>
        <v/>
      </c>
      <c r="AJ51" s="56" t="str">
        <f>IFERROR(VLOOKUP("Renewed Assets:"&amp;ROW(),'Handover Cost Report'!$A:$U,19,FALSE),"")</f>
        <v/>
      </c>
    </row>
    <row r="52" spans="2:36" s="3" customFormat="1" ht="12.75" x14ac:dyDescent="0.2">
      <c r="B52" s="47"/>
      <c r="C52" s="47"/>
      <c r="D52" s="47"/>
      <c r="E52" s="47"/>
      <c r="F52" s="47"/>
      <c r="G52" s="47"/>
      <c r="H52" s="47"/>
      <c r="I52" s="47"/>
      <c r="J52" s="48"/>
      <c r="K52" s="56">
        <f t="shared" si="3"/>
        <v>0</v>
      </c>
      <c r="L52" s="93" t="str">
        <f>IFERROR(VLOOKUP($F52,SC_Component!$B:$C,2,FALSE),"")</f>
        <v/>
      </c>
      <c r="M52" s="58"/>
      <c r="N52" s="59">
        <f t="shared" si="1"/>
        <v>0</v>
      </c>
      <c r="O52" s="59">
        <f t="shared" si="2"/>
        <v>0</v>
      </c>
      <c r="P52" s="47"/>
      <c r="Q52" s="47"/>
      <c r="R52" s="47"/>
      <c r="S52" s="58"/>
      <c r="T52" s="47"/>
      <c r="U52" s="47"/>
      <c r="V52" s="119"/>
      <c r="W52" s="119"/>
      <c r="X52" s="47"/>
      <c r="Y52" s="47"/>
      <c r="Z52" s="47"/>
      <c r="AA52" s="47"/>
      <c r="AB52" s="47"/>
      <c r="AC52" s="47"/>
      <c r="AD52" s="93" t="str">
        <f t="array" ref="AD52">IFERROR(IF($B52="Building","Buildings",INDEX(CoA_Schema[AsseticCategory],MATCH(1,(CoA_Schema[AssetType]=$D52)*(CoA_Schema[AssetClass]=$B52)*(CoA_Schema[AssetSubClass]=$C52)*(CoA_Schema[Title]=$F52),0),0)),"")</f>
        <v/>
      </c>
      <c r="AE52" s="93" t="str">
        <f t="array" ref="AE52">IFERROR(IF($B52="Building","Buildings",INDEX(CoA_Schema[FinancialClass],MATCH(1,(CoA_Schema[AssetType]=$D52)*(CoA_Schema[AssetClass]=$B52)*(CoA_Schema[AssetSubClass]=$C52),0),0)),"")</f>
        <v/>
      </c>
      <c r="AF52" s="93" t="str">
        <f t="array" ref="AF52">IFERROR(IF($B52="Building","Buildings",INDEX(CoA_Schema[FinancialSubClass],MATCH(1,(CoA_Schema[AssetType]=$D52)*(CoA_Schema[AssetClass]=$B52)*(CoA_Schema[AssetSubClass]=$C52),0),0)),"")</f>
        <v/>
      </c>
      <c r="AG52" s="93" t="str">
        <f>IFERROR(VLOOKUP($I52,UoM!$A:$C,2,FALSE),"")</f>
        <v/>
      </c>
      <c r="AH52" s="56" t="str">
        <f>IFERROR(VLOOKUP("Renewed Assets:"&amp;ROW(),'Handover Cost Report'!$A:$U,17,FALSE),"")</f>
        <v/>
      </c>
      <c r="AI52" s="56" t="str">
        <f>IFERROR(VLOOKUP("Renewed Assets:"&amp;ROW(),'Handover Cost Report'!$A:$U,18,FALSE),"")</f>
        <v/>
      </c>
      <c r="AJ52" s="56" t="str">
        <f>IFERROR(VLOOKUP("Renewed Assets:"&amp;ROW(),'Handover Cost Report'!$A:$U,19,FALSE),"")</f>
        <v/>
      </c>
    </row>
    <row r="53" spans="2:36" s="3" customFormat="1" ht="12.75" x14ac:dyDescent="0.2">
      <c r="B53" s="47"/>
      <c r="C53" s="47"/>
      <c r="D53" s="47"/>
      <c r="E53" s="47"/>
      <c r="F53" s="47"/>
      <c r="G53" s="47"/>
      <c r="H53" s="47"/>
      <c r="I53" s="47"/>
      <c r="J53" s="48"/>
      <c r="K53" s="56">
        <f t="shared" si="3"/>
        <v>0</v>
      </c>
      <c r="L53" s="93" t="str">
        <f>IFERROR(VLOOKUP($F53,SC_Component!$B:$C,2,FALSE),"")</f>
        <v/>
      </c>
      <c r="M53" s="58"/>
      <c r="N53" s="59">
        <f t="shared" si="1"/>
        <v>0</v>
      </c>
      <c r="O53" s="59">
        <f t="shared" si="2"/>
        <v>0</v>
      </c>
      <c r="P53" s="47"/>
      <c r="Q53" s="47"/>
      <c r="R53" s="47"/>
      <c r="S53" s="58"/>
      <c r="T53" s="47"/>
      <c r="U53" s="47"/>
      <c r="V53" s="119"/>
      <c r="W53" s="119"/>
      <c r="X53" s="47"/>
      <c r="Y53" s="47"/>
      <c r="Z53" s="47"/>
      <c r="AA53" s="47"/>
      <c r="AB53" s="47"/>
      <c r="AC53" s="47"/>
      <c r="AD53" s="93" t="str">
        <f t="array" ref="AD53">IFERROR(IF($B53="Building","Buildings",INDEX(CoA_Schema[AsseticCategory],MATCH(1,(CoA_Schema[AssetType]=$D53)*(CoA_Schema[AssetClass]=$B53)*(CoA_Schema[AssetSubClass]=$C53)*(CoA_Schema[Title]=$F53),0),0)),"")</f>
        <v/>
      </c>
      <c r="AE53" s="93" t="str">
        <f t="array" ref="AE53">IFERROR(IF($B53="Building","Buildings",INDEX(CoA_Schema[FinancialClass],MATCH(1,(CoA_Schema[AssetType]=$D53)*(CoA_Schema[AssetClass]=$B53)*(CoA_Schema[AssetSubClass]=$C53),0),0)),"")</f>
        <v/>
      </c>
      <c r="AF53" s="93" t="str">
        <f t="array" ref="AF53">IFERROR(IF($B53="Building","Buildings",INDEX(CoA_Schema[FinancialSubClass],MATCH(1,(CoA_Schema[AssetType]=$D53)*(CoA_Schema[AssetClass]=$B53)*(CoA_Schema[AssetSubClass]=$C53),0),0)),"")</f>
        <v/>
      </c>
      <c r="AG53" s="93" t="str">
        <f>IFERROR(VLOOKUP($I53,UoM!$A:$C,2,FALSE),"")</f>
        <v/>
      </c>
      <c r="AH53" s="56" t="str">
        <f>IFERROR(VLOOKUP("Renewed Assets:"&amp;ROW(),'Handover Cost Report'!$A:$U,17,FALSE),"")</f>
        <v/>
      </c>
      <c r="AI53" s="56" t="str">
        <f>IFERROR(VLOOKUP("Renewed Assets:"&amp;ROW(),'Handover Cost Report'!$A:$U,18,FALSE),"")</f>
        <v/>
      </c>
      <c r="AJ53" s="56" t="str">
        <f>IFERROR(VLOOKUP("Renewed Assets:"&amp;ROW(),'Handover Cost Report'!$A:$U,19,FALSE),"")</f>
        <v/>
      </c>
    </row>
    <row r="54" spans="2:36" s="3" customFormat="1" ht="12.75" x14ac:dyDescent="0.2">
      <c r="B54" s="47"/>
      <c r="C54" s="47"/>
      <c r="D54" s="47"/>
      <c r="E54" s="47"/>
      <c r="F54" s="47"/>
      <c r="G54" s="47"/>
      <c r="H54" s="47"/>
      <c r="I54" s="47"/>
      <c r="J54" s="48"/>
      <c r="K54" s="56">
        <f t="shared" si="3"/>
        <v>0</v>
      </c>
      <c r="L54" s="93" t="str">
        <f>IFERROR(VLOOKUP($F54,SC_Component!$B:$C,2,FALSE),"")</f>
        <v/>
      </c>
      <c r="M54" s="58"/>
      <c r="N54" s="59">
        <f t="shared" si="1"/>
        <v>0</v>
      </c>
      <c r="O54" s="59">
        <f t="shared" si="2"/>
        <v>0</v>
      </c>
      <c r="P54" s="47"/>
      <c r="Q54" s="47"/>
      <c r="R54" s="47"/>
      <c r="S54" s="58"/>
      <c r="T54" s="47"/>
      <c r="U54" s="47"/>
      <c r="V54" s="119"/>
      <c r="W54" s="119"/>
      <c r="X54" s="47"/>
      <c r="Y54" s="47"/>
      <c r="Z54" s="47"/>
      <c r="AA54" s="47"/>
      <c r="AB54" s="47"/>
      <c r="AC54" s="47"/>
      <c r="AD54" s="93" t="str">
        <f t="array" ref="AD54">IFERROR(IF($B54="Building","Buildings",INDEX(CoA_Schema[AsseticCategory],MATCH(1,(CoA_Schema[AssetType]=$D54)*(CoA_Schema[AssetClass]=$B54)*(CoA_Schema[AssetSubClass]=$C54)*(CoA_Schema[Title]=$F54),0),0)),"")</f>
        <v/>
      </c>
      <c r="AE54" s="93" t="str">
        <f t="array" ref="AE54">IFERROR(IF($B54="Building","Buildings",INDEX(CoA_Schema[FinancialClass],MATCH(1,(CoA_Schema[AssetType]=$D54)*(CoA_Schema[AssetClass]=$B54)*(CoA_Schema[AssetSubClass]=$C54),0),0)),"")</f>
        <v/>
      </c>
      <c r="AF54" s="93" t="str">
        <f t="array" ref="AF54">IFERROR(IF($B54="Building","Buildings",INDEX(CoA_Schema[FinancialSubClass],MATCH(1,(CoA_Schema[AssetType]=$D54)*(CoA_Schema[AssetClass]=$B54)*(CoA_Schema[AssetSubClass]=$C54),0),0)),"")</f>
        <v/>
      </c>
      <c r="AG54" s="93" t="str">
        <f>IFERROR(VLOOKUP($I54,UoM!$A:$C,2,FALSE),"")</f>
        <v/>
      </c>
      <c r="AH54" s="56" t="str">
        <f>IFERROR(VLOOKUP("Renewed Assets:"&amp;ROW(),'Handover Cost Report'!$A:$U,17,FALSE),"")</f>
        <v/>
      </c>
      <c r="AI54" s="56" t="str">
        <f>IFERROR(VLOOKUP("Renewed Assets:"&amp;ROW(),'Handover Cost Report'!$A:$U,18,FALSE),"")</f>
        <v/>
      </c>
      <c r="AJ54" s="56" t="str">
        <f>IFERROR(VLOOKUP("Renewed Assets:"&amp;ROW(),'Handover Cost Report'!$A:$U,19,FALSE),"")</f>
        <v/>
      </c>
    </row>
    <row r="55" spans="2:36" s="3" customFormat="1" ht="12.75" x14ac:dyDescent="0.2">
      <c r="B55" s="47"/>
      <c r="C55" s="47"/>
      <c r="D55" s="47"/>
      <c r="E55" s="47"/>
      <c r="F55" s="47"/>
      <c r="G55" s="47"/>
      <c r="H55" s="47"/>
      <c r="I55" s="47"/>
      <c r="J55" s="48"/>
      <c r="K55" s="56">
        <f t="shared" si="3"/>
        <v>0</v>
      </c>
      <c r="L55" s="93" t="str">
        <f>IFERROR(VLOOKUP($F55,SC_Component!$B:$C,2,FALSE),"")</f>
        <v/>
      </c>
      <c r="M55" s="58"/>
      <c r="N55" s="59">
        <f t="shared" si="1"/>
        <v>0</v>
      </c>
      <c r="O55" s="59">
        <f t="shared" si="2"/>
        <v>0</v>
      </c>
      <c r="P55" s="47"/>
      <c r="Q55" s="47"/>
      <c r="R55" s="47"/>
      <c r="S55" s="58"/>
      <c r="T55" s="47"/>
      <c r="U55" s="47"/>
      <c r="V55" s="119"/>
      <c r="W55" s="119"/>
      <c r="X55" s="47"/>
      <c r="Y55" s="47"/>
      <c r="Z55" s="47"/>
      <c r="AA55" s="47"/>
      <c r="AB55" s="47"/>
      <c r="AC55" s="47"/>
      <c r="AD55" s="93" t="str">
        <f t="array" ref="AD55">IFERROR(IF($B55="Building","Buildings",INDEX(CoA_Schema[AsseticCategory],MATCH(1,(CoA_Schema[AssetType]=$D55)*(CoA_Schema[AssetClass]=$B55)*(CoA_Schema[AssetSubClass]=$C55)*(CoA_Schema[Title]=$F55),0),0)),"")</f>
        <v/>
      </c>
      <c r="AE55" s="93" t="str">
        <f t="array" ref="AE55">IFERROR(IF($B55="Building","Buildings",INDEX(CoA_Schema[FinancialClass],MATCH(1,(CoA_Schema[AssetType]=$D55)*(CoA_Schema[AssetClass]=$B55)*(CoA_Schema[AssetSubClass]=$C55),0),0)),"")</f>
        <v/>
      </c>
      <c r="AF55" s="93" t="str">
        <f t="array" ref="AF55">IFERROR(IF($B55="Building","Buildings",INDEX(CoA_Schema[FinancialSubClass],MATCH(1,(CoA_Schema[AssetType]=$D55)*(CoA_Schema[AssetClass]=$B55)*(CoA_Schema[AssetSubClass]=$C55),0),0)),"")</f>
        <v/>
      </c>
      <c r="AG55" s="93" t="str">
        <f>IFERROR(VLOOKUP($I55,UoM!$A:$C,2,FALSE),"")</f>
        <v/>
      </c>
      <c r="AH55" s="56" t="str">
        <f>IFERROR(VLOOKUP("Renewed Assets:"&amp;ROW(),'Handover Cost Report'!$A:$U,17,FALSE),"")</f>
        <v/>
      </c>
      <c r="AI55" s="56" t="str">
        <f>IFERROR(VLOOKUP("Renewed Assets:"&amp;ROW(),'Handover Cost Report'!$A:$U,18,FALSE),"")</f>
        <v/>
      </c>
      <c r="AJ55" s="56" t="str">
        <f>IFERROR(VLOOKUP("Renewed Assets:"&amp;ROW(),'Handover Cost Report'!$A:$U,19,FALSE),"")</f>
        <v/>
      </c>
    </row>
    <row r="56" spans="2:36" s="3" customFormat="1" ht="12.75" x14ac:dyDescent="0.2">
      <c r="B56" s="47"/>
      <c r="C56" s="47"/>
      <c r="D56" s="47"/>
      <c r="E56" s="47"/>
      <c r="F56" s="47"/>
      <c r="G56" s="47"/>
      <c r="H56" s="47"/>
      <c r="I56" s="47"/>
      <c r="J56" s="48"/>
      <c r="K56" s="56">
        <f t="shared" si="3"/>
        <v>0</v>
      </c>
      <c r="L56" s="93" t="str">
        <f>IFERROR(VLOOKUP($F56,SC_Component!$B:$C,2,FALSE),"")</f>
        <v/>
      </c>
      <c r="M56" s="58"/>
      <c r="N56" s="59">
        <f t="shared" si="1"/>
        <v>0</v>
      </c>
      <c r="O56" s="59">
        <f t="shared" si="2"/>
        <v>0</v>
      </c>
      <c r="P56" s="47"/>
      <c r="Q56" s="47"/>
      <c r="R56" s="47"/>
      <c r="S56" s="58"/>
      <c r="T56" s="47"/>
      <c r="U56" s="47"/>
      <c r="V56" s="119"/>
      <c r="W56" s="119"/>
      <c r="X56" s="47"/>
      <c r="Y56" s="47"/>
      <c r="Z56" s="47"/>
      <c r="AA56" s="47"/>
      <c r="AB56" s="47"/>
      <c r="AC56" s="47"/>
      <c r="AD56" s="93" t="str">
        <f t="array" ref="AD56">IFERROR(IF($B56="Building","Buildings",INDEX(CoA_Schema[AsseticCategory],MATCH(1,(CoA_Schema[AssetType]=$D56)*(CoA_Schema[AssetClass]=$B56)*(CoA_Schema[AssetSubClass]=$C56)*(CoA_Schema[Title]=$F56),0),0)),"")</f>
        <v/>
      </c>
      <c r="AE56" s="93" t="str">
        <f t="array" ref="AE56">IFERROR(IF($B56="Building","Buildings",INDEX(CoA_Schema[FinancialClass],MATCH(1,(CoA_Schema[AssetType]=$D56)*(CoA_Schema[AssetClass]=$B56)*(CoA_Schema[AssetSubClass]=$C56),0),0)),"")</f>
        <v/>
      </c>
      <c r="AF56" s="93" t="str">
        <f t="array" ref="AF56">IFERROR(IF($B56="Building","Buildings",INDEX(CoA_Schema[FinancialSubClass],MATCH(1,(CoA_Schema[AssetType]=$D56)*(CoA_Schema[AssetClass]=$B56)*(CoA_Schema[AssetSubClass]=$C56),0),0)),"")</f>
        <v/>
      </c>
      <c r="AG56" s="93" t="str">
        <f>IFERROR(VLOOKUP($I56,UoM!$A:$C,2,FALSE),"")</f>
        <v/>
      </c>
      <c r="AH56" s="56" t="str">
        <f>IFERROR(VLOOKUP("Renewed Assets:"&amp;ROW(),'Handover Cost Report'!$A:$U,17,FALSE),"")</f>
        <v/>
      </c>
      <c r="AI56" s="56" t="str">
        <f>IFERROR(VLOOKUP("Renewed Assets:"&amp;ROW(),'Handover Cost Report'!$A:$U,18,FALSE),"")</f>
        <v/>
      </c>
      <c r="AJ56" s="56" t="str">
        <f>IFERROR(VLOOKUP("Renewed Assets:"&amp;ROW(),'Handover Cost Report'!$A:$U,19,FALSE),"")</f>
        <v/>
      </c>
    </row>
    <row r="57" spans="2:36" s="3" customFormat="1" ht="12.75" x14ac:dyDescent="0.2">
      <c r="B57" s="47"/>
      <c r="C57" s="47"/>
      <c r="D57" s="47"/>
      <c r="E57" s="47"/>
      <c r="F57" s="47"/>
      <c r="G57" s="47"/>
      <c r="H57" s="47"/>
      <c r="I57" s="47"/>
      <c r="J57" s="48"/>
      <c r="K57" s="56">
        <f t="shared" si="3"/>
        <v>0</v>
      </c>
      <c r="L57" s="93" t="str">
        <f>IFERROR(VLOOKUP($F57,SC_Component!$B:$C,2,FALSE),"")</f>
        <v/>
      </c>
      <c r="M57" s="58"/>
      <c r="N57" s="59">
        <f t="shared" si="1"/>
        <v>0</v>
      </c>
      <c r="O57" s="59">
        <f t="shared" si="2"/>
        <v>0</v>
      </c>
      <c r="P57" s="47"/>
      <c r="Q57" s="47"/>
      <c r="R57" s="47"/>
      <c r="S57" s="58"/>
      <c r="T57" s="47"/>
      <c r="U57" s="47"/>
      <c r="V57" s="119"/>
      <c r="W57" s="119"/>
      <c r="X57" s="47"/>
      <c r="Y57" s="47"/>
      <c r="Z57" s="47"/>
      <c r="AA57" s="47"/>
      <c r="AB57" s="47"/>
      <c r="AC57" s="47"/>
      <c r="AD57" s="93" t="str">
        <f t="array" ref="AD57">IFERROR(IF($B57="Building","Buildings",INDEX(CoA_Schema[AsseticCategory],MATCH(1,(CoA_Schema[AssetType]=$D57)*(CoA_Schema[AssetClass]=$B57)*(CoA_Schema[AssetSubClass]=$C57)*(CoA_Schema[Title]=$F57),0),0)),"")</f>
        <v/>
      </c>
      <c r="AE57" s="93" t="str">
        <f t="array" ref="AE57">IFERROR(IF($B57="Building","Buildings",INDEX(CoA_Schema[FinancialClass],MATCH(1,(CoA_Schema[AssetType]=$D57)*(CoA_Schema[AssetClass]=$B57)*(CoA_Schema[AssetSubClass]=$C57),0),0)),"")</f>
        <v/>
      </c>
      <c r="AF57" s="93" t="str">
        <f t="array" ref="AF57">IFERROR(IF($B57="Building","Buildings",INDEX(CoA_Schema[FinancialSubClass],MATCH(1,(CoA_Schema[AssetType]=$D57)*(CoA_Schema[AssetClass]=$B57)*(CoA_Schema[AssetSubClass]=$C57),0),0)),"")</f>
        <v/>
      </c>
      <c r="AG57" s="93" t="str">
        <f>IFERROR(VLOOKUP($I57,UoM!$A:$C,2,FALSE),"")</f>
        <v/>
      </c>
      <c r="AH57" s="56" t="str">
        <f>IFERROR(VLOOKUP("Renewed Assets:"&amp;ROW(),'Handover Cost Report'!$A:$U,17,FALSE),"")</f>
        <v/>
      </c>
      <c r="AI57" s="56" t="str">
        <f>IFERROR(VLOOKUP("Renewed Assets:"&amp;ROW(),'Handover Cost Report'!$A:$U,18,FALSE),"")</f>
        <v/>
      </c>
      <c r="AJ57" s="56" t="str">
        <f>IFERROR(VLOOKUP("Renewed Assets:"&amp;ROW(),'Handover Cost Report'!$A:$U,19,FALSE),"")</f>
        <v/>
      </c>
    </row>
    <row r="58" spans="2:36" s="3" customFormat="1" ht="12.75" x14ac:dyDescent="0.2">
      <c r="B58" s="47"/>
      <c r="C58" s="47"/>
      <c r="D58" s="47"/>
      <c r="E58" s="47"/>
      <c r="F58" s="47"/>
      <c r="G58" s="47"/>
      <c r="H58" s="47"/>
      <c r="I58" s="47"/>
      <c r="J58" s="48"/>
      <c r="K58" s="56">
        <f t="shared" si="3"/>
        <v>0</v>
      </c>
      <c r="L58" s="93" t="str">
        <f>IFERROR(VLOOKUP($F58,SC_Component!$B:$C,2,FALSE),"")</f>
        <v/>
      </c>
      <c r="M58" s="58"/>
      <c r="N58" s="59">
        <f t="shared" si="1"/>
        <v>0</v>
      </c>
      <c r="O58" s="59">
        <f t="shared" si="2"/>
        <v>0</v>
      </c>
      <c r="P58" s="47"/>
      <c r="Q58" s="47"/>
      <c r="R58" s="47"/>
      <c r="S58" s="58"/>
      <c r="T58" s="47"/>
      <c r="U58" s="47"/>
      <c r="V58" s="119"/>
      <c r="W58" s="119"/>
      <c r="X58" s="47"/>
      <c r="Y58" s="47"/>
      <c r="Z58" s="47"/>
      <c r="AA58" s="47"/>
      <c r="AB58" s="47"/>
      <c r="AC58" s="47"/>
      <c r="AD58" s="93" t="str">
        <f t="array" ref="AD58">IFERROR(IF($B58="Building","Buildings",INDEX(CoA_Schema[AsseticCategory],MATCH(1,(CoA_Schema[AssetType]=$D58)*(CoA_Schema[AssetClass]=$B58)*(CoA_Schema[AssetSubClass]=$C58)*(CoA_Schema[Title]=$F58),0),0)),"")</f>
        <v/>
      </c>
      <c r="AE58" s="93" t="str">
        <f t="array" ref="AE58">IFERROR(IF($B58="Building","Buildings",INDEX(CoA_Schema[FinancialClass],MATCH(1,(CoA_Schema[AssetType]=$D58)*(CoA_Schema[AssetClass]=$B58)*(CoA_Schema[AssetSubClass]=$C58),0),0)),"")</f>
        <v/>
      </c>
      <c r="AF58" s="93" t="str">
        <f t="array" ref="AF58">IFERROR(IF($B58="Building","Buildings",INDEX(CoA_Schema[FinancialSubClass],MATCH(1,(CoA_Schema[AssetType]=$D58)*(CoA_Schema[AssetClass]=$B58)*(CoA_Schema[AssetSubClass]=$C58),0),0)),"")</f>
        <v/>
      </c>
      <c r="AG58" s="93" t="str">
        <f>IFERROR(VLOOKUP($I58,UoM!$A:$C,2,FALSE),"")</f>
        <v/>
      </c>
      <c r="AH58" s="56" t="str">
        <f>IFERROR(VLOOKUP("Renewed Assets:"&amp;ROW(),'Handover Cost Report'!$A:$U,17,FALSE),"")</f>
        <v/>
      </c>
      <c r="AI58" s="56" t="str">
        <f>IFERROR(VLOOKUP("Renewed Assets:"&amp;ROW(),'Handover Cost Report'!$A:$U,18,FALSE),"")</f>
        <v/>
      </c>
      <c r="AJ58" s="56" t="str">
        <f>IFERROR(VLOOKUP("Renewed Assets:"&amp;ROW(),'Handover Cost Report'!$A:$U,19,FALSE),"")</f>
        <v/>
      </c>
    </row>
    <row r="59" spans="2:36" s="3" customFormat="1" ht="12.75" x14ac:dyDescent="0.2">
      <c r="B59" s="47"/>
      <c r="C59" s="47"/>
      <c r="D59" s="47"/>
      <c r="E59" s="47"/>
      <c r="F59" s="47"/>
      <c r="G59" s="47"/>
      <c r="H59" s="47"/>
      <c r="I59" s="47"/>
      <c r="J59" s="48"/>
      <c r="K59" s="56">
        <f t="shared" si="3"/>
        <v>0</v>
      </c>
      <c r="L59" s="93" t="str">
        <f>IFERROR(VLOOKUP($F59,SC_Component!$B:$C,2,FALSE),"")</f>
        <v/>
      </c>
      <c r="M59" s="58"/>
      <c r="N59" s="59">
        <f t="shared" si="1"/>
        <v>0</v>
      </c>
      <c r="O59" s="59">
        <f t="shared" si="2"/>
        <v>0</v>
      </c>
      <c r="P59" s="47"/>
      <c r="Q59" s="47"/>
      <c r="R59" s="47"/>
      <c r="S59" s="58"/>
      <c r="T59" s="47"/>
      <c r="U59" s="47"/>
      <c r="V59" s="119"/>
      <c r="W59" s="119"/>
      <c r="X59" s="47"/>
      <c r="Y59" s="47"/>
      <c r="Z59" s="47"/>
      <c r="AA59" s="47"/>
      <c r="AB59" s="47"/>
      <c r="AC59" s="47"/>
      <c r="AD59" s="93" t="str">
        <f t="array" ref="AD59">IFERROR(IF($B59="Building","Buildings",INDEX(CoA_Schema[AsseticCategory],MATCH(1,(CoA_Schema[AssetType]=$D59)*(CoA_Schema[AssetClass]=$B59)*(CoA_Schema[AssetSubClass]=$C59)*(CoA_Schema[Title]=$F59),0),0)),"")</f>
        <v/>
      </c>
      <c r="AE59" s="93" t="str">
        <f t="array" ref="AE59">IFERROR(IF($B59="Building","Buildings",INDEX(CoA_Schema[FinancialClass],MATCH(1,(CoA_Schema[AssetType]=$D59)*(CoA_Schema[AssetClass]=$B59)*(CoA_Schema[AssetSubClass]=$C59),0),0)),"")</f>
        <v/>
      </c>
      <c r="AF59" s="93" t="str">
        <f t="array" ref="AF59">IFERROR(IF($B59="Building","Buildings",INDEX(CoA_Schema[FinancialSubClass],MATCH(1,(CoA_Schema[AssetType]=$D59)*(CoA_Schema[AssetClass]=$B59)*(CoA_Schema[AssetSubClass]=$C59),0),0)),"")</f>
        <v/>
      </c>
      <c r="AG59" s="93" t="str">
        <f>IFERROR(VLOOKUP($I59,UoM!$A:$C,2,FALSE),"")</f>
        <v/>
      </c>
      <c r="AH59" s="56" t="str">
        <f>IFERROR(VLOOKUP("Renewed Assets:"&amp;ROW(),'Handover Cost Report'!$A:$U,17,FALSE),"")</f>
        <v/>
      </c>
      <c r="AI59" s="56" t="str">
        <f>IFERROR(VLOOKUP("Renewed Assets:"&amp;ROW(),'Handover Cost Report'!$A:$U,18,FALSE),"")</f>
        <v/>
      </c>
      <c r="AJ59" s="56" t="str">
        <f>IFERROR(VLOOKUP("Renewed Assets:"&amp;ROW(),'Handover Cost Report'!$A:$U,19,FALSE),"")</f>
        <v/>
      </c>
    </row>
    <row r="60" spans="2:36" s="3" customFormat="1" ht="12.75" x14ac:dyDescent="0.2">
      <c r="B60" s="47"/>
      <c r="C60" s="47"/>
      <c r="D60" s="47"/>
      <c r="E60" s="47"/>
      <c r="F60" s="47"/>
      <c r="G60" s="47"/>
      <c r="H60" s="47"/>
      <c r="I60" s="47"/>
      <c r="J60" s="48"/>
      <c r="K60" s="56">
        <f t="shared" si="3"/>
        <v>0</v>
      </c>
      <c r="L60" s="93" t="str">
        <f>IFERROR(VLOOKUP($F60,SC_Component!$B:$C,2,FALSE),"")</f>
        <v/>
      </c>
      <c r="M60" s="58"/>
      <c r="N60" s="59">
        <f t="shared" si="1"/>
        <v>0</v>
      </c>
      <c r="O60" s="59">
        <f t="shared" si="2"/>
        <v>0</v>
      </c>
      <c r="P60" s="47"/>
      <c r="Q60" s="47"/>
      <c r="R60" s="47"/>
      <c r="S60" s="58"/>
      <c r="T60" s="47"/>
      <c r="U60" s="47"/>
      <c r="V60" s="119"/>
      <c r="W60" s="119"/>
      <c r="X60" s="47"/>
      <c r="Y60" s="47"/>
      <c r="Z60" s="47"/>
      <c r="AA60" s="47"/>
      <c r="AB60" s="47"/>
      <c r="AC60" s="47"/>
      <c r="AD60" s="93" t="str">
        <f t="array" ref="AD60">IFERROR(IF($B60="Building","Buildings",INDEX(CoA_Schema[AsseticCategory],MATCH(1,(CoA_Schema[AssetType]=$D60)*(CoA_Schema[AssetClass]=$B60)*(CoA_Schema[AssetSubClass]=$C60)*(CoA_Schema[Title]=$F60),0),0)),"")</f>
        <v/>
      </c>
      <c r="AE60" s="93" t="str">
        <f t="array" ref="AE60">IFERROR(IF($B60="Building","Buildings",INDEX(CoA_Schema[FinancialClass],MATCH(1,(CoA_Schema[AssetType]=$D60)*(CoA_Schema[AssetClass]=$B60)*(CoA_Schema[AssetSubClass]=$C60),0),0)),"")</f>
        <v/>
      </c>
      <c r="AF60" s="93" t="str">
        <f t="array" ref="AF60">IFERROR(IF($B60="Building","Buildings",INDEX(CoA_Schema[FinancialSubClass],MATCH(1,(CoA_Schema[AssetType]=$D60)*(CoA_Schema[AssetClass]=$B60)*(CoA_Schema[AssetSubClass]=$C60),0),0)),"")</f>
        <v/>
      </c>
      <c r="AG60" s="93" t="str">
        <f>IFERROR(VLOOKUP($I60,UoM!$A:$C,2,FALSE),"")</f>
        <v/>
      </c>
      <c r="AH60" s="56" t="str">
        <f>IFERROR(VLOOKUP("Renewed Assets:"&amp;ROW(),'Handover Cost Report'!$A:$U,17,FALSE),"")</f>
        <v/>
      </c>
      <c r="AI60" s="56" t="str">
        <f>IFERROR(VLOOKUP("Renewed Assets:"&amp;ROW(),'Handover Cost Report'!$A:$U,18,FALSE),"")</f>
        <v/>
      </c>
      <c r="AJ60" s="56" t="str">
        <f>IFERROR(VLOOKUP("Renewed Assets:"&amp;ROW(),'Handover Cost Report'!$A:$U,19,FALSE),"")</f>
        <v/>
      </c>
    </row>
    <row r="61" spans="2:36" s="3" customFormat="1" ht="12.75" x14ac:dyDescent="0.2">
      <c r="B61" s="47"/>
      <c r="C61" s="47"/>
      <c r="D61" s="47"/>
      <c r="E61" s="47"/>
      <c r="F61" s="47"/>
      <c r="G61" s="47"/>
      <c r="H61" s="47"/>
      <c r="I61" s="47"/>
      <c r="J61" s="48"/>
      <c r="K61" s="56">
        <f t="shared" si="3"/>
        <v>0</v>
      </c>
      <c r="L61" s="93" t="str">
        <f>IFERROR(VLOOKUP($F61,SC_Component!$B:$C,2,FALSE),"")</f>
        <v/>
      </c>
      <c r="M61" s="58"/>
      <c r="N61" s="59">
        <f t="shared" si="1"/>
        <v>0</v>
      </c>
      <c r="O61" s="59">
        <f t="shared" si="2"/>
        <v>0</v>
      </c>
      <c r="P61" s="47"/>
      <c r="Q61" s="47"/>
      <c r="R61" s="47"/>
      <c r="S61" s="58"/>
      <c r="T61" s="47"/>
      <c r="U61" s="47"/>
      <c r="V61" s="119"/>
      <c r="W61" s="119"/>
      <c r="X61" s="47"/>
      <c r="Y61" s="47"/>
      <c r="Z61" s="47"/>
      <c r="AA61" s="47"/>
      <c r="AB61" s="47"/>
      <c r="AC61" s="47"/>
      <c r="AD61" s="93" t="str">
        <f t="array" ref="AD61">IFERROR(IF($B61="Building","Buildings",INDEX(CoA_Schema[AsseticCategory],MATCH(1,(CoA_Schema[AssetType]=$D61)*(CoA_Schema[AssetClass]=$B61)*(CoA_Schema[AssetSubClass]=$C61)*(CoA_Schema[Title]=$F61),0),0)),"")</f>
        <v/>
      </c>
      <c r="AE61" s="93" t="str">
        <f t="array" ref="AE61">IFERROR(IF($B61="Building","Buildings",INDEX(CoA_Schema[FinancialClass],MATCH(1,(CoA_Schema[AssetType]=$D61)*(CoA_Schema[AssetClass]=$B61)*(CoA_Schema[AssetSubClass]=$C61),0),0)),"")</f>
        <v/>
      </c>
      <c r="AF61" s="93" t="str">
        <f t="array" ref="AF61">IFERROR(IF($B61="Building","Buildings",INDEX(CoA_Schema[FinancialSubClass],MATCH(1,(CoA_Schema[AssetType]=$D61)*(CoA_Schema[AssetClass]=$B61)*(CoA_Schema[AssetSubClass]=$C61),0),0)),"")</f>
        <v/>
      </c>
      <c r="AG61" s="93" t="str">
        <f>IFERROR(VLOOKUP($I61,UoM!$A:$C,2,FALSE),"")</f>
        <v/>
      </c>
      <c r="AH61" s="56" t="str">
        <f>IFERROR(VLOOKUP("Renewed Assets:"&amp;ROW(),'Handover Cost Report'!$A:$U,17,FALSE),"")</f>
        <v/>
      </c>
      <c r="AI61" s="56" t="str">
        <f>IFERROR(VLOOKUP("Renewed Assets:"&amp;ROW(),'Handover Cost Report'!$A:$U,18,FALSE),"")</f>
        <v/>
      </c>
      <c r="AJ61" s="56" t="str">
        <f>IFERROR(VLOOKUP("Renewed Assets:"&amp;ROW(),'Handover Cost Report'!$A:$U,19,FALSE),"")</f>
        <v/>
      </c>
    </row>
    <row r="62" spans="2:36" s="3" customFormat="1" ht="12.75" x14ac:dyDescent="0.2">
      <c r="B62" s="47"/>
      <c r="C62" s="47"/>
      <c r="D62" s="47"/>
      <c r="E62" s="47"/>
      <c r="F62" s="47"/>
      <c r="G62" s="47"/>
      <c r="H62" s="47"/>
      <c r="I62" s="47"/>
      <c r="J62" s="48"/>
      <c r="K62" s="56">
        <f t="shared" si="3"/>
        <v>0</v>
      </c>
      <c r="L62" s="93" t="str">
        <f>IFERROR(VLOOKUP($F62,SC_Component!$B:$C,2,FALSE),"")</f>
        <v/>
      </c>
      <c r="M62" s="58"/>
      <c r="N62" s="59">
        <f t="shared" si="1"/>
        <v>0</v>
      </c>
      <c r="O62" s="59">
        <f t="shared" si="2"/>
        <v>0</v>
      </c>
      <c r="P62" s="47"/>
      <c r="Q62" s="47"/>
      <c r="R62" s="47"/>
      <c r="S62" s="58"/>
      <c r="T62" s="47"/>
      <c r="U62" s="47"/>
      <c r="V62" s="119"/>
      <c r="W62" s="119"/>
      <c r="X62" s="47"/>
      <c r="Y62" s="47"/>
      <c r="Z62" s="47"/>
      <c r="AA62" s="47"/>
      <c r="AB62" s="47"/>
      <c r="AC62" s="47"/>
      <c r="AD62" s="93" t="str">
        <f t="array" ref="AD62">IFERROR(IF($B62="Building","Buildings",INDEX(CoA_Schema[AsseticCategory],MATCH(1,(CoA_Schema[AssetType]=$D62)*(CoA_Schema[AssetClass]=$B62)*(CoA_Schema[AssetSubClass]=$C62)*(CoA_Schema[Title]=$F62),0),0)),"")</f>
        <v/>
      </c>
      <c r="AE62" s="93" t="str">
        <f t="array" ref="AE62">IFERROR(IF($B62="Building","Buildings",INDEX(CoA_Schema[FinancialClass],MATCH(1,(CoA_Schema[AssetType]=$D62)*(CoA_Schema[AssetClass]=$B62)*(CoA_Schema[AssetSubClass]=$C62),0),0)),"")</f>
        <v/>
      </c>
      <c r="AF62" s="93" t="str">
        <f t="array" ref="AF62">IFERROR(IF($B62="Building","Buildings",INDEX(CoA_Schema[FinancialSubClass],MATCH(1,(CoA_Schema[AssetType]=$D62)*(CoA_Schema[AssetClass]=$B62)*(CoA_Schema[AssetSubClass]=$C62),0),0)),"")</f>
        <v/>
      </c>
      <c r="AG62" s="93" t="str">
        <f>IFERROR(VLOOKUP($I62,UoM!$A:$C,2,FALSE),"")</f>
        <v/>
      </c>
      <c r="AH62" s="56" t="str">
        <f>IFERROR(VLOOKUP("Renewed Assets:"&amp;ROW(),'Handover Cost Report'!$A:$U,17,FALSE),"")</f>
        <v/>
      </c>
      <c r="AI62" s="56" t="str">
        <f>IFERROR(VLOOKUP("Renewed Assets:"&amp;ROW(),'Handover Cost Report'!$A:$U,18,FALSE),"")</f>
        <v/>
      </c>
      <c r="AJ62" s="56" t="str">
        <f>IFERROR(VLOOKUP("Renewed Assets:"&amp;ROW(),'Handover Cost Report'!$A:$U,19,FALSE),"")</f>
        <v/>
      </c>
    </row>
    <row r="63" spans="2:36" s="3" customFormat="1" ht="12.75" x14ac:dyDescent="0.2">
      <c r="B63" s="47"/>
      <c r="C63" s="47"/>
      <c r="D63" s="47"/>
      <c r="E63" s="47"/>
      <c r="F63" s="47"/>
      <c r="G63" s="47"/>
      <c r="H63" s="47"/>
      <c r="I63" s="47"/>
      <c r="J63" s="48"/>
      <c r="K63" s="56">
        <f t="shared" si="3"/>
        <v>0</v>
      </c>
      <c r="L63" s="93" t="str">
        <f>IFERROR(VLOOKUP($F63,SC_Component!$B:$C,2,FALSE),"")</f>
        <v/>
      </c>
      <c r="M63" s="58"/>
      <c r="N63" s="59">
        <f t="shared" si="1"/>
        <v>0</v>
      </c>
      <c r="O63" s="59">
        <f t="shared" si="2"/>
        <v>0</v>
      </c>
      <c r="P63" s="47"/>
      <c r="Q63" s="47"/>
      <c r="R63" s="47"/>
      <c r="S63" s="58"/>
      <c r="T63" s="47"/>
      <c r="U63" s="47"/>
      <c r="V63" s="119"/>
      <c r="W63" s="119"/>
      <c r="X63" s="47"/>
      <c r="Y63" s="47"/>
      <c r="Z63" s="47"/>
      <c r="AA63" s="47"/>
      <c r="AB63" s="47"/>
      <c r="AC63" s="47"/>
      <c r="AD63" s="93" t="str">
        <f t="array" ref="AD63">IFERROR(IF($B63="Building","Buildings",INDEX(CoA_Schema[AsseticCategory],MATCH(1,(CoA_Schema[AssetType]=$D63)*(CoA_Schema[AssetClass]=$B63)*(CoA_Schema[AssetSubClass]=$C63)*(CoA_Schema[Title]=$F63),0),0)),"")</f>
        <v/>
      </c>
      <c r="AE63" s="93" t="str">
        <f t="array" ref="AE63">IFERROR(IF($B63="Building","Buildings",INDEX(CoA_Schema[FinancialClass],MATCH(1,(CoA_Schema[AssetType]=$D63)*(CoA_Schema[AssetClass]=$B63)*(CoA_Schema[AssetSubClass]=$C63),0),0)),"")</f>
        <v/>
      </c>
      <c r="AF63" s="93" t="str">
        <f t="array" ref="AF63">IFERROR(IF($B63="Building","Buildings",INDEX(CoA_Schema[FinancialSubClass],MATCH(1,(CoA_Schema[AssetType]=$D63)*(CoA_Schema[AssetClass]=$B63)*(CoA_Schema[AssetSubClass]=$C63),0),0)),"")</f>
        <v/>
      </c>
      <c r="AG63" s="93" t="str">
        <f>IFERROR(VLOOKUP($I63,UoM!$A:$C,2,FALSE),"")</f>
        <v/>
      </c>
      <c r="AH63" s="56" t="str">
        <f>IFERROR(VLOOKUP("Renewed Assets:"&amp;ROW(),'Handover Cost Report'!$A:$U,17,FALSE),"")</f>
        <v/>
      </c>
      <c r="AI63" s="56" t="str">
        <f>IFERROR(VLOOKUP("Renewed Assets:"&amp;ROW(),'Handover Cost Report'!$A:$U,18,FALSE),"")</f>
        <v/>
      </c>
      <c r="AJ63" s="56" t="str">
        <f>IFERROR(VLOOKUP("Renewed Assets:"&amp;ROW(),'Handover Cost Report'!$A:$U,19,FALSE),"")</f>
        <v/>
      </c>
    </row>
    <row r="64" spans="2:36" s="3" customFormat="1" ht="12.75" x14ac:dyDescent="0.2">
      <c r="B64" s="47"/>
      <c r="C64" s="47"/>
      <c r="D64" s="47"/>
      <c r="E64" s="47"/>
      <c r="F64" s="47"/>
      <c r="G64" s="47"/>
      <c r="H64" s="47"/>
      <c r="I64" s="47"/>
      <c r="J64" s="48"/>
      <c r="K64" s="56">
        <f t="shared" si="3"/>
        <v>0</v>
      </c>
      <c r="L64" s="93" t="str">
        <f>IFERROR(VLOOKUP($F64,SC_Component!$B:$C,2,FALSE),"")</f>
        <v/>
      </c>
      <c r="M64" s="58"/>
      <c r="N64" s="59">
        <f t="shared" si="1"/>
        <v>0</v>
      </c>
      <c r="O64" s="59">
        <f t="shared" si="2"/>
        <v>0</v>
      </c>
      <c r="P64" s="47"/>
      <c r="Q64" s="47"/>
      <c r="R64" s="47"/>
      <c r="S64" s="58"/>
      <c r="T64" s="47"/>
      <c r="U64" s="47"/>
      <c r="V64" s="119"/>
      <c r="W64" s="119"/>
      <c r="X64" s="47"/>
      <c r="Y64" s="47"/>
      <c r="Z64" s="47"/>
      <c r="AA64" s="47"/>
      <c r="AB64" s="47"/>
      <c r="AC64" s="47"/>
      <c r="AD64" s="93" t="str">
        <f t="array" ref="AD64">IFERROR(IF($B64="Building","Buildings",INDEX(CoA_Schema[AsseticCategory],MATCH(1,(CoA_Schema[AssetType]=$D64)*(CoA_Schema[AssetClass]=$B64)*(CoA_Schema[AssetSubClass]=$C64)*(CoA_Schema[Title]=$F64),0),0)),"")</f>
        <v/>
      </c>
      <c r="AE64" s="93" t="str">
        <f t="array" ref="AE64">IFERROR(IF($B64="Building","Buildings",INDEX(CoA_Schema[FinancialClass],MATCH(1,(CoA_Schema[AssetType]=$D64)*(CoA_Schema[AssetClass]=$B64)*(CoA_Schema[AssetSubClass]=$C64),0),0)),"")</f>
        <v/>
      </c>
      <c r="AF64" s="93" t="str">
        <f t="array" ref="AF64">IFERROR(IF($B64="Building","Buildings",INDEX(CoA_Schema[FinancialSubClass],MATCH(1,(CoA_Schema[AssetType]=$D64)*(CoA_Schema[AssetClass]=$B64)*(CoA_Schema[AssetSubClass]=$C64),0),0)),"")</f>
        <v/>
      </c>
      <c r="AG64" s="93" t="str">
        <f>IFERROR(VLOOKUP($I64,UoM!$A:$C,2,FALSE),"")</f>
        <v/>
      </c>
      <c r="AH64" s="56" t="str">
        <f>IFERROR(VLOOKUP("Renewed Assets:"&amp;ROW(),'Handover Cost Report'!$A:$U,17,FALSE),"")</f>
        <v/>
      </c>
      <c r="AI64" s="56" t="str">
        <f>IFERROR(VLOOKUP("Renewed Assets:"&amp;ROW(),'Handover Cost Report'!$A:$U,18,FALSE),"")</f>
        <v/>
      </c>
      <c r="AJ64" s="56" t="str">
        <f>IFERROR(VLOOKUP("Renewed Assets:"&amp;ROW(),'Handover Cost Report'!$A:$U,19,FALSE),"")</f>
        <v/>
      </c>
    </row>
    <row r="65" spans="2:36" s="3" customFormat="1" ht="12.75" x14ac:dyDescent="0.2">
      <c r="B65" s="47"/>
      <c r="C65" s="47"/>
      <c r="D65" s="47"/>
      <c r="E65" s="47"/>
      <c r="F65" s="47"/>
      <c r="G65" s="47"/>
      <c r="H65" s="47"/>
      <c r="I65" s="47"/>
      <c r="J65" s="48"/>
      <c r="K65" s="56">
        <f t="shared" si="3"/>
        <v>0</v>
      </c>
      <c r="L65" s="93" t="str">
        <f>IFERROR(VLOOKUP($F65,SC_Component!$B:$C,2,FALSE),"")</f>
        <v/>
      </c>
      <c r="M65" s="58"/>
      <c r="N65" s="59">
        <f t="shared" si="1"/>
        <v>0</v>
      </c>
      <c r="O65" s="59">
        <f t="shared" si="2"/>
        <v>0</v>
      </c>
      <c r="P65" s="47"/>
      <c r="Q65" s="47"/>
      <c r="R65" s="47"/>
      <c r="S65" s="58"/>
      <c r="T65" s="47"/>
      <c r="U65" s="47"/>
      <c r="V65" s="119"/>
      <c r="W65" s="119"/>
      <c r="X65" s="47"/>
      <c r="Y65" s="47"/>
      <c r="Z65" s="47"/>
      <c r="AA65" s="47"/>
      <c r="AB65" s="47"/>
      <c r="AC65" s="47"/>
      <c r="AD65" s="93" t="str">
        <f t="array" ref="AD65">IFERROR(IF($B65="Building","Buildings",INDEX(CoA_Schema[AsseticCategory],MATCH(1,(CoA_Schema[AssetType]=$D65)*(CoA_Schema[AssetClass]=$B65)*(CoA_Schema[AssetSubClass]=$C65)*(CoA_Schema[Title]=$F65),0),0)),"")</f>
        <v/>
      </c>
      <c r="AE65" s="93" t="str">
        <f t="array" ref="AE65">IFERROR(IF($B65="Building","Buildings",INDEX(CoA_Schema[FinancialClass],MATCH(1,(CoA_Schema[AssetType]=$D65)*(CoA_Schema[AssetClass]=$B65)*(CoA_Schema[AssetSubClass]=$C65),0),0)),"")</f>
        <v/>
      </c>
      <c r="AF65" s="93" t="str">
        <f t="array" ref="AF65">IFERROR(IF($B65="Building","Buildings",INDEX(CoA_Schema[FinancialSubClass],MATCH(1,(CoA_Schema[AssetType]=$D65)*(CoA_Schema[AssetClass]=$B65)*(CoA_Schema[AssetSubClass]=$C65),0),0)),"")</f>
        <v/>
      </c>
      <c r="AG65" s="93" t="str">
        <f>IFERROR(VLOOKUP($I65,UoM!$A:$C,2,FALSE),"")</f>
        <v/>
      </c>
      <c r="AH65" s="56" t="str">
        <f>IFERROR(VLOOKUP("Renewed Assets:"&amp;ROW(),'Handover Cost Report'!$A:$U,17,FALSE),"")</f>
        <v/>
      </c>
      <c r="AI65" s="56" t="str">
        <f>IFERROR(VLOOKUP("Renewed Assets:"&amp;ROW(),'Handover Cost Report'!$A:$U,18,FALSE),"")</f>
        <v/>
      </c>
      <c r="AJ65" s="56" t="str">
        <f>IFERROR(VLOOKUP("Renewed Assets:"&amp;ROW(),'Handover Cost Report'!$A:$U,19,FALSE),"")</f>
        <v/>
      </c>
    </row>
    <row r="66" spans="2:36" s="3" customFormat="1" ht="12.75" x14ac:dyDescent="0.2">
      <c r="B66" s="47"/>
      <c r="C66" s="47"/>
      <c r="D66" s="47"/>
      <c r="E66" s="47"/>
      <c r="F66" s="47"/>
      <c r="G66" s="47"/>
      <c r="H66" s="47"/>
      <c r="I66" s="47"/>
      <c r="J66" s="48"/>
      <c r="K66" s="56">
        <f t="shared" si="3"/>
        <v>0</v>
      </c>
      <c r="L66" s="93" t="str">
        <f>IFERROR(VLOOKUP($F66,SC_Component!$B:$C,2,FALSE),"")</f>
        <v/>
      </c>
      <c r="M66" s="58"/>
      <c r="N66" s="59">
        <f t="shared" si="1"/>
        <v>0</v>
      </c>
      <c r="O66" s="59">
        <f t="shared" si="2"/>
        <v>0</v>
      </c>
      <c r="P66" s="47"/>
      <c r="Q66" s="47"/>
      <c r="R66" s="47"/>
      <c r="S66" s="58"/>
      <c r="T66" s="47"/>
      <c r="U66" s="47"/>
      <c r="V66" s="119"/>
      <c r="W66" s="119"/>
      <c r="X66" s="47"/>
      <c r="Y66" s="47"/>
      <c r="Z66" s="47"/>
      <c r="AA66" s="47"/>
      <c r="AB66" s="47"/>
      <c r="AC66" s="47"/>
      <c r="AD66" s="93" t="str">
        <f t="array" ref="AD66">IFERROR(IF($B66="Building","Buildings",INDEX(CoA_Schema[AsseticCategory],MATCH(1,(CoA_Schema[AssetType]=$D66)*(CoA_Schema[AssetClass]=$B66)*(CoA_Schema[AssetSubClass]=$C66)*(CoA_Schema[Title]=$F66),0),0)),"")</f>
        <v/>
      </c>
      <c r="AE66" s="93" t="str">
        <f t="array" ref="AE66">IFERROR(IF($B66="Building","Buildings",INDEX(CoA_Schema[FinancialClass],MATCH(1,(CoA_Schema[AssetType]=$D66)*(CoA_Schema[AssetClass]=$B66)*(CoA_Schema[AssetSubClass]=$C66),0),0)),"")</f>
        <v/>
      </c>
      <c r="AF66" s="93" t="str">
        <f t="array" ref="AF66">IFERROR(IF($B66="Building","Buildings",INDEX(CoA_Schema[FinancialSubClass],MATCH(1,(CoA_Schema[AssetType]=$D66)*(CoA_Schema[AssetClass]=$B66)*(CoA_Schema[AssetSubClass]=$C66),0),0)),"")</f>
        <v/>
      </c>
      <c r="AG66" s="93" t="str">
        <f>IFERROR(VLOOKUP($I66,UoM!$A:$C,2,FALSE),"")</f>
        <v/>
      </c>
      <c r="AH66" s="56" t="str">
        <f>IFERROR(VLOOKUP("Renewed Assets:"&amp;ROW(),'Handover Cost Report'!$A:$U,17,FALSE),"")</f>
        <v/>
      </c>
      <c r="AI66" s="56" t="str">
        <f>IFERROR(VLOOKUP("Renewed Assets:"&amp;ROW(),'Handover Cost Report'!$A:$U,18,FALSE),"")</f>
        <v/>
      </c>
      <c r="AJ66" s="56" t="str">
        <f>IFERROR(VLOOKUP("Renewed Assets:"&amp;ROW(),'Handover Cost Report'!$A:$U,19,FALSE),"")</f>
        <v/>
      </c>
    </row>
    <row r="67" spans="2:36" s="3" customFormat="1" ht="12.75" x14ac:dyDescent="0.2">
      <c r="B67" s="47"/>
      <c r="C67" s="47"/>
      <c r="D67" s="47"/>
      <c r="E67" s="47"/>
      <c r="F67" s="47"/>
      <c r="G67" s="47"/>
      <c r="H67" s="47"/>
      <c r="I67" s="47"/>
      <c r="J67" s="48"/>
      <c r="K67" s="56">
        <f t="shared" si="3"/>
        <v>0</v>
      </c>
      <c r="L67" s="93" t="str">
        <f>IFERROR(VLOOKUP($F67,SC_Component!$B:$C,2,FALSE),"")</f>
        <v/>
      </c>
      <c r="M67" s="58"/>
      <c r="N67" s="59">
        <f t="shared" si="1"/>
        <v>0</v>
      </c>
      <c r="O67" s="59">
        <f t="shared" si="2"/>
        <v>0</v>
      </c>
      <c r="P67" s="47"/>
      <c r="Q67" s="47"/>
      <c r="R67" s="47"/>
      <c r="S67" s="58"/>
      <c r="T67" s="47"/>
      <c r="U67" s="47"/>
      <c r="V67" s="119"/>
      <c r="W67" s="119"/>
      <c r="X67" s="47"/>
      <c r="Y67" s="47"/>
      <c r="Z67" s="47"/>
      <c r="AA67" s="47"/>
      <c r="AB67" s="47"/>
      <c r="AC67" s="47"/>
      <c r="AD67" s="93" t="str">
        <f t="array" ref="AD67">IFERROR(IF($B67="Building","Buildings",INDEX(CoA_Schema[AsseticCategory],MATCH(1,(CoA_Schema[AssetType]=$D67)*(CoA_Schema[AssetClass]=$B67)*(CoA_Schema[AssetSubClass]=$C67)*(CoA_Schema[Title]=$F67),0),0)),"")</f>
        <v/>
      </c>
      <c r="AE67" s="93" t="str">
        <f t="array" ref="AE67">IFERROR(IF($B67="Building","Buildings",INDEX(CoA_Schema[FinancialClass],MATCH(1,(CoA_Schema[AssetType]=$D67)*(CoA_Schema[AssetClass]=$B67)*(CoA_Schema[AssetSubClass]=$C67),0),0)),"")</f>
        <v/>
      </c>
      <c r="AF67" s="93" t="str">
        <f t="array" ref="AF67">IFERROR(IF($B67="Building","Buildings",INDEX(CoA_Schema[FinancialSubClass],MATCH(1,(CoA_Schema[AssetType]=$D67)*(CoA_Schema[AssetClass]=$B67)*(CoA_Schema[AssetSubClass]=$C67),0),0)),"")</f>
        <v/>
      </c>
      <c r="AG67" s="93" t="str">
        <f>IFERROR(VLOOKUP($I67,UoM!$A:$C,2,FALSE),"")</f>
        <v/>
      </c>
      <c r="AH67" s="56" t="str">
        <f>IFERROR(VLOOKUP("Renewed Assets:"&amp;ROW(),'Handover Cost Report'!$A:$U,17,FALSE),"")</f>
        <v/>
      </c>
      <c r="AI67" s="56" t="str">
        <f>IFERROR(VLOOKUP("Renewed Assets:"&amp;ROW(),'Handover Cost Report'!$A:$U,18,FALSE),"")</f>
        <v/>
      </c>
      <c r="AJ67" s="56" t="str">
        <f>IFERROR(VLOOKUP("Renewed Assets:"&amp;ROW(),'Handover Cost Report'!$A:$U,19,FALSE),"")</f>
        <v/>
      </c>
    </row>
    <row r="68" spans="2:36" s="3" customFormat="1" ht="12.75" x14ac:dyDescent="0.2">
      <c r="B68" s="47"/>
      <c r="C68" s="47"/>
      <c r="D68" s="47"/>
      <c r="E68" s="47"/>
      <c r="F68" s="47"/>
      <c r="G68" s="47"/>
      <c r="H68" s="47"/>
      <c r="I68" s="47"/>
      <c r="J68" s="48"/>
      <c r="K68" s="56">
        <f t="shared" si="3"/>
        <v>0</v>
      </c>
      <c r="L68" s="93" t="str">
        <f>IFERROR(VLOOKUP($F68,SC_Component!$B:$C,2,FALSE),"")</f>
        <v/>
      </c>
      <c r="M68" s="58"/>
      <c r="N68" s="59">
        <f t="shared" si="1"/>
        <v>0</v>
      </c>
      <c r="O68" s="59">
        <f t="shared" si="2"/>
        <v>0</v>
      </c>
      <c r="P68" s="47"/>
      <c r="Q68" s="47"/>
      <c r="R68" s="47"/>
      <c r="S68" s="58"/>
      <c r="T68" s="47"/>
      <c r="U68" s="47"/>
      <c r="V68" s="119"/>
      <c r="W68" s="119"/>
      <c r="X68" s="47"/>
      <c r="Y68" s="47"/>
      <c r="Z68" s="47"/>
      <c r="AA68" s="47"/>
      <c r="AB68" s="47"/>
      <c r="AC68" s="47"/>
      <c r="AD68" s="93" t="str">
        <f t="array" ref="AD68">IFERROR(IF($B68="Building","Buildings",INDEX(CoA_Schema[AsseticCategory],MATCH(1,(CoA_Schema[AssetType]=$D68)*(CoA_Schema[AssetClass]=$B68)*(CoA_Schema[AssetSubClass]=$C68)*(CoA_Schema[Title]=$F68),0),0)),"")</f>
        <v/>
      </c>
      <c r="AE68" s="93" t="str">
        <f t="array" ref="AE68">IFERROR(IF($B68="Building","Buildings",INDEX(CoA_Schema[FinancialClass],MATCH(1,(CoA_Schema[AssetType]=$D68)*(CoA_Schema[AssetClass]=$B68)*(CoA_Schema[AssetSubClass]=$C68),0),0)),"")</f>
        <v/>
      </c>
      <c r="AF68" s="93" t="str">
        <f t="array" ref="AF68">IFERROR(IF($B68="Building","Buildings",INDEX(CoA_Schema[FinancialSubClass],MATCH(1,(CoA_Schema[AssetType]=$D68)*(CoA_Schema[AssetClass]=$B68)*(CoA_Schema[AssetSubClass]=$C68),0),0)),"")</f>
        <v/>
      </c>
      <c r="AG68" s="93" t="str">
        <f>IFERROR(VLOOKUP($I68,UoM!$A:$C,2,FALSE),"")</f>
        <v/>
      </c>
      <c r="AH68" s="56" t="str">
        <f>IFERROR(VLOOKUP("Renewed Assets:"&amp;ROW(),'Handover Cost Report'!$A:$U,17,FALSE),"")</f>
        <v/>
      </c>
      <c r="AI68" s="56" t="str">
        <f>IFERROR(VLOOKUP("Renewed Assets:"&amp;ROW(),'Handover Cost Report'!$A:$U,18,FALSE),"")</f>
        <v/>
      </c>
      <c r="AJ68" s="56" t="str">
        <f>IFERROR(VLOOKUP("Renewed Assets:"&amp;ROW(),'Handover Cost Report'!$A:$U,19,FALSE),"")</f>
        <v/>
      </c>
    </row>
    <row r="69" spans="2:36" s="3" customFormat="1" ht="12.75" x14ac:dyDescent="0.2">
      <c r="B69" s="47"/>
      <c r="C69" s="47"/>
      <c r="D69" s="47"/>
      <c r="E69" s="47"/>
      <c r="F69" s="47"/>
      <c r="G69" s="47"/>
      <c r="H69" s="47"/>
      <c r="I69" s="47"/>
      <c r="J69" s="48"/>
      <c r="K69" s="56">
        <f t="shared" si="3"/>
        <v>0</v>
      </c>
      <c r="L69" s="93" t="str">
        <f>IFERROR(VLOOKUP($F69,SC_Component!$B:$C,2,FALSE),"")</f>
        <v/>
      </c>
      <c r="M69" s="58"/>
      <c r="N69" s="59">
        <f t="shared" si="1"/>
        <v>0</v>
      </c>
      <c r="O69" s="59">
        <f t="shared" si="2"/>
        <v>0</v>
      </c>
      <c r="P69" s="47"/>
      <c r="Q69" s="47"/>
      <c r="R69" s="47"/>
      <c r="S69" s="58"/>
      <c r="T69" s="47"/>
      <c r="U69" s="47"/>
      <c r="V69" s="119"/>
      <c r="W69" s="119"/>
      <c r="X69" s="47"/>
      <c r="Y69" s="47"/>
      <c r="Z69" s="47"/>
      <c r="AA69" s="47"/>
      <c r="AB69" s="47"/>
      <c r="AC69" s="47"/>
      <c r="AD69" s="93" t="str">
        <f t="array" ref="AD69">IFERROR(IF($B69="Building","Buildings",INDEX(CoA_Schema[AsseticCategory],MATCH(1,(CoA_Schema[AssetType]=$D69)*(CoA_Schema[AssetClass]=$B69)*(CoA_Schema[AssetSubClass]=$C69)*(CoA_Schema[Title]=$F69),0),0)),"")</f>
        <v/>
      </c>
      <c r="AE69" s="93" t="str">
        <f t="array" ref="AE69">IFERROR(IF($B69="Building","Buildings",INDEX(CoA_Schema[FinancialClass],MATCH(1,(CoA_Schema[AssetType]=$D69)*(CoA_Schema[AssetClass]=$B69)*(CoA_Schema[AssetSubClass]=$C69),0),0)),"")</f>
        <v/>
      </c>
      <c r="AF69" s="93" t="str">
        <f t="array" ref="AF69">IFERROR(IF($B69="Building","Buildings",INDEX(CoA_Schema[FinancialSubClass],MATCH(1,(CoA_Schema[AssetType]=$D69)*(CoA_Schema[AssetClass]=$B69)*(CoA_Schema[AssetSubClass]=$C69),0),0)),"")</f>
        <v/>
      </c>
      <c r="AG69" s="93" t="str">
        <f>IFERROR(VLOOKUP($I69,UoM!$A:$C,2,FALSE),"")</f>
        <v/>
      </c>
      <c r="AH69" s="56" t="str">
        <f>IFERROR(VLOOKUP("Renewed Assets:"&amp;ROW(),'Handover Cost Report'!$A:$U,17,FALSE),"")</f>
        <v/>
      </c>
      <c r="AI69" s="56" t="str">
        <f>IFERROR(VLOOKUP("Renewed Assets:"&amp;ROW(),'Handover Cost Report'!$A:$U,18,FALSE),"")</f>
        <v/>
      </c>
      <c r="AJ69" s="56" t="str">
        <f>IFERROR(VLOOKUP("Renewed Assets:"&amp;ROW(),'Handover Cost Report'!$A:$U,19,FALSE),"")</f>
        <v/>
      </c>
    </row>
    <row r="70" spans="2:36" s="3" customFormat="1" ht="12.75" x14ac:dyDescent="0.2">
      <c r="B70" s="47"/>
      <c r="C70" s="47"/>
      <c r="D70" s="47"/>
      <c r="E70" s="47"/>
      <c r="F70" s="47"/>
      <c r="G70" s="47"/>
      <c r="H70" s="47"/>
      <c r="I70" s="47"/>
      <c r="J70" s="48"/>
      <c r="K70" s="56">
        <f t="shared" si="3"/>
        <v>0</v>
      </c>
      <c r="L70" s="93" t="str">
        <f>IFERROR(VLOOKUP($F70,SC_Component!$B:$C,2,FALSE),"")</f>
        <v/>
      </c>
      <c r="M70" s="58"/>
      <c r="N70" s="59">
        <f t="shared" si="1"/>
        <v>0</v>
      </c>
      <c r="O70" s="59">
        <f t="shared" si="2"/>
        <v>0</v>
      </c>
      <c r="P70" s="47"/>
      <c r="Q70" s="47"/>
      <c r="R70" s="47"/>
      <c r="S70" s="58"/>
      <c r="T70" s="47"/>
      <c r="U70" s="47"/>
      <c r="V70" s="119"/>
      <c r="W70" s="119"/>
      <c r="X70" s="47"/>
      <c r="Y70" s="47"/>
      <c r="Z70" s="47"/>
      <c r="AA70" s="47"/>
      <c r="AB70" s="47"/>
      <c r="AC70" s="47"/>
      <c r="AD70" s="93" t="str">
        <f t="array" ref="AD70">IFERROR(IF($B70="Building","Buildings",INDEX(CoA_Schema[AsseticCategory],MATCH(1,(CoA_Schema[AssetType]=$D70)*(CoA_Schema[AssetClass]=$B70)*(CoA_Schema[AssetSubClass]=$C70)*(CoA_Schema[Title]=$F70),0),0)),"")</f>
        <v/>
      </c>
      <c r="AE70" s="93" t="str">
        <f t="array" ref="AE70">IFERROR(IF($B70="Building","Buildings",INDEX(CoA_Schema[FinancialClass],MATCH(1,(CoA_Schema[AssetType]=$D70)*(CoA_Schema[AssetClass]=$B70)*(CoA_Schema[AssetSubClass]=$C70),0),0)),"")</f>
        <v/>
      </c>
      <c r="AF70" s="93" t="str">
        <f t="array" ref="AF70">IFERROR(IF($B70="Building","Buildings",INDEX(CoA_Schema[FinancialSubClass],MATCH(1,(CoA_Schema[AssetType]=$D70)*(CoA_Schema[AssetClass]=$B70)*(CoA_Schema[AssetSubClass]=$C70),0),0)),"")</f>
        <v/>
      </c>
      <c r="AG70" s="93" t="str">
        <f>IFERROR(VLOOKUP($I70,UoM!$A:$C,2,FALSE),"")</f>
        <v/>
      </c>
      <c r="AH70" s="56" t="str">
        <f>IFERROR(VLOOKUP("Renewed Assets:"&amp;ROW(),'Handover Cost Report'!$A:$U,17,FALSE),"")</f>
        <v/>
      </c>
      <c r="AI70" s="56" t="str">
        <f>IFERROR(VLOOKUP("Renewed Assets:"&amp;ROW(),'Handover Cost Report'!$A:$U,18,FALSE),"")</f>
        <v/>
      </c>
      <c r="AJ70" s="56" t="str">
        <f>IFERROR(VLOOKUP("Renewed Assets:"&amp;ROW(),'Handover Cost Report'!$A:$U,19,FALSE),"")</f>
        <v/>
      </c>
    </row>
    <row r="71" spans="2:36" s="3" customFormat="1" ht="12.75" x14ac:dyDescent="0.2">
      <c r="B71" s="47"/>
      <c r="C71" s="47"/>
      <c r="D71" s="47"/>
      <c r="E71" s="47"/>
      <c r="F71" s="47"/>
      <c r="G71" s="47"/>
      <c r="H71" s="47"/>
      <c r="I71" s="47"/>
      <c r="J71" s="48"/>
      <c r="K71" s="56">
        <f t="shared" si="3"/>
        <v>0</v>
      </c>
      <c r="L71" s="93" t="str">
        <f>IFERROR(VLOOKUP($F71,SC_Component!$B:$C,2,FALSE),"")</f>
        <v/>
      </c>
      <c r="M71" s="58"/>
      <c r="N71" s="59">
        <f t="shared" si="1"/>
        <v>0</v>
      </c>
      <c r="O71" s="59">
        <f t="shared" si="2"/>
        <v>0</v>
      </c>
      <c r="P71" s="47"/>
      <c r="Q71" s="47"/>
      <c r="R71" s="47"/>
      <c r="S71" s="58"/>
      <c r="T71" s="47"/>
      <c r="U71" s="47"/>
      <c r="V71" s="119"/>
      <c r="W71" s="119"/>
      <c r="X71" s="47"/>
      <c r="Y71" s="47"/>
      <c r="Z71" s="47"/>
      <c r="AA71" s="47"/>
      <c r="AB71" s="47"/>
      <c r="AC71" s="47"/>
      <c r="AD71" s="93" t="str">
        <f t="array" ref="AD71">IFERROR(IF($B71="Building","Buildings",INDEX(CoA_Schema[AsseticCategory],MATCH(1,(CoA_Schema[AssetType]=$D71)*(CoA_Schema[AssetClass]=$B71)*(CoA_Schema[AssetSubClass]=$C71)*(CoA_Schema[Title]=$F71),0),0)),"")</f>
        <v/>
      </c>
      <c r="AE71" s="93" t="str">
        <f t="array" ref="AE71">IFERROR(IF($B71="Building","Buildings",INDEX(CoA_Schema[FinancialClass],MATCH(1,(CoA_Schema[AssetType]=$D71)*(CoA_Schema[AssetClass]=$B71)*(CoA_Schema[AssetSubClass]=$C71),0),0)),"")</f>
        <v/>
      </c>
      <c r="AF71" s="93" t="str">
        <f t="array" ref="AF71">IFERROR(IF($B71="Building","Buildings",INDEX(CoA_Schema[FinancialSubClass],MATCH(1,(CoA_Schema[AssetType]=$D71)*(CoA_Schema[AssetClass]=$B71)*(CoA_Schema[AssetSubClass]=$C71),0),0)),"")</f>
        <v/>
      </c>
      <c r="AG71" s="93" t="str">
        <f>IFERROR(VLOOKUP($I71,UoM!$A:$C,2,FALSE),"")</f>
        <v/>
      </c>
      <c r="AH71" s="56" t="str">
        <f>IFERROR(VLOOKUP("Renewed Assets:"&amp;ROW(),'Handover Cost Report'!$A:$U,17,FALSE),"")</f>
        <v/>
      </c>
      <c r="AI71" s="56" t="str">
        <f>IFERROR(VLOOKUP("Renewed Assets:"&amp;ROW(),'Handover Cost Report'!$A:$U,18,FALSE),"")</f>
        <v/>
      </c>
      <c r="AJ71" s="56" t="str">
        <f>IFERROR(VLOOKUP("Renewed Assets:"&amp;ROW(),'Handover Cost Report'!$A:$U,19,FALSE),"")</f>
        <v/>
      </c>
    </row>
    <row r="72" spans="2:36" s="3" customFormat="1" ht="12.75" x14ac:dyDescent="0.2">
      <c r="B72" s="47"/>
      <c r="C72" s="47"/>
      <c r="D72" s="47"/>
      <c r="E72" s="47"/>
      <c r="F72" s="47"/>
      <c r="G72" s="47"/>
      <c r="H72" s="47"/>
      <c r="I72" s="47"/>
      <c r="J72" s="48"/>
      <c r="K72" s="56">
        <f t="shared" ref="K72:K103" si="4">H72*J72</f>
        <v>0</v>
      </c>
      <c r="L72" s="93" t="str">
        <f>IFERROR(VLOOKUP($F72,SC_Component!$B:$C,2,FALSE),"")</f>
        <v/>
      </c>
      <c r="M72" s="58"/>
      <c r="N72" s="59">
        <f t="shared" si="1"/>
        <v>0</v>
      </c>
      <c r="O72" s="59">
        <f t="shared" si="2"/>
        <v>0</v>
      </c>
      <c r="P72" s="47"/>
      <c r="Q72" s="47"/>
      <c r="R72" s="47"/>
      <c r="S72" s="58"/>
      <c r="T72" s="47"/>
      <c r="U72" s="47"/>
      <c r="V72" s="119"/>
      <c r="W72" s="119"/>
      <c r="X72" s="47"/>
      <c r="Y72" s="47"/>
      <c r="Z72" s="47"/>
      <c r="AA72" s="47"/>
      <c r="AB72" s="47"/>
      <c r="AC72" s="47"/>
      <c r="AD72" s="93" t="str">
        <f t="array" ref="AD72">IFERROR(IF($B72="Building","Buildings",INDEX(CoA_Schema[AsseticCategory],MATCH(1,(CoA_Schema[AssetType]=$D72)*(CoA_Schema[AssetClass]=$B72)*(CoA_Schema[AssetSubClass]=$C72)*(CoA_Schema[Title]=$F72),0),0)),"")</f>
        <v/>
      </c>
      <c r="AE72" s="93" t="str">
        <f t="array" ref="AE72">IFERROR(IF($B72="Building","Buildings",INDEX(CoA_Schema[FinancialClass],MATCH(1,(CoA_Schema[AssetType]=$D72)*(CoA_Schema[AssetClass]=$B72)*(CoA_Schema[AssetSubClass]=$C72),0),0)),"")</f>
        <v/>
      </c>
      <c r="AF72" s="93" t="str">
        <f t="array" ref="AF72">IFERROR(IF($B72="Building","Buildings",INDEX(CoA_Schema[FinancialSubClass],MATCH(1,(CoA_Schema[AssetType]=$D72)*(CoA_Schema[AssetClass]=$B72)*(CoA_Schema[AssetSubClass]=$C72),0),0)),"")</f>
        <v/>
      </c>
      <c r="AG72" s="93" t="str">
        <f>IFERROR(VLOOKUP($I72,UoM!$A:$C,2,FALSE),"")</f>
        <v/>
      </c>
      <c r="AH72" s="56" t="str">
        <f>IFERROR(VLOOKUP("Renewed Assets:"&amp;ROW(),'Handover Cost Report'!$A:$U,17,FALSE),"")</f>
        <v/>
      </c>
      <c r="AI72" s="56" t="str">
        <f>IFERROR(VLOOKUP("Renewed Assets:"&amp;ROW(),'Handover Cost Report'!$A:$U,18,FALSE),"")</f>
        <v/>
      </c>
      <c r="AJ72" s="56" t="str">
        <f>IFERROR(VLOOKUP("Renewed Assets:"&amp;ROW(),'Handover Cost Report'!$A:$U,19,FALSE),"")</f>
        <v/>
      </c>
    </row>
    <row r="73" spans="2:36" s="3" customFormat="1" ht="12.75" x14ac:dyDescent="0.2">
      <c r="B73" s="47"/>
      <c r="C73" s="47"/>
      <c r="D73" s="47"/>
      <c r="E73" s="47"/>
      <c r="F73" s="47"/>
      <c r="G73" s="47"/>
      <c r="H73" s="47"/>
      <c r="I73" s="47"/>
      <c r="J73" s="48"/>
      <c r="K73" s="56">
        <f t="shared" si="4"/>
        <v>0</v>
      </c>
      <c r="L73" s="93" t="str">
        <f>IFERROR(VLOOKUP($F73,SC_Component!$B:$C,2,FALSE),"")</f>
        <v/>
      </c>
      <c r="M73" s="58"/>
      <c r="N73" s="59">
        <f t="shared" ref="N73:N136" si="5">K73*M73</f>
        <v>0</v>
      </c>
      <c r="O73" s="59">
        <f t="shared" ref="O73:O136" si="6">K73*(1-M73)</f>
        <v>0</v>
      </c>
      <c r="P73" s="47"/>
      <c r="Q73" s="47"/>
      <c r="R73" s="47"/>
      <c r="S73" s="58"/>
      <c r="T73" s="47"/>
      <c r="U73" s="47"/>
      <c r="V73" s="119"/>
      <c r="W73" s="119"/>
      <c r="X73" s="47"/>
      <c r="Y73" s="47"/>
      <c r="Z73" s="47"/>
      <c r="AA73" s="47"/>
      <c r="AB73" s="47"/>
      <c r="AC73" s="47"/>
      <c r="AD73" s="93" t="str">
        <f t="array" ref="AD73">IFERROR(IF($B73="Building","Buildings",INDEX(CoA_Schema[AsseticCategory],MATCH(1,(CoA_Schema[AssetType]=$D73)*(CoA_Schema[AssetClass]=$B73)*(CoA_Schema[AssetSubClass]=$C73)*(CoA_Schema[Title]=$F73),0),0)),"")</f>
        <v/>
      </c>
      <c r="AE73" s="93" t="str">
        <f t="array" ref="AE73">IFERROR(IF($B73="Building","Buildings",INDEX(CoA_Schema[FinancialClass],MATCH(1,(CoA_Schema[AssetType]=$D73)*(CoA_Schema[AssetClass]=$B73)*(CoA_Schema[AssetSubClass]=$C73),0),0)),"")</f>
        <v/>
      </c>
      <c r="AF73" s="93" t="str">
        <f t="array" ref="AF73">IFERROR(IF($B73="Building","Buildings",INDEX(CoA_Schema[FinancialSubClass],MATCH(1,(CoA_Schema[AssetType]=$D73)*(CoA_Schema[AssetClass]=$B73)*(CoA_Schema[AssetSubClass]=$C73),0),0)),"")</f>
        <v/>
      </c>
      <c r="AG73" s="93" t="str">
        <f>IFERROR(VLOOKUP($I73,UoM!$A:$C,2,FALSE),"")</f>
        <v/>
      </c>
      <c r="AH73" s="56" t="str">
        <f>IFERROR(VLOOKUP("Renewed Assets:"&amp;ROW(),'Handover Cost Report'!$A:$U,17,FALSE),"")</f>
        <v/>
      </c>
      <c r="AI73" s="56" t="str">
        <f>IFERROR(VLOOKUP("Renewed Assets:"&amp;ROW(),'Handover Cost Report'!$A:$U,18,FALSE),"")</f>
        <v/>
      </c>
      <c r="AJ73" s="56" t="str">
        <f>IFERROR(VLOOKUP("Renewed Assets:"&amp;ROW(),'Handover Cost Report'!$A:$U,19,FALSE),"")</f>
        <v/>
      </c>
    </row>
    <row r="74" spans="2:36" s="3" customFormat="1" ht="12.75" x14ac:dyDescent="0.2">
      <c r="B74" s="47"/>
      <c r="C74" s="47"/>
      <c r="D74" s="47"/>
      <c r="E74" s="47"/>
      <c r="F74" s="47"/>
      <c r="G74" s="47"/>
      <c r="H74" s="47"/>
      <c r="I74" s="47"/>
      <c r="J74" s="48"/>
      <c r="K74" s="56">
        <f t="shared" si="4"/>
        <v>0</v>
      </c>
      <c r="L74" s="93" t="str">
        <f>IFERROR(VLOOKUP($F74,SC_Component!$B:$C,2,FALSE),"")</f>
        <v/>
      </c>
      <c r="M74" s="58"/>
      <c r="N74" s="59">
        <f t="shared" si="5"/>
        <v>0</v>
      </c>
      <c r="O74" s="59">
        <f t="shared" si="6"/>
        <v>0</v>
      </c>
      <c r="P74" s="47"/>
      <c r="Q74" s="47"/>
      <c r="R74" s="47"/>
      <c r="S74" s="58"/>
      <c r="T74" s="47"/>
      <c r="U74" s="47"/>
      <c r="V74" s="119"/>
      <c r="W74" s="119"/>
      <c r="X74" s="47"/>
      <c r="Y74" s="47"/>
      <c r="Z74" s="47"/>
      <c r="AA74" s="47"/>
      <c r="AB74" s="47"/>
      <c r="AC74" s="47"/>
      <c r="AD74" s="93" t="str">
        <f t="array" ref="AD74">IFERROR(IF($B74="Building","Buildings",INDEX(CoA_Schema[AsseticCategory],MATCH(1,(CoA_Schema[AssetType]=$D74)*(CoA_Schema[AssetClass]=$B74)*(CoA_Schema[AssetSubClass]=$C74)*(CoA_Schema[Title]=$F74),0),0)),"")</f>
        <v/>
      </c>
      <c r="AE74" s="93" t="str">
        <f t="array" ref="AE74">IFERROR(IF($B74="Building","Buildings",INDEX(CoA_Schema[FinancialClass],MATCH(1,(CoA_Schema[AssetType]=$D74)*(CoA_Schema[AssetClass]=$B74)*(CoA_Schema[AssetSubClass]=$C74),0),0)),"")</f>
        <v/>
      </c>
      <c r="AF74" s="93" t="str">
        <f t="array" ref="AF74">IFERROR(IF($B74="Building","Buildings",INDEX(CoA_Schema[FinancialSubClass],MATCH(1,(CoA_Schema[AssetType]=$D74)*(CoA_Schema[AssetClass]=$B74)*(CoA_Schema[AssetSubClass]=$C74),0),0)),"")</f>
        <v/>
      </c>
      <c r="AG74" s="93" t="str">
        <f>IFERROR(VLOOKUP($I74,UoM!$A:$C,2,FALSE),"")</f>
        <v/>
      </c>
      <c r="AH74" s="56" t="str">
        <f>IFERROR(VLOOKUP("Renewed Assets:"&amp;ROW(),'Handover Cost Report'!$A:$U,17,FALSE),"")</f>
        <v/>
      </c>
      <c r="AI74" s="56" t="str">
        <f>IFERROR(VLOOKUP("Renewed Assets:"&amp;ROW(),'Handover Cost Report'!$A:$U,18,FALSE),"")</f>
        <v/>
      </c>
      <c r="AJ74" s="56" t="str">
        <f>IFERROR(VLOOKUP("Renewed Assets:"&amp;ROW(),'Handover Cost Report'!$A:$U,19,FALSE),"")</f>
        <v/>
      </c>
    </row>
    <row r="75" spans="2:36" s="3" customFormat="1" ht="12.75" x14ac:dyDescent="0.2">
      <c r="B75" s="47"/>
      <c r="C75" s="47"/>
      <c r="D75" s="47"/>
      <c r="E75" s="47"/>
      <c r="F75" s="47"/>
      <c r="G75" s="47"/>
      <c r="H75" s="47"/>
      <c r="I75" s="47"/>
      <c r="J75" s="48"/>
      <c r="K75" s="56">
        <f t="shared" si="4"/>
        <v>0</v>
      </c>
      <c r="L75" s="93" t="str">
        <f>IFERROR(VLOOKUP($F75,SC_Component!$B:$C,2,FALSE),"")</f>
        <v/>
      </c>
      <c r="M75" s="58"/>
      <c r="N75" s="59">
        <f t="shared" si="5"/>
        <v>0</v>
      </c>
      <c r="O75" s="59">
        <f t="shared" si="6"/>
        <v>0</v>
      </c>
      <c r="P75" s="47"/>
      <c r="Q75" s="47"/>
      <c r="R75" s="47"/>
      <c r="S75" s="58"/>
      <c r="T75" s="47"/>
      <c r="U75" s="47"/>
      <c r="V75" s="119"/>
      <c r="W75" s="119"/>
      <c r="X75" s="47"/>
      <c r="Y75" s="47"/>
      <c r="Z75" s="47"/>
      <c r="AA75" s="47"/>
      <c r="AB75" s="47"/>
      <c r="AC75" s="47"/>
      <c r="AD75" s="93" t="str">
        <f t="array" ref="AD75">IFERROR(IF($B75="Building","Buildings",INDEX(CoA_Schema[AsseticCategory],MATCH(1,(CoA_Schema[AssetType]=$D75)*(CoA_Schema[AssetClass]=$B75)*(CoA_Schema[AssetSubClass]=$C75)*(CoA_Schema[Title]=$F75),0),0)),"")</f>
        <v/>
      </c>
      <c r="AE75" s="93" t="str">
        <f t="array" ref="AE75">IFERROR(IF($B75="Building","Buildings",INDEX(CoA_Schema[FinancialClass],MATCH(1,(CoA_Schema[AssetType]=$D75)*(CoA_Schema[AssetClass]=$B75)*(CoA_Schema[AssetSubClass]=$C75),0),0)),"")</f>
        <v/>
      </c>
      <c r="AF75" s="93" t="str">
        <f t="array" ref="AF75">IFERROR(IF($B75="Building","Buildings",INDEX(CoA_Schema[FinancialSubClass],MATCH(1,(CoA_Schema[AssetType]=$D75)*(CoA_Schema[AssetClass]=$B75)*(CoA_Schema[AssetSubClass]=$C75),0),0)),"")</f>
        <v/>
      </c>
      <c r="AG75" s="93" t="str">
        <f>IFERROR(VLOOKUP($I75,UoM!$A:$C,2,FALSE),"")</f>
        <v/>
      </c>
      <c r="AH75" s="56" t="str">
        <f>IFERROR(VLOOKUP("Renewed Assets:"&amp;ROW(),'Handover Cost Report'!$A:$U,17,FALSE),"")</f>
        <v/>
      </c>
      <c r="AI75" s="56" t="str">
        <f>IFERROR(VLOOKUP("Renewed Assets:"&amp;ROW(),'Handover Cost Report'!$A:$U,18,FALSE),"")</f>
        <v/>
      </c>
      <c r="AJ75" s="56" t="str">
        <f>IFERROR(VLOOKUP("Renewed Assets:"&amp;ROW(),'Handover Cost Report'!$A:$U,19,FALSE),"")</f>
        <v/>
      </c>
    </row>
    <row r="76" spans="2:36" s="3" customFormat="1" ht="12.75" x14ac:dyDescent="0.2">
      <c r="B76" s="47"/>
      <c r="C76" s="47"/>
      <c r="D76" s="47"/>
      <c r="E76" s="47"/>
      <c r="F76" s="47"/>
      <c r="G76" s="47"/>
      <c r="H76" s="47"/>
      <c r="I76" s="47"/>
      <c r="J76" s="48"/>
      <c r="K76" s="56">
        <f t="shared" si="4"/>
        <v>0</v>
      </c>
      <c r="L76" s="93" t="str">
        <f>IFERROR(VLOOKUP($F76,SC_Component!$B:$C,2,FALSE),"")</f>
        <v/>
      </c>
      <c r="M76" s="58"/>
      <c r="N76" s="59">
        <f t="shared" si="5"/>
        <v>0</v>
      </c>
      <c r="O76" s="59">
        <f t="shared" si="6"/>
        <v>0</v>
      </c>
      <c r="P76" s="47"/>
      <c r="Q76" s="47"/>
      <c r="R76" s="47"/>
      <c r="S76" s="58"/>
      <c r="T76" s="47"/>
      <c r="U76" s="47"/>
      <c r="V76" s="119"/>
      <c r="W76" s="119"/>
      <c r="X76" s="47"/>
      <c r="Y76" s="47"/>
      <c r="Z76" s="47"/>
      <c r="AA76" s="47"/>
      <c r="AB76" s="47"/>
      <c r="AC76" s="47"/>
      <c r="AD76" s="93" t="str">
        <f t="array" ref="AD76">IFERROR(IF($B76="Building","Buildings",INDEX(CoA_Schema[AsseticCategory],MATCH(1,(CoA_Schema[AssetType]=$D76)*(CoA_Schema[AssetClass]=$B76)*(CoA_Schema[AssetSubClass]=$C76)*(CoA_Schema[Title]=$F76),0),0)),"")</f>
        <v/>
      </c>
      <c r="AE76" s="93" t="str">
        <f t="array" ref="AE76">IFERROR(IF($B76="Building","Buildings",INDEX(CoA_Schema[FinancialClass],MATCH(1,(CoA_Schema[AssetType]=$D76)*(CoA_Schema[AssetClass]=$B76)*(CoA_Schema[AssetSubClass]=$C76),0),0)),"")</f>
        <v/>
      </c>
      <c r="AF76" s="93" t="str">
        <f t="array" ref="AF76">IFERROR(IF($B76="Building","Buildings",INDEX(CoA_Schema[FinancialSubClass],MATCH(1,(CoA_Schema[AssetType]=$D76)*(CoA_Schema[AssetClass]=$B76)*(CoA_Schema[AssetSubClass]=$C76),0),0)),"")</f>
        <v/>
      </c>
      <c r="AG76" s="93" t="str">
        <f>IFERROR(VLOOKUP($I76,UoM!$A:$C,2,FALSE),"")</f>
        <v/>
      </c>
      <c r="AH76" s="56" t="str">
        <f>IFERROR(VLOOKUP("Renewed Assets:"&amp;ROW(),'Handover Cost Report'!$A:$U,17,FALSE),"")</f>
        <v/>
      </c>
      <c r="AI76" s="56" t="str">
        <f>IFERROR(VLOOKUP("Renewed Assets:"&amp;ROW(),'Handover Cost Report'!$A:$U,18,FALSE),"")</f>
        <v/>
      </c>
      <c r="AJ76" s="56" t="str">
        <f>IFERROR(VLOOKUP("Renewed Assets:"&amp;ROW(),'Handover Cost Report'!$A:$U,19,FALSE),"")</f>
        <v/>
      </c>
    </row>
    <row r="77" spans="2:36" s="3" customFormat="1" ht="12.75" x14ac:dyDescent="0.2">
      <c r="B77" s="47"/>
      <c r="C77" s="47"/>
      <c r="D77" s="47"/>
      <c r="E77" s="47"/>
      <c r="F77" s="47"/>
      <c r="G77" s="47"/>
      <c r="H77" s="47"/>
      <c r="I77" s="47"/>
      <c r="J77" s="48"/>
      <c r="K77" s="56">
        <f t="shared" si="4"/>
        <v>0</v>
      </c>
      <c r="L77" s="93" t="str">
        <f>IFERROR(VLOOKUP($F77,SC_Component!$B:$C,2,FALSE),"")</f>
        <v/>
      </c>
      <c r="M77" s="58"/>
      <c r="N77" s="59">
        <f t="shared" si="5"/>
        <v>0</v>
      </c>
      <c r="O77" s="59">
        <f t="shared" si="6"/>
        <v>0</v>
      </c>
      <c r="P77" s="47"/>
      <c r="Q77" s="47"/>
      <c r="R77" s="47"/>
      <c r="S77" s="58"/>
      <c r="T77" s="47"/>
      <c r="U77" s="47"/>
      <c r="V77" s="119"/>
      <c r="W77" s="119"/>
      <c r="X77" s="47"/>
      <c r="Y77" s="47"/>
      <c r="Z77" s="47"/>
      <c r="AA77" s="47"/>
      <c r="AB77" s="47"/>
      <c r="AC77" s="47"/>
      <c r="AD77" s="93" t="str">
        <f t="array" ref="AD77">IFERROR(IF($B77="Building","Buildings",INDEX(CoA_Schema[AsseticCategory],MATCH(1,(CoA_Schema[AssetType]=$D77)*(CoA_Schema[AssetClass]=$B77)*(CoA_Schema[AssetSubClass]=$C77)*(CoA_Schema[Title]=$F77),0),0)),"")</f>
        <v/>
      </c>
      <c r="AE77" s="93" t="str">
        <f t="array" ref="AE77">IFERROR(IF($B77="Building","Buildings",INDEX(CoA_Schema[FinancialClass],MATCH(1,(CoA_Schema[AssetType]=$D77)*(CoA_Schema[AssetClass]=$B77)*(CoA_Schema[AssetSubClass]=$C77),0),0)),"")</f>
        <v/>
      </c>
      <c r="AF77" s="93" t="str">
        <f t="array" ref="AF77">IFERROR(IF($B77="Building","Buildings",INDEX(CoA_Schema[FinancialSubClass],MATCH(1,(CoA_Schema[AssetType]=$D77)*(CoA_Schema[AssetClass]=$B77)*(CoA_Schema[AssetSubClass]=$C77),0),0)),"")</f>
        <v/>
      </c>
      <c r="AG77" s="93" t="str">
        <f>IFERROR(VLOOKUP($I77,UoM!$A:$C,2,FALSE),"")</f>
        <v/>
      </c>
      <c r="AH77" s="56" t="str">
        <f>IFERROR(VLOOKUP("Renewed Assets:"&amp;ROW(),'Handover Cost Report'!$A:$U,17,FALSE),"")</f>
        <v/>
      </c>
      <c r="AI77" s="56" t="str">
        <f>IFERROR(VLOOKUP("Renewed Assets:"&amp;ROW(),'Handover Cost Report'!$A:$U,18,FALSE),"")</f>
        <v/>
      </c>
      <c r="AJ77" s="56" t="str">
        <f>IFERROR(VLOOKUP("Renewed Assets:"&amp;ROW(),'Handover Cost Report'!$A:$U,19,FALSE),"")</f>
        <v/>
      </c>
    </row>
    <row r="78" spans="2:36" s="3" customFormat="1" ht="12.75" x14ac:dyDescent="0.2">
      <c r="B78" s="47"/>
      <c r="C78" s="47"/>
      <c r="D78" s="47"/>
      <c r="E78" s="47"/>
      <c r="F78" s="47"/>
      <c r="G78" s="47"/>
      <c r="H78" s="47"/>
      <c r="I78" s="47"/>
      <c r="J78" s="48"/>
      <c r="K78" s="56">
        <f t="shared" si="4"/>
        <v>0</v>
      </c>
      <c r="L78" s="93" t="str">
        <f>IFERROR(VLOOKUP($F78,SC_Component!$B:$C,2,FALSE),"")</f>
        <v/>
      </c>
      <c r="M78" s="58"/>
      <c r="N78" s="59">
        <f t="shared" si="5"/>
        <v>0</v>
      </c>
      <c r="O78" s="59">
        <f t="shared" si="6"/>
        <v>0</v>
      </c>
      <c r="P78" s="47"/>
      <c r="Q78" s="47"/>
      <c r="R78" s="47"/>
      <c r="S78" s="58"/>
      <c r="T78" s="47"/>
      <c r="U78" s="47"/>
      <c r="V78" s="119"/>
      <c r="W78" s="119"/>
      <c r="X78" s="47"/>
      <c r="Y78" s="47"/>
      <c r="Z78" s="47"/>
      <c r="AA78" s="47"/>
      <c r="AB78" s="47"/>
      <c r="AC78" s="47"/>
      <c r="AD78" s="93" t="str">
        <f t="array" ref="AD78">IFERROR(IF($B78="Building","Buildings",INDEX(CoA_Schema[AsseticCategory],MATCH(1,(CoA_Schema[AssetType]=$D78)*(CoA_Schema[AssetClass]=$B78)*(CoA_Schema[AssetSubClass]=$C78)*(CoA_Schema[Title]=$F78),0),0)),"")</f>
        <v/>
      </c>
      <c r="AE78" s="93" t="str">
        <f t="array" ref="AE78">IFERROR(IF($B78="Building","Buildings",INDEX(CoA_Schema[FinancialClass],MATCH(1,(CoA_Schema[AssetType]=$D78)*(CoA_Schema[AssetClass]=$B78)*(CoA_Schema[AssetSubClass]=$C78),0),0)),"")</f>
        <v/>
      </c>
      <c r="AF78" s="93" t="str">
        <f t="array" ref="AF78">IFERROR(IF($B78="Building","Buildings",INDEX(CoA_Schema[FinancialSubClass],MATCH(1,(CoA_Schema[AssetType]=$D78)*(CoA_Schema[AssetClass]=$B78)*(CoA_Schema[AssetSubClass]=$C78),0),0)),"")</f>
        <v/>
      </c>
      <c r="AG78" s="93" t="str">
        <f>IFERROR(VLOOKUP($I78,UoM!$A:$C,2,FALSE),"")</f>
        <v/>
      </c>
      <c r="AH78" s="56" t="str">
        <f>IFERROR(VLOOKUP("Renewed Assets:"&amp;ROW(),'Handover Cost Report'!$A:$U,17,FALSE),"")</f>
        <v/>
      </c>
      <c r="AI78" s="56" t="str">
        <f>IFERROR(VLOOKUP("Renewed Assets:"&amp;ROW(),'Handover Cost Report'!$A:$U,18,FALSE),"")</f>
        <v/>
      </c>
      <c r="AJ78" s="56" t="str">
        <f>IFERROR(VLOOKUP("Renewed Assets:"&amp;ROW(),'Handover Cost Report'!$A:$U,19,FALSE),"")</f>
        <v/>
      </c>
    </row>
    <row r="79" spans="2:36" s="3" customFormat="1" ht="12.75" x14ac:dyDescent="0.2">
      <c r="B79" s="47"/>
      <c r="C79" s="47"/>
      <c r="D79" s="47"/>
      <c r="E79" s="47"/>
      <c r="F79" s="47"/>
      <c r="G79" s="47"/>
      <c r="H79" s="47"/>
      <c r="I79" s="47"/>
      <c r="J79" s="48"/>
      <c r="K79" s="56">
        <f t="shared" si="4"/>
        <v>0</v>
      </c>
      <c r="L79" s="93" t="str">
        <f>IFERROR(VLOOKUP($F79,SC_Component!$B:$C,2,FALSE),"")</f>
        <v/>
      </c>
      <c r="M79" s="58"/>
      <c r="N79" s="59">
        <f t="shared" si="5"/>
        <v>0</v>
      </c>
      <c r="O79" s="59">
        <f t="shared" si="6"/>
        <v>0</v>
      </c>
      <c r="P79" s="47"/>
      <c r="Q79" s="47"/>
      <c r="R79" s="47"/>
      <c r="S79" s="58"/>
      <c r="T79" s="47"/>
      <c r="U79" s="47"/>
      <c r="V79" s="119"/>
      <c r="W79" s="119"/>
      <c r="X79" s="47"/>
      <c r="Y79" s="47"/>
      <c r="Z79" s="47"/>
      <c r="AA79" s="47"/>
      <c r="AB79" s="47"/>
      <c r="AC79" s="47"/>
      <c r="AD79" s="93" t="str">
        <f t="array" ref="AD79">IFERROR(IF($B79="Building","Buildings",INDEX(CoA_Schema[AsseticCategory],MATCH(1,(CoA_Schema[AssetType]=$D79)*(CoA_Schema[AssetClass]=$B79)*(CoA_Schema[AssetSubClass]=$C79)*(CoA_Schema[Title]=$F79),0),0)),"")</f>
        <v/>
      </c>
      <c r="AE79" s="93" t="str">
        <f t="array" ref="AE79">IFERROR(IF($B79="Building","Buildings",INDEX(CoA_Schema[FinancialClass],MATCH(1,(CoA_Schema[AssetType]=$D79)*(CoA_Schema[AssetClass]=$B79)*(CoA_Schema[AssetSubClass]=$C79),0),0)),"")</f>
        <v/>
      </c>
      <c r="AF79" s="93" t="str">
        <f t="array" ref="AF79">IFERROR(IF($B79="Building","Buildings",INDEX(CoA_Schema[FinancialSubClass],MATCH(1,(CoA_Schema[AssetType]=$D79)*(CoA_Schema[AssetClass]=$B79)*(CoA_Schema[AssetSubClass]=$C79),0),0)),"")</f>
        <v/>
      </c>
      <c r="AG79" s="93" t="str">
        <f>IFERROR(VLOOKUP($I79,UoM!$A:$C,2,FALSE),"")</f>
        <v/>
      </c>
      <c r="AH79" s="56" t="str">
        <f>IFERROR(VLOOKUP("Renewed Assets:"&amp;ROW(),'Handover Cost Report'!$A:$U,17,FALSE),"")</f>
        <v/>
      </c>
      <c r="AI79" s="56" t="str">
        <f>IFERROR(VLOOKUP("Renewed Assets:"&amp;ROW(),'Handover Cost Report'!$A:$U,18,FALSE),"")</f>
        <v/>
      </c>
      <c r="AJ79" s="56" t="str">
        <f>IFERROR(VLOOKUP("Renewed Assets:"&amp;ROW(),'Handover Cost Report'!$A:$U,19,FALSE),"")</f>
        <v/>
      </c>
    </row>
    <row r="80" spans="2:36" s="3" customFormat="1" ht="12.75" x14ac:dyDescent="0.2">
      <c r="B80" s="47"/>
      <c r="C80" s="47"/>
      <c r="D80" s="47"/>
      <c r="E80" s="47"/>
      <c r="F80" s="47"/>
      <c r="G80" s="47"/>
      <c r="H80" s="47"/>
      <c r="I80" s="47"/>
      <c r="J80" s="48"/>
      <c r="K80" s="56">
        <f t="shared" si="4"/>
        <v>0</v>
      </c>
      <c r="L80" s="93" t="str">
        <f>IFERROR(VLOOKUP($F80,SC_Component!$B:$C,2,FALSE),"")</f>
        <v/>
      </c>
      <c r="M80" s="58"/>
      <c r="N80" s="59">
        <f t="shared" si="5"/>
        <v>0</v>
      </c>
      <c r="O80" s="59">
        <f t="shared" si="6"/>
        <v>0</v>
      </c>
      <c r="P80" s="47"/>
      <c r="Q80" s="47"/>
      <c r="R80" s="47"/>
      <c r="S80" s="58"/>
      <c r="T80" s="47"/>
      <c r="U80" s="47"/>
      <c r="V80" s="119"/>
      <c r="W80" s="119"/>
      <c r="X80" s="47"/>
      <c r="Y80" s="47"/>
      <c r="Z80" s="47"/>
      <c r="AA80" s="47"/>
      <c r="AB80" s="47"/>
      <c r="AC80" s="47"/>
      <c r="AD80" s="93" t="str">
        <f t="array" ref="AD80">IFERROR(IF($B80="Building","Buildings",INDEX(CoA_Schema[AsseticCategory],MATCH(1,(CoA_Schema[AssetType]=$D80)*(CoA_Schema[AssetClass]=$B80)*(CoA_Schema[AssetSubClass]=$C80)*(CoA_Schema[Title]=$F80),0),0)),"")</f>
        <v/>
      </c>
      <c r="AE80" s="93" t="str">
        <f t="array" ref="AE80">IFERROR(IF($B80="Building","Buildings",INDEX(CoA_Schema[FinancialClass],MATCH(1,(CoA_Schema[AssetType]=$D80)*(CoA_Schema[AssetClass]=$B80)*(CoA_Schema[AssetSubClass]=$C80),0),0)),"")</f>
        <v/>
      </c>
      <c r="AF80" s="93" t="str">
        <f t="array" ref="AF80">IFERROR(IF($B80="Building","Buildings",INDEX(CoA_Schema[FinancialSubClass],MATCH(1,(CoA_Schema[AssetType]=$D80)*(CoA_Schema[AssetClass]=$B80)*(CoA_Schema[AssetSubClass]=$C80),0),0)),"")</f>
        <v/>
      </c>
      <c r="AG80" s="93" t="str">
        <f>IFERROR(VLOOKUP($I80,UoM!$A:$C,2,FALSE),"")</f>
        <v/>
      </c>
      <c r="AH80" s="56" t="str">
        <f>IFERROR(VLOOKUP("Renewed Assets:"&amp;ROW(),'Handover Cost Report'!$A:$U,17,FALSE),"")</f>
        <v/>
      </c>
      <c r="AI80" s="56" t="str">
        <f>IFERROR(VLOOKUP("Renewed Assets:"&amp;ROW(),'Handover Cost Report'!$A:$U,18,FALSE),"")</f>
        <v/>
      </c>
      <c r="AJ80" s="56" t="str">
        <f>IFERROR(VLOOKUP("Renewed Assets:"&amp;ROW(),'Handover Cost Report'!$A:$U,19,FALSE),"")</f>
        <v/>
      </c>
    </row>
    <row r="81" spans="2:36" s="3" customFormat="1" ht="12.75" x14ac:dyDescent="0.2">
      <c r="B81" s="47"/>
      <c r="C81" s="47"/>
      <c r="D81" s="47"/>
      <c r="E81" s="47"/>
      <c r="F81" s="47"/>
      <c r="G81" s="47"/>
      <c r="H81" s="47"/>
      <c r="I81" s="47"/>
      <c r="J81" s="48"/>
      <c r="K81" s="56">
        <f t="shared" si="4"/>
        <v>0</v>
      </c>
      <c r="L81" s="93" t="str">
        <f>IFERROR(VLOOKUP($F81,SC_Component!$B:$C,2,FALSE),"")</f>
        <v/>
      </c>
      <c r="M81" s="58"/>
      <c r="N81" s="59">
        <f t="shared" si="5"/>
        <v>0</v>
      </c>
      <c r="O81" s="59">
        <f t="shared" si="6"/>
        <v>0</v>
      </c>
      <c r="P81" s="47"/>
      <c r="Q81" s="47"/>
      <c r="R81" s="47"/>
      <c r="S81" s="58"/>
      <c r="T81" s="47"/>
      <c r="U81" s="47"/>
      <c r="V81" s="119"/>
      <c r="W81" s="119"/>
      <c r="X81" s="47"/>
      <c r="Y81" s="47"/>
      <c r="Z81" s="47"/>
      <c r="AA81" s="47"/>
      <c r="AB81" s="47"/>
      <c r="AC81" s="47"/>
      <c r="AD81" s="93" t="str">
        <f t="array" ref="AD81">IFERROR(IF($B81="Building","Buildings",INDEX(CoA_Schema[AsseticCategory],MATCH(1,(CoA_Schema[AssetType]=$D81)*(CoA_Schema[AssetClass]=$B81)*(CoA_Schema[AssetSubClass]=$C81)*(CoA_Schema[Title]=$F81),0),0)),"")</f>
        <v/>
      </c>
      <c r="AE81" s="93" t="str">
        <f t="array" ref="AE81">IFERROR(IF($B81="Building","Buildings",INDEX(CoA_Schema[FinancialClass],MATCH(1,(CoA_Schema[AssetType]=$D81)*(CoA_Schema[AssetClass]=$B81)*(CoA_Schema[AssetSubClass]=$C81),0),0)),"")</f>
        <v/>
      </c>
      <c r="AF81" s="93" t="str">
        <f t="array" ref="AF81">IFERROR(IF($B81="Building","Buildings",INDEX(CoA_Schema[FinancialSubClass],MATCH(1,(CoA_Schema[AssetType]=$D81)*(CoA_Schema[AssetClass]=$B81)*(CoA_Schema[AssetSubClass]=$C81),0),0)),"")</f>
        <v/>
      </c>
      <c r="AG81" s="93" t="str">
        <f>IFERROR(VLOOKUP($I81,UoM!$A:$C,2,FALSE),"")</f>
        <v/>
      </c>
      <c r="AH81" s="56" t="str">
        <f>IFERROR(VLOOKUP("Renewed Assets:"&amp;ROW(),'Handover Cost Report'!$A:$U,17,FALSE),"")</f>
        <v/>
      </c>
      <c r="AI81" s="56" t="str">
        <f>IFERROR(VLOOKUP("Renewed Assets:"&amp;ROW(),'Handover Cost Report'!$A:$U,18,FALSE),"")</f>
        <v/>
      </c>
      <c r="AJ81" s="56" t="str">
        <f>IFERROR(VLOOKUP("Renewed Assets:"&amp;ROW(),'Handover Cost Report'!$A:$U,19,FALSE),"")</f>
        <v/>
      </c>
    </row>
    <row r="82" spans="2:36" s="3" customFormat="1" ht="12.75" x14ac:dyDescent="0.2">
      <c r="B82" s="47"/>
      <c r="C82" s="47"/>
      <c r="D82" s="47"/>
      <c r="E82" s="47"/>
      <c r="F82" s="47"/>
      <c r="G82" s="47"/>
      <c r="H82" s="47"/>
      <c r="I82" s="47"/>
      <c r="J82" s="48"/>
      <c r="K82" s="56">
        <f t="shared" si="4"/>
        <v>0</v>
      </c>
      <c r="L82" s="93" t="str">
        <f>IFERROR(VLOOKUP($F82,SC_Component!$B:$C,2,FALSE),"")</f>
        <v/>
      </c>
      <c r="M82" s="58"/>
      <c r="N82" s="59">
        <f t="shared" si="5"/>
        <v>0</v>
      </c>
      <c r="O82" s="59">
        <f t="shared" si="6"/>
        <v>0</v>
      </c>
      <c r="P82" s="47"/>
      <c r="Q82" s="47"/>
      <c r="R82" s="47"/>
      <c r="S82" s="58"/>
      <c r="T82" s="47"/>
      <c r="U82" s="47"/>
      <c r="V82" s="119"/>
      <c r="W82" s="119"/>
      <c r="X82" s="47"/>
      <c r="Y82" s="47"/>
      <c r="Z82" s="47"/>
      <c r="AA82" s="47"/>
      <c r="AB82" s="47"/>
      <c r="AC82" s="47"/>
      <c r="AD82" s="93" t="str">
        <f t="array" ref="AD82">IFERROR(IF($B82="Building","Buildings",INDEX(CoA_Schema[AsseticCategory],MATCH(1,(CoA_Schema[AssetType]=$D82)*(CoA_Schema[AssetClass]=$B82)*(CoA_Schema[AssetSubClass]=$C82)*(CoA_Schema[Title]=$F82),0),0)),"")</f>
        <v/>
      </c>
      <c r="AE82" s="93" t="str">
        <f t="array" ref="AE82">IFERROR(IF($B82="Building","Buildings",INDEX(CoA_Schema[FinancialClass],MATCH(1,(CoA_Schema[AssetType]=$D82)*(CoA_Schema[AssetClass]=$B82)*(CoA_Schema[AssetSubClass]=$C82),0),0)),"")</f>
        <v/>
      </c>
      <c r="AF82" s="93" t="str">
        <f t="array" ref="AF82">IFERROR(IF($B82="Building","Buildings",INDEX(CoA_Schema[FinancialSubClass],MATCH(1,(CoA_Schema[AssetType]=$D82)*(CoA_Schema[AssetClass]=$B82)*(CoA_Schema[AssetSubClass]=$C82),0),0)),"")</f>
        <v/>
      </c>
      <c r="AG82" s="93" t="str">
        <f>IFERROR(VLOOKUP($I82,UoM!$A:$C,2,FALSE),"")</f>
        <v/>
      </c>
      <c r="AH82" s="56" t="str">
        <f>IFERROR(VLOOKUP("Renewed Assets:"&amp;ROW(),'Handover Cost Report'!$A:$U,17,FALSE),"")</f>
        <v/>
      </c>
      <c r="AI82" s="56" t="str">
        <f>IFERROR(VLOOKUP("Renewed Assets:"&amp;ROW(),'Handover Cost Report'!$A:$U,18,FALSE),"")</f>
        <v/>
      </c>
      <c r="AJ82" s="56" t="str">
        <f>IFERROR(VLOOKUP("Renewed Assets:"&amp;ROW(),'Handover Cost Report'!$A:$U,19,FALSE),"")</f>
        <v/>
      </c>
    </row>
    <row r="83" spans="2:36" s="3" customFormat="1" ht="12.75" x14ac:dyDescent="0.2">
      <c r="B83" s="47"/>
      <c r="C83" s="47"/>
      <c r="D83" s="47"/>
      <c r="E83" s="47"/>
      <c r="F83" s="47"/>
      <c r="G83" s="47"/>
      <c r="H83" s="47"/>
      <c r="I83" s="47"/>
      <c r="J83" s="48"/>
      <c r="K83" s="56">
        <f t="shared" si="4"/>
        <v>0</v>
      </c>
      <c r="L83" s="93" t="str">
        <f>IFERROR(VLOOKUP($F83,SC_Component!$B:$C,2,FALSE),"")</f>
        <v/>
      </c>
      <c r="M83" s="58"/>
      <c r="N83" s="59">
        <f t="shared" si="5"/>
        <v>0</v>
      </c>
      <c r="O83" s="59">
        <f t="shared" si="6"/>
        <v>0</v>
      </c>
      <c r="P83" s="47"/>
      <c r="Q83" s="47"/>
      <c r="R83" s="47"/>
      <c r="S83" s="58"/>
      <c r="T83" s="47"/>
      <c r="U83" s="47"/>
      <c r="V83" s="119"/>
      <c r="W83" s="119"/>
      <c r="X83" s="47"/>
      <c r="Y83" s="47"/>
      <c r="Z83" s="47"/>
      <c r="AA83" s="47"/>
      <c r="AB83" s="47"/>
      <c r="AC83" s="47"/>
      <c r="AD83" s="93" t="str">
        <f t="array" ref="AD83">IFERROR(IF($B83="Building","Buildings",INDEX(CoA_Schema[AsseticCategory],MATCH(1,(CoA_Schema[AssetType]=$D83)*(CoA_Schema[AssetClass]=$B83)*(CoA_Schema[AssetSubClass]=$C83)*(CoA_Schema[Title]=$F83),0),0)),"")</f>
        <v/>
      </c>
      <c r="AE83" s="93" t="str">
        <f t="array" ref="AE83">IFERROR(IF($B83="Building","Buildings",INDEX(CoA_Schema[FinancialClass],MATCH(1,(CoA_Schema[AssetType]=$D83)*(CoA_Schema[AssetClass]=$B83)*(CoA_Schema[AssetSubClass]=$C83),0),0)),"")</f>
        <v/>
      </c>
      <c r="AF83" s="93" t="str">
        <f t="array" ref="AF83">IFERROR(IF($B83="Building","Buildings",INDEX(CoA_Schema[FinancialSubClass],MATCH(1,(CoA_Schema[AssetType]=$D83)*(CoA_Schema[AssetClass]=$B83)*(CoA_Schema[AssetSubClass]=$C83),0),0)),"")</f>
        <v/>
      </c>
      <c r="AG83" s="93" t="str">
        <f>IFERROR(VLOOKUP($I83,UoM!$A:$C,2,FALSE),"")</f>
        <v/>
      </c>
      <c r="AH83" s="56" t="str">
        <f>IFERROR(VLOOKUP("Renewed Assets:"&amp;ROW(),'Handover Cost Report'!$A:$U,17,FALSE),"")</f>
        <v/>
      </c>
      <c r="AI83" s="56" t="str">
        <f>IFERROR(VLOOKUP("Renewed Assets:"&amp;ROW(),'Handover Cost Report'!$A:$U,18,FALSE),"")</f>
        <v/>
      </c>
      <c r="AJ83" s="56" t="str">
        <f>IFERROR(VLOOKUP("Renewed Assets:"&amp;ROW(),'Handover Cost Report'!$A:$U,19,FALSE),"")</f>
        <v/>
      </c>
    </row>
    <row r="84" spans="2:36" s="3" customFormat="1" ht="12.75" x14ac:dyDescent="0.2">
      <c r="B84" s="47"/>
      <c r="C84" s="47"/>
      <c r="D84" s="47"/>
      <c r="E84" s="47"/>
      <c r="F84" s="47"/>
      <c r="G84" s="47"/>
      <c r="H84" s="47"/>
      <c r="I84" s="47"/>
      <c r="J84" s="48"/>
      <c r="K84" s="56">
        <f t="shared" si="4"/>
        <v>0</v>
      </c>
      <c r="L84" s="93" t="str">
        <f>IFERROR(VLOOKUP($F84,SC_Component!$B:$C,2,FALSE),"")</f>
        <v/>
      </c>
      <c r="M84" s="58"/>
      <c r="N84" s="59">
        <f t="shared" si="5"/>
        <v>0</v>
      </c>
      <c r="O84" s="59">
        <f t="shared" si="6"/>
        <v>0</v>
      </c>
      <c r="P84" s="47"/>
      <c r="Q84" s="47"/>
      <c r="R84" s="47"/>
      <c r="S84" s="58"/>
      <c r="T84" s="47"/>
      <c r="U84" s="47"/>
      <c r="V84" s="119"/>
      <c r="W84" s="119"/>
      <c r="X84" s="47"/>
      <c r="Y84" s="47"/>
      <c r="Z84" s="47"/>
      <c r="AA84" s="47"/>
      <c r="AB84" s="47"/>
      <c r="AC84" s="47"/>
      <c r="AD84" s="93" t="str">
        <f t="array" ref="AD84">IFERROR(IF($B84="Building","Buildings",INDEX(CoA_Schema[AsseticCategory],MATCH(1,(CoA_Schema[AssetType]=$D84)*(CoA_Schema[AssetClass]=$B84)*(CoA_Schema[AssetSubClass]=$C84)*(CoA_Schema[Title]=$F84),0),0)),"")</f>
        <v/>
      </c>
      <c r="AE84" s="93" t="str">
        <f t="array" ref="AE84">IFERROR(IF($B84="Building","Buildings",INDEX(CoA_Schema[FinancialClass],MATCH(1,(CoA_Schema[AssetType]=$D84)*(CoA_Schema[AssetClass]=$B84)*(CoA_Schema[AssetSubClass]=$C84),0),0)),"")</f>
        <v/>
      </c>
      <c r="AF84" s="93" t="str">
        <f t="array" ref="AF84">IFERROR(IF($B84="Building","Buildings",INDEX(CoA_Schema[FinancialSubClass],MATCH(1,(CoA_Schema[AssetType]=$D84)*(CoA_Schema[AssetClass]=$B84)*(CoA_Schema[AssetSubClass]=$C84),0),0)),"")</f>
        <v/>
      </c>
      <c r="AG84" s="93" t="str">
        <f>IFERROR(VLOOKUP($I84,UoM!$A:$C,2,FALSE),"")</f>
        <v/>
      </c>
      <c r="AH84" s="56" t="str">
        <f>IFERROR(VLOOKUP("Renewed Assets:"&amp;ROW(),'Handover Cost Report'!$A:$U,17,FALSE),"")</f>
        <v/>
      </c>
      <c r="AI84" s="56" t="str">
        <f>IFERROR(VLOOKUP("Renewed Assets:"&amp;ROW(),'Handover Cost Report'!$A:$U,18,FALSE),"")</f>
        <v/>
      </c>
      <c r="AJ84" s="56" t="str">
        <f>IFERROR(VLOOKUP("Renewed Assets:"&amp;ROW(),'Handover Cost Report'!$A:$U,19,FALSE),"")</f>
        <v/>
      </c>
    </row>
    <row r="85" spans="2:36" s="3" customFormat="1" ht="12.75" x14ac:dyDescent="0.2">
      <c r="B85" s="47"/>
      <c r="C85" s="47"/>
      <c r="D85" s="47"/>
      <c r="E85" s="47"/>
      <c r="F85" s="47"/>
      <c r="G85" s="47"/>
      <c r="H85" s="47"/>
      <c r="I85" s="47"/>
      <c r="J85" s="48"/>
      <c r="K85" s="56">
        <f t="shared" si="4"/>
        <v>0</v>
      </c>
      <c r="L85" s="93" t="str">
        <f>IFERROR(VLOOKUP($F85,SC_Component!$B:$C,2,FALSE),"")</f>
        <v/>
      </c>
      <c r="M85" s="58"/>
      <c r="N85" s="59">
        <f t="shared" si="5"/>
        <v>0</v>
      </c>
      <c r="O85" s="59">
        <f t="shared" si="6"/>
        <v>0</v>
      </c>
      <c r="P85" s="47"/>
      <c r="Q85" s="47"/>
      <c r="R85" s="47"/>
      <c r="S85" s="58"/>
      <c r="T85" s="47"/>
      <c r="U85" s="47"/>
      <c r="V85" s="119"/>
      <c r="W85" s="119"/>
      <c r="X85" s="47"/>
      <c r="Y85" s="47"/>
      <c r="Z85" s="47"/>
      <c r="AA85" s="47"/>
      <c r="AB85" s="47"/>
      <c r="AC85" s="47"/>
      <c r="AD85" s="93" t="str">
        <f t="array" ref="AD85">IFERROR(IF($B85="Building","Buildings",INDEX(CoA_Schema[AsseticCategory],MATCH(1,(CoA_Schema[AssetType]=$D85)*(CoA_Schema[AssetClass]=$B85)*(CoA_Schema[AssetSubClass]=$C85)*(CoA_Schema[Title]=$F85),0),0)),"")</f>
        <v/>
      </c>
      <c r="AE85" s="93" t="str">
        <f t="array" ref="AE85">IFERROR(IF($B85="Building","Buildings",INDEX(CoA_Schema[FinancialClass],MATCH(1,(CoA_Schema[AssetType]=$D85)*(CoA_Schema[AssetClass]=$B85)*(CoA_Schema[AssetSubClass]=$C85),0),0)),"")</f>
        <v/>
      </c>
      <c r="AF85" s="93" t="str">
        <f t="array" ref="AF85">IFERROR(IF($B85="Building","Buildings",INDEX(CoA_Schema[FinancialSubClass],MATCH(1,(CoA_Schema[AssetType]=$D85)*(CoA_Schema[AssetClass]=$B85)*(CoA_Schema[AssetSubClass]=$C85),0),0)),"")</f>
        <v/>
      </c>
      <c r="AG85" s="93" t="str">
        <f>IFERROR(VLOOKUP($I85,UoM!$A:$C,2,FALSE),"")</f>
        <v/>
      </c>
      <c r="AH85" s="56" t="str">
        <f>IFERROR(VLOOKUP("Renewed Assets:"&amp;ROW(),'Handover Cost Report'!$A:$U,17,FALSE),"")</f>
        <v/>
      </c>
      <c r="AI85" s="56" t="str">
        <f>IFERROR(VLOOKUP("Renewed Assets:"&amp;ROW(),'Handover Cost Report'!$A:$U,18,FALSE),"")</f>
        <v/>
      </c>
      <c r="AJ85" s="56" t="str">
        <f>IFERROR(VLOOKUP("Renewed Assets:"&amp;ROW(),'Handover Cost Report'!$A:$U,19,FALSE),"")</f>
        <v/>
      </c>
    </row>
    <row r="86" spans="2:36" s="3" customFormat="1" ht="12.75" x14ac:dyDescent="0.2">
      <c r="B86" s="47"/>
      <c r="C86" s="47"/>
      <c r="D86" s="47"/>
      <c r="E86" s="47"/>
      <c r="F86" s="47"/>
      <c r="G86" s="47"/>
      <c r="H86" s="47"/>
      <c r="I86" s="47"/>
      <c r="J86" s="48"/>
      <c r="K86" s="56">
        <f t="shared" si="4"/>
        <v>0</v>
      </c>
      <c r="L86" s="93" t="str">
        <f>IFERROR(VLOOKUP($F86,SC_Component!$B:$C,2,FALSE),"")</f>
        <v/>
      </c>
      <c r="M86" s="58"/>
      <c r="N86" s="59">
        <f t="shared" si="5"/>
        <v>0</v>
      </c>
      <c r="O86" s="59">
        <f t="shared" si="6"/>
        <v>0</v>
      </c>
      <c r="P86" s="47"/>
      <c r="Q86" s="47"/>
      <c r="R86" s="47"/>
      <c r="S86" s="58"/>
      <c r="T86" s="47"/>
      <c r="U86" s="47"/>
      <c r="V86" s="119"/>
      <c r="W86" s="119"/>
      <c r="X86" s="47"/>
      <c r="Y86" s="47"/>
      <c r="Z86" s="47"/>
      <c r="AA86" s="47"/>
      <c r="AB86" s="47"/>
      <c r="AC86" s="47"/>
      <c r="AD86" s="93" t="str">
        <f t="array" ref="AD86">IFERROR(IF($B86="Building","Buildings",INDEX(CoA_Schema[AsseticCategory],MATCH(1,(CoA_Schema[AssetType]=$D86)*(CoA_Schema[AssetClass]=$B86)*(CoA_Schema[AssetSubClass]=$C86)*(CoA_Schema[Title]=$F86),0),0)),"")</f>
        <v/>
      </c>
      <c r="AE86" s="93" t="str">
        <f t="array" ref="AE86">IFERROR(IF($B86="Building","Buildings",INDEX(CoA_Schema[FinancialClass],MATCH(1,(CoA_Schema[AssetType]=$D86)*(CoA_Schema[AssetClass]=$B86)*(CoA_Schema[AssetSubClass]=$C86),0),0)),"")</f>
        <v/>
      </c>
      <c r="AF86" s="93" t="str">
        <f t="array" ref="AF86">IFERROR(IF($B86="Building","Buildings",INDEX(CoA_Schema[FinancialSubClass],MATCH(1,(CoA_Schema[AssetType]=$D86)*(CoA_Schema[AssetClass]=$B86)*(CoA_Schema[AssetSubClass]=$C86),0),0)),"")</f>
        <v/>
      </c>
      <c r="AG86" s="93" t="str">
        <f>IFERROR(VLOOKUP($I86,UoM!$A:$C,2,FALSE),"")</f>
        <v/>
      </c>
      <c r="AH86" s="56" t="str">
        <f>IFERROR(VLOOKUP("Renewed Assets:"&amp;ROW(),'Handover Cost Report'!$A:$U,17,FALSE),"")</f>
        <v/>
      </c>
      <c r="AI86" s="56" t="str">
        <f>IFERROR(VLOOKUP("Renewed Assets:"&amp;ROW(),'Handover Cost Report'!$A:$U,18,FALSE),"")</f>
        <v/>
      </c>
      <c r="AJ86" s="56" t="str">
        <f>IFERROR(VLOOKUP("Renewed Assets:"&amp;ROW(),'Handover Cost Report'!$A:$U,19,FALSE),"")</f>
        <v/>
      </c>
    </row>
    <row r="87" spans="2:36" s="3" customFormat="1" ht="12.75" x14ac:dyDescent="0.2">
      <c r="B87" s="47"/>
      <c r="C87" s="47"/>
      <c r="D87" s="47"/>
      <c r="E87" s="47"/>
      <c r="F87" s="47"/>
      <c r="G87" s="47"/>
      <c r="H87" s="47"/>
      <c r="I87" s="47"/>
      <c r="J87" s="48"/>
      <c r="K87" s="56">
        <f t="shared" si="4"/>
        <v>0</v>
      </c>
      <c r="L87" s="93" t="str">
        <f>IFERROR(VLOOKUP($F87,SC_Component!$B:$C,2,FALSE),"")</f>
        <v/>
      </c>
      <c r="M87" s="58"/>
      <c r="N87" s="59">
        <f t="shared" si="5"/>
        <v>0</v>
      </c>
      <c r="O87" s="59">
        <f t="shared" si="6"/>
        <v>0</v>
      </c>
      <c r="P87" s="47"/>
      <c r="Q87" s="47"/>
      <c r="R87" s="47"/>
      <c r="S87" s="58"/>
      <c r="T87" s="47"/>
      <c r="U87" s="47"/>
      <c r="V87" s="119"/>
      <c r="W87" s="119"/>
      <c r="X87" s="47"/>
      <c r="Y87" s="47"/>
      <c r="Z87" s="47"/>
      <c r="AA87" s="47"/>
      <c r="AB87" s="47"/>
      <c r="AC87" s="47"/>
      <c r="AD87" s="93" t="str">
        <f t="array" ref="AD87">IFERROR(IF($B87="Building","Buildings",INDEX(CoA_Schema[AsseticCategory],MATCH(1,(CoA_Schema[AssetType]=$D87)*(CoA_Schema[AssetClass]=$B87)*(CoA_Schema[AssetSubClass]=$C87)*(CoA_Schema[Title]=$F87),0),0)),"")</f>
        <v/>
      </c>
      <c r="AE87" s="93" t="str">
        <f t="array" ref="AE87">IFERROR(IF($B87="Building","Buildings",INDEX(CoA_Schema[FinancialClass],MATCH(1,(CoA_Schema[AssetType]=$D87)*(CoA_Schema[AssetClass]=$B87)*(CoA_Schema[AssetSubClass]=$C87),0),0)),"")</f>
        <v/>
      </c>
      <c r="AF87" s="93" t="str">
        <f t="array" ref="AF87">IFERROR(IF($B87="Building","Buildings",INDEX(CoA_Schema[FinancialSubClass],MATCH(1,(CoA_Schema[AssetType]=$D87)*(CoA_Schema[AssetClass]=$B87)*(CoA_Schema[AssetSubClass]=$C87),0),0)),"")</f>
        <v/>
      </c>
      <c r="AG87" s="93" t="str">
        <f>IFERROR(VLOOKUP($I87,UoM!$A:$C,2,FALSE),"")</f>
        <v/>
      </c>
      <c r="AH87" s="56" t="str">
        <f>IFERROR(VLOOKUP("Renewed Assets:"&amp;ROW(),'Handover Cost Report'!$A:$U,17,FALSE),"")</f>
        <v/>
      </c>
      <c r="AI87" s="56" t="str">
        <f>IFERROR(VLOOKUP("Renewed Assets:"&amp;ROW(),'Handover Cost Report'!$A:$U,18,FALSE),"")</f>
        <v/>
      </c>
      <c r="AJ87" s="56" t="str">
        <f>IFERROR(VLOOKUP("Renewed Assets:"&amp;ROW(),'Handover Cost Report'!$A:$U,19,FALSE),"")</f>
        <v/>
      </c>
    </row>
    <row r="88" spans="2:36" s="3" customFormat="1" ht="12.75" x14ac:dyDescent="0.2">
      <c r="B88" s="47"/>
      <c r="C88" s="47"/>
      <c r="D88" s="47"/>
      <c r="E88" s="47"/>
      <c r="F88" s="47"/>
      <c r="G88" s="47"/>
      <c r="H88" s="47"/>
      <c r="I88" s="47"/>
      <c r="J88" s="48"/>
      <c r="K88" s="56">
        <f t="shared" si="4"/>
        <v>0</v>
      </c>
      <c r="L88" s="93" t="str">
        <f>IFERROR(VLOOKUP($F88,SC_Component!$B:$C,2,FALSE),"")</f>
        <v/>
      </c>
      <c r="M88" s="58"/>
      <c r="N88" s="59">
        <f t="shared" si="5"/>
        <v>0</v>
      </c>
      <c r="O88" s="59">
        <f t="shared" si="6"/>
        <v>0</v>
      </c>
      <c r="P88" s="47"/>
      <c r="Q88" s="47"/>
      <c r="R88" s="47"/>
      <c r="S88" s="58"/>
      <c r="T88" s="47"/>
      <c r="U88" s="47"/>
      <c r="V88" s="119"/>
      <c r="W88" s="119"/>
      <c r="X88" s="47"/>
      <c r="Y88" s="47"/>
      <c r="Z88" s="47"/>
      <c r="AA88" s="47"/>
      <c r="AB88" s="47"/>
      <c r="AC88" s="47"/>
      <c r="AD88" s="93" t="str">
        <f t="array" ref="AD88">IFERROR(IF($B88="Building","Buildings",INDEX(CoA_Schema[AsseticCategory],MATCH(1,(CoA_Schema[AssetType]=$D88)*(CoA_Schema[AssetClass]=$B88)*(CoA_Schema[AssetSubClass]=$C88)*(CoA_Schema[Title]=$F88),0),0)),"")</f>
        <v/>
      </c>
      <c r="AE88" s="93" t="str">
        <f t="array" ref="AE88">IFERROR(IF($B88="Building","Buildings",INDEX(CoA_Schema[FinancialClass],MATCH(1,(CoA_Schema[AssetType]=$D88)*(CoA_Schema[AssetClass]=$B88)*(CoA_Schema[AssetSubClass]=$C88),0),0)),"")</f>
        <v/>
      </c>
      <c r="AF88" s="93" t="str">
        <f t="array" ref="AF88">IFERROR(IF($B88="Building","Buildings",INDEX(CoA_Schema[FinancialSubClass],MATCH(1,(CoA_Schema[AssetType]=$D88)*(CoA_Schema[AssetClass]=$B88)*(CoA_Schema[AssetSubClass]=$C88),0),0)),"")</f>
        <v/>
      </c>
      <c r="AG88" s="93" t="str">
        <f>IFERROR(VLOOKUP($I88,UoM!$A:$C,2,FALSE),"")</f>
        <v/>
      </c>
      <c r="AH88" s="56" t="str">
        <f>IFERROR(VLOOKUP("Renewed Assets:"&amp;ROW(),'Handover Cost Report'!$A:$U,17,FALSE),"")</f>
        <v/>
      </c>
      <c r="AI88" s="56" t="str">
        <f>IFERROR(VLOOKUP("Renewed Assets:"&amp;ROW(),'Handover Cost Report'!$A:$U,18,FALSE),"")</f>
        <v/>
      </c>
      <c r="AJ88" s="56" t="str">
        <f>IFERROR(VLOOKUP("Renewed Assets:"&amp;ROW(),'Handover Cost Report'!$A:$U,19,FALSE),"")</f>
        <v/>
      </c>
    </row>
    <row r="89" spans="2:36" s="3" customFormat="1" ht="12.75" x14ac:dyDescent="0.2">
      <c r="B89" s="47"/>
      <c r="C89" s="47"/>
      <c r="D89" s="47"/>
      <c r="E89" s="47"/>
      <c r="F89" s="47"/>
      <c r="G89" s="47"/>
      <c r="H89" s="47"/>
      <c r="I89" s="47"/>
      <c r="J89" s="48"/>
      <c r="K89" s="56">
        <f t="shared" si="4"/>
        <v>0</v>
      </c>
      <c r="L89" s="93" t="str">
        <f>IFERROR(VLOOKUP($F89,SC_Component!$B:$C,2,FALSE),"")</f>
        <v/>
      </c>
      <c r="M89" s="58"/>
      <c r="N89" s="59">
        <f t="shared" si="5"/>
        <v>0</v>
      </c>
      <c r="O89" s="59">
        <f t="shared" si="6"/>
        <v>0</v>
      </c>
      <c r="P89" s="47"/>
      <c r="Q89" s="47"/>
      <c r="R89" s="47"/>
      <c r="S89" s="58"/>
      <c r="T89" s="47"/>
      <c r="U89" s="47"/>
      <c r="V89" s="119"/>
      <c r="W89" s="119"/>
      <c r="X89" s="47"/>
      <c r="Y89" s="47"/>
      <c r="Z89" s="47"/>
      <c r="AA89" s="47"/>
      <c r="AB89" s="47"/>
      <c r="AC89" s="47"/>
      <c r="AD89" s="93" t="str">
        <f t="array" ref="AD89">IFERROR(IF($B89="Building","Buildings",INDEX(CoA_Schema[AsseticCategory],MATCH(1,(CoA_Schema[AssetType]=$D89)*(CoA_Schema[AssetClass]=$B89)*(CoA_Schema[AssetSubClass]=$C89)*(CoA_Schema[Title]=$F89),0),0)),"")</f>
        <v/>
      </c>
      <c r="AE89" s="93" t="str">
        <f t="array" ref="AE89">IFERROR(IF($B89="Building","Buildings",INDEX(CoA_Schema[FinancialClass],MATCH(1,(CoA_Schema[AssetType]=$D89)*(CoA_Schema[AssetClass]=$B89)*(CoA_Schema[AssetSubClass]=$C89),0),0)),"")</f>
        <v/>
      </c>
      <c r="AF89" s="93" t="str">
        <f t="array" ref="AF89">IFERROR(IF($B89="Building","Buildings",INDEX(CoA_Schema[FinancialSubClass],MATCH(1,(CoA_Schema[AssetType]=$D89)*(CoA_Schema[AssetClass]=$B89)*(CoA_Schema[AssetSubClass]=$C89),0),0)),"")</f>
        <v/>
      </c>
      <c r="AG89" s="93" t="str">
        <f>IFERROR(VLOOKUP($I89,UoM!$A:$C,2,FALSE),"")</f>
        <v/>
      </c>
      <c r="AH89" s="56" t="str">
        <f>IFERROR(VLOOKUP("Renewed Assets:"&amp;ROW(),'Handover Cost Report'!$A:$U,17,FALSE),"")</f>
        <v/>
      </c>
      <c r="AI89" s="56" t="str">
        <f>IFERROR(VLOOKUP("Renewed Assets:"&amp;ROW(),'Handover Cost Report'!$A:$U,18,FALSE),"")</f>
        <v/>
      </c>
      <c r="AJ89" s="56" t="str">
        <f>IFERROR(VLOOKUP("Renewed Assets:"&amp;ROW(),'Handover Cost Report'!$A:$U,19,FALSE),"")</f>
        <v/>
      </c>
    </row>
    <row r="90" spans="2:36" s="3" customFormat="1" ht="12.75" x14ac:dyDescent="0.2">
      <c r="B90" s="47"/>
      <c r="C90" s="47"/>
      <c r="D90" s="47"/>
      <c r="E90" s="47"/>
      <c r="F90" s="47"/>
      <c r="G90" s="47"/>
      <c r="H90" s="47"/>
      <c r="I90" s="47"/>
      <c r="J90" s="48"/>
      <c r="K90" s="56">
        <f t="shared" si="4"/>
        <v>0</v>
      </c>
      <c r="L90" s="93" t="str">
        <f>IFERROR(VLOOKUP($F90,SC_Component!$B:$C,2,FALSE),"")</f>
        <v/>
      </c>
      <c r="M90" s="58"/>
      <c r="N90" s="59">
        <f t="shared" si="5"/>
        <v>0</v>
      </c>
      <c r="O90" s="59">
        <f t="shared" si="6"/>
        <v>0</v>
      </c>
      <c r="P90" s="47"/>
      <c r="Q90" s="47"/>
      <c r="R90" s="47"/>
      <c r="S90" s="58"/>
      <c r="T90" s="47"/>
      <c r="U90" s="47"/>
      <c r="V90" s="119"/>
      <c r="W90" s="119"/>
      <c r="X90" s="47"/>
      <c r="Y90" s="47"/>
      <c r="Z90" s="47"/>
      <c r="AA90" s="47"/>
      <c r="AB90" s="47"/>
      <c r="AC90" s="47"/>
      <c r="AD90" s="93" t="str">
        <f t="array" ref="AD90">IFERROR(IF($B90="Building","Buildings",INDEX(CoA_Schema[AsseticCategory],MATCH(1,(CoA_Schema[AssetType]=$D90)*(CoA_Schema[AssetClass]=$B90)*(CoA_Schema[AssetSubClass]=$C90)*(CoA_Schema[Title]=$F90),0),0)),"")</f>
        <v/>
      </c>
      <c r="AE90" s="93" t="str">
        <f t="array" ref="AE90">IFERROR(IF($B90="Building","Buildings",INDEX(CoA_Schema[FinancialClass],MATCH(1,(CoA_Schema[AssetType]=$D90)*(CoA_Schema[AssetClass]=$B90)*(CoA_Schema[AssetSubClass]=$C90),0),0)),"")</f>
        <v/>
      </c>
      <c r="AF90" s="93" t="str">
        <f t="array" ref="AF90">IFERROR(IF($B90="Building","Buildings",INDEX(CoA_Schema[FinancialSubClass],MATCH(1,(CoA_Schema[AssetType]=$D90)*(CoA_Schema[AssetClass]=$B90)*(CoA_Schema[AssetSubClass]=$C90),0),0)),"")</f>
        <v/>
      </c>
      <c r="AG90" s="93" t="str">
        <f>IFERROR(VLOOKUP($I90,UoM!$A:$C,2,FALSE),"")</f>
        <v/>
      </c>
      <c r="AH90" s="56" t="str">
        <f>IFERROR(VLOOKUP("Renewed Assets:"&amp;ROW(),'Handover Cost Report'!$A:$U,17,FALSE),"")</f>
        <v/>
      </c>
      <c r="AI90" s="56" t="str">
        <f>IFERROR(VLOOKUP("Renewed Assets:"&amp;ROW(),'Handover Cost Report'!$A:$U,18,FALSE),"")</f>
        <v/>
      </c>
      <c r="AJ90" s="56" t="str">
        <f>IFERROR(VLOOKUP("Renewed Assets:"&amp;ROW(),'Handover Cost Report'!$A:$U,19,FALSE),"")</f>
        <v/>
      </c>
    </row>
    <row r="91" spans="2:36" s="3" customFormat="1" ht="12.75" x14ac:dyDescent="0.2">
      <c r="B91" s="47"/>
      <c r="C91" s="47"/>
      <c r="D91" s="47"/>
      <c r="E91" s="47"/>
      <c r="F91" s="47"/>
      <c r="G91" s="47"/>
      <c r="H91" s="47"/>
      <c r="I91" s="47"/>
      <c r="J91" s="48"/>
      <c r="K91" s="56">
        <f t="shared" si="4"/>
        <v>0</v>
      </c>
      <c r="L91" s="93" t="str">
        <f>IFERROR(VLOOKUP($F91,SC_Component!$B:$C,2,FALSE),"")</f>
        <v/>
      </c>
      <c r="M91" s="58"/>
      <c r="N91" s="59">
        <f t="shared" si="5"/>
        <v>0</v>
      </c>
      <c r="O91" s="59">
        <f t="shared" si="6"/>
        <v>0</v>
      </c>
      <c r="P91" s="47"/>
      <c r="Q91" s="47"/>
      <c r="R91" s="47"/>
      <c r="S91" s="58"/>
      <c r="T91" s="47"/>
      <c r="U91" s="47"/>
      <c r="V91" s="119"/>
      <c r="W91" s="119"/>
      <c r="X91" s="47"/>
      <c r="Y91" s="47"/>
      <c r="Z91" s="47"/>
      <c r="AA91" s="47"/>
      <c r="AB91" s="47"/>
      <c r="AC91" s="47"/>
      <c r="AD91" s="93" t="str">
        <f t="array" ref="AD91">IFERROR(IF($B91="Building","Buildings",INDEX(CoA_Schema[AsseticCategory],MATCH(1,(CoA_Schema[AssetType]=$D91)*(CoA_Schema[AssetClass]=$B91)*(CoA_Schema[AssetSubClass]=$C91)*(CoA_Schema[Title]=$F91),0),0)),"")</f>
        <v/>
      </c>
      <c r="AE91" s="93" t="str">
        <f t="array" ref="AE91">IFERROR(IF($B91="Building","Buildings",INDEX(CoA_Schema[FinancialClass],MATCH(1,(CoA_Schema[AssetType]=$D91)*(CoA_Schema[AssetClass]=$B91)*(CoA_Schema[AssetSubClass]=$C91),0),0)),"")</f>
        <v/>
      </c>
      <c r="AF91" s="93" t="str">
        <f t="array" ref="AF91">IFERROR(IF($B91="Building","Buildings",INDEX(CoA_Schema[FinancialSubClass],MATCH(1,(CoA_Schema[AssetType]=$D91)*(CoA_Schema[AssetClass]=$B91)*(CoA_Schema[AssetSubClass]=$C91),0),0)),"")</f>
        <v/>
      </c>
      <c r="AG91" s="93" t="str">
        <f>IFERROR(VLOOKUP($I91,UoM!$A:$C,2,FALSE),"")</f>
        <v/>
      </c>
      <c r="AH91" s="56" t="str">
        <f>IFERROR(VLOOKUP("Renewed Assets:"&amp;ROW(),'Handover Cost Report'!$A:$U,17,FALSE),"")</f>
        <v/>
      </c>
      <c r="AI91" s="56" t="str">
        <f>IFERROR(VLOOKUP("Renewed Assets:"&amp;ROW(),'Handover Cost Report'!$A:$U,18,FALSE),"")</f>
        <v/>
      </c>
      <c r="AJ91" s="56" t="str">
        <f>IFERROR(VLOOKUP("Renewed Assets:"&amp;ROW(),'Handover Cost Report'!$A:$U,19,FALSE),"")</f>
        <v/>
      </c>
    </row>
    <row r="92" spans="2:36" s="3" customFormat="1" ht="12.75" x14ac:dyDescent="0.2">
      <c r="B92" s="47"/>
      <c r="C92" s="47"/>
      <c r="D92" s="47"/>
      <c r="E92" s="47"/>
      <c r="F92" s="47"/>
      <c r="G92" s="47"/>
      <c r="H92" s="47"/>
      <c r="I92" s="47"/>
      <c r="J92" s="48"/>
      <c r="K92" s="56">
        <f t="shared" si="4"/>
        <v>0</v>
      </c>
      <c r="L92" s="93" t="str">
        <f>IFERROR(VLOOKUP($F92,SC_Component!$B:$C,2,FALSE),"")</f>
        <v/>
      </c>
      <c r="M92" s="58"/>
      <c r="N92" s="59">
        <f t="shared" si="5"/>
        <v>0</v>
      </c>
      <c r="O92" s="59">
        <f t="shared" si="6"/>
        <v>0</v>
      </c>
      <c r="P92" s="47"/>
      <c r="Q92" s="47"/>
      <c r="R92" s="47"/>
      <c r="S92" s="58"/>
      <c r="T92" s="47"/>
      <c r="U92" s="47"/>
      <c r="V92" s="119"/>
      <c r="W92" s="119"/>
      <c r="X92" s="47"/>
      <c r="Y92" s="47"/>
      <c r="Z92" s="47"/>
      <c r="AA92" s="47"/>
      <c r="AB92" s="47"/>
      <c r="AC92" s="47"/>
      <c r="AD92" s="93" t="str">
        <f t="array" ref="AD92">IFERROR(IF($B92="Building","Buildings",INDEX(CoA_Schema[AsseticCategory],MATCH(1,(CoA_Schema[AssetType]=$D92)*(CoA_Schema[AssetClass]=$B92)*(CoA_Schema[AssetSubClass]=$C92)*(CoA_Schema[Title]=$F92),0),0)),"")</f>
        <v/>
      </c>
      <c r="AE92" s="93" t="str">
        <f t="array" ref="AE92">IFERROR(IF($B92="Building","Buildings",INDEX(CoA_Schema[FinancialClass],MATCH(1,(CoA_Schema[AssetType]=$D92)*(CoA_Schema[AssetClass]=$B92)*(CoA_Schema[AssetSubClass]=$C92),0),0)),"")</f>
        <v/>
      </c>
      <c r="AF92" s="93" t="str">
        <f t="array" ref="AF92">IFERROR(IF($B92="Building","Buildings",INDEX(CoA_Schema[FinancialSubClass],MATCH(1,(CoA_Schema[AssetType]=$D92)*(CoA_Schema[AssetClass]=$B92)*(CoA_Schema[AssetSubClass]=$C92),0),0)),"")</f>
        <v/>
      </c>
      <c r="AG92" s="93" t="str">
        <f>IFERROR(VLOOKUP($I92,UoM!$A:$C,2,FALSE),"")</f>
        <v/>
      </c>
      <c r="AH92" s="56" t="str">
        <f>IFERROR(VLOOKUP("Renewed Assets:"&amp;ROW(),'Handover Cost Report'!$A:$U,17,FALSE),"")</f>
        <v/>
      </c>
      <c r="AI92" s="56" t="str">
        <f>IFERROR(VLOOKUP("Renewed Assets:"&amp;ROW(),'Handover Cost Report'!$A:$U,18,FALSE),"")</f>
        <v/>
      </c>
      <c r="AJ92" s="56" t="str">
        <f>IFERROR(VLOOKUP("Renewed Assets:"&amp;ROW(),'Handover Cost Report'!$A:$U,19,FALSE),"")</f>
        <v/>
      </c>
    </row>
    <row r="93" spans="2:36" s="3" customFormat="1" ht="12.75" x14ac:dyDescent="0.2">
      <c r="B93" s="47"/>
      <c r="C93" s="47"/>
      <c r="D93" s="47"/>
      <c r="E93" s="47"/>
      <c r="F93" s="47"/>
      <c r="G93" s="47"/>
      <c r="H93" s="47"/>
      <c r="I93" s="47"/>
      <c r="J93" s="48"/>
      <c r="K93" s="56">
        <f t="shared" si="4"/>
        <v>0</v>
      </c>
      <c r="L93" s="93" t="str">
        <f>IFERROR(VLOOKUP($F93,SC_Component!$B:$C,2,FALSE),"")</f>
        <v/>
      </c>
      <c r="M93" s="58"/>
      <c r="N93" s="59">
        <f t="shared" si="5"/>
        <v>0</v>
      </c>
      <c r="O93" s="59">
        <f t="shared" si="6"/>
        <v>0</v>
      </c>
      <c r="P93" s="47"/>
      <c r="Q93" s="47"/>
      <c r="R93" s="47"/>
      <c r="S93" s="58"/>
      <c r="T93" s="47"/>
      <c r="U93" s="47"/>
      <c r="V93" s="119"/>
      <c r="W93" s="119"/>
      <c r="X93" s="47"/>
      <c r="Y93" s="47"/>
      <c r="Z93" s="47"/>
      <c r="AA93" s="47"/>
      <c r="AB93" s="47"/>
      <c r="AC93" s="47"/>
      <c r="AD93" s="93" t="str">
        <f t="array" ref="AD93">IFERROR(IF($B93="Building","Buildings",INDEX(CoA_Schema[AsseticCategory],MATCH(1,(CoA_Schema[AssetType]=$D93)*(CoA_Schema[AssetClass]=$B93)*(CoA_Schema[AssetSubClass]=$C93)*(CoA_Schema[Title]=$F93),0),0)),"")</f>
        <v/>
      </c>
      <c r="AE93" s="93" t="str">
        <f t="array" ref="AE93">IFERROR(IF($B93="Building","Buildings",INDEX(CoA_Schema[FinancialClass],MATCH(1,(CoA_Schema[AssetType]=$D93)*(CoA_Schema[AssetClass]=$B93)*(CoA_Schema[AssetSubClass]=$C93),0),0)),"")</f>
        <v/>
      </c>
      <c r="AF93" s="93" t="str">
        <f t="array" ref="AF93">IFERROR(IF($B93="Building","Buildings",INDEX(CoA_Schema[FinancialSubClass],MATCH(1,(CoA_Schema[AssetType]=$D93)*(CoA_Schema[AssetClass]=$B93)*(CoA_Schema[AssetSubClass]=$C93),0),0)),"")</f>
        <v/>
      </c>
      <c r="AG93" s="93" t="str">
        <f>IFERROR(VLOOKUP($I93,UoM!$A:$C,2,FALSE),"")</f>
        <v/>
      </c>
      <c r="AH93" s="56" t="str">
        <f>IFERROR(VLOOKUP("Renewed Assets:"&amp;ROW(),'Handover Cost Report'!$A:$U,17,FALSE),"")</f>
        <v/>
      </c>
      <c r="AI93" s="56" t="str">
        <f>IFERROR(VLOOKUP("Renewed Assets:"&amp;ROW(),'Handover Cost Report'!$A:$U,18,FALSE),"")</f>
        <v/>
      </c>
      <c r="AJ93" s="56" t="str">
        <f>IFERROR(VLOOKUP("Renewed Assets:"&amp;ROW(),'Handover Cost Report'!$A:$U,19,FALSE),"")</f>
        <v/>
      </c>
    </row>
    <row r="94" spans="2:36" s="3" customFormat="1" ht="12.75" x14ac:dyDescent="0.2">
      <c r="B94" s="47"/>
      <c r="C94" s="47"/>
      <c r="D94" s="47"/>
      <c r="E94" s="47"/>
      <c r="F94" s="47"/>
      <c r="G94" s="47"/>
      <c r="H94" s="47"/>
      <c r="I94" s="47"/>
      <c r="J94" s="48"/>
      <c r="K94" s="56">
        <f t="shared" si="4"/>
        <v>0</v>
      </c>
      <c r="L94" s="93" t="str">
        <f>IFERROR(VLOOKUP($F94,SC_Component!$B:$C,2,FALSE),"")</f>
        <v/>
      </c>
      <c r="M94" s="58"/>
      <c r="N94" s="59">
        <f t="shared" si="5"/>
        <v>0</v>
      </c>
      <c r="O94" s="59">
        <f t="shared" si="6"/>
        <v>0</v>
      </c>
      <c r="P94" s="47"/>
      <c r="Q94" s="47"/>
      <c r="R94" s="47"/>
      <c r="S94" s="58"/>
      <c r="T94" s="47"/>
      <c r="U94" s="47"/>
      <c r="V94" s="119"/>
      <c r="W94" s="119"/>
      <c r="X94" s="47"/>
      <c r="Y94" s="47"/>
      <c r="Z94" s="47"/>
      <c r="AA94" s="47"/>
      <c r="AB94" s="47"/>
      <c r="AC94" s="47"/>
      <c r="AD94" s="93" t="str">
        <f t="array" ref="AD94">IFERROR(IF($B94="Building","Buildings",INDEX(CoA_Schema[AsseticCategory],MATCH(1,(CoA_Schema[AssetType]=$D94)*(CoA_Schema[AssetClass]=$B94)*(CoA_Schema[AssetSubClass]=$C94)*(CoA_Schema[Title]=$F94),0),0)),"")</f>
        <v/>
      </c>
      <c r="AE94" s="93" t="str">
        <f t="array" ref="AE94">IFERROR(IF($B94="Building","Buildings",INDEX(CoA_Schema[FinancialClass],MATCH(1,(CoA_Schema[AssetType]=$D94)*(CoA_Schema[AssetClass]=$B94)*(CoA_Schema[AssetSubClass]=$C94),0),0)),"")</f>
        <v/>
      </c>
      <c r="AF94" s="93" t="str">
        <f t="array" ref="AF94">IFERROR(IF($B94="Building","Buildings",INDEX(CoA_Schema[FinancialSubClass],MATCH(1,(CoA_Schema[AssetType]=$D94)*(CoA_Schema[AssetClass]=$B94)*(CoA_Schema[AssetSubClass]=$C94),0),0)),"")</f>
        <v/>
      </c>
      <c r="AG94" s="93" t="str">
        <f>IFERROR(VLOOKUP($I94,UoM!$A:$C,2,FALSE),"")</f>
        <v/>
      </c>
      <c r="AH94" s="56" t="str">
        <f>IFERROR(VLOOKUP("Renewed Assets:"&amp;ROW(),'Handover Cost Report'!$A:$U,17,FALSE),"")</f>
        <v/>
      </c>
      <c r="AI94" s="56" t="str">
        <f>IFERROR(VLOOKUP("Renewed Assets:"&amp;ROW(),'Handover Cost Report'!$A:$U,18,FALSE),"")</f>
        <v/>
      </c>
      <c r="AJ94" s="56" t="str">
        <f>IFERROR(VLOOKUP("Renewed Assets:"&amp;ROW(),'Handover Cost Report'!$A:$U,19,FALSE),"")</f>
        <v/>
      </c>
    </row>
    <row r="95" spans="2:36" s="3" customFormat="1" ht="12.75" x14ac:dyDescent="0.2">
      <c r="B95" s="47"/>
      <c r="C95" s="47"/>
      <c r="D95" s="47"/>
      <c r="E95" s="47"/>
      <c r="F95" s="47"/>
      <c r="G95" s="47"/>
      <c r="H95" s="47"/>
      <c r="I95" s="47"/>
      <c r="J95" s="48"/>
      <c r="K95" s="56">
        <f t="shared" si="4"/>
        <v>0</v>
      </c>
      <c r="L95" s="93" t="str">
        <f>IFERROR(VLOOKUP($F95,SC_Component!$B:$C,2,FALSE),"")</f>
        <v/>
      </c>
      <c r="M95" s="58"/>
      <c r="N95" s="59">
        <f t="shared" si="5"/>
        <v>0</v>
      </c>
      <c r="O95" s="59">
        <f t="shared" si="6"/>
        <v>0</v>
      </c>
      <c r="P95" s="47"/>
      <c r="Q95" s="47"/>
      <c r="R95" s="47"/>
      <c r="S95" s="58"/>
      <c r="T95" s="47"/>
      <c r="U95" s="47"/>
      <c r="V95" s="119"/>
      <c r="W95" s="119"/>
      <c r="X95" s="47"/>
      <c r="Y95" s="47"/>
      <c r="Z95" s="47"/>
      <c r="AA95" s="47"/>
      <c r="AB95" s="47"/>
      <c r="AC95" s="47"/>
      <c r="AD95" s="93" t="str">
        <f t="array" ref="AD95">IFERROR(IF($B95="Building","Buildings",INDEX(CoA_Schema[AsseticCategory],MATCH(1,(CoA_Schema[AssetType]=$D95)*(CoA_Schema[AssetClass]=$B95)*(CoA_Schema[AssetSubClass]=$C95)*(CoA_Schema[Title]=$F95),0),0)),"")</f>
        <v/>
      </c>
      <c r="AE95" s="93" t="str">
        <f t="array" ref="AE95">IFERROR(IF($B95="Building","Buildings",INDEX(CoA_Schema[FinancialClass],MATCH(1,(CoA_Schema[AssetType]=$D95)*(CoA_Schema[AssetClass]=$B95)*(CoA_Schema[AssetSubClass]=$C95),0),0)),"")</f>
        <v/>
      </c>
      <c r="AF95" s="93" t="str">
        <f t="array" ref="AF95">IFERROR(IF($B95="Building","Buildings",INDEX(CoA_Schema[FinancialSubClass],MATCH(1,(CoA_Schema[AssetType]=$D95)*(CoA_Schema[AssetClass]=$B95)*(CoA_Schema[AssetSubClass]=$C95),0),0)),"")</f>
        <v/>
      </c>
      <c r="AG95" s="93" t="str">
        <f>IFERROR(VLOOKUP($I95,UoM!$A:$C,2,FALSE),"")</f>
        <v/>
      </c>
      <c r="AH95" s="56" t="str">
        <f>IFERROR(VLOOKUP("Renewed Assets:"&amp;ROW(),'Handover Cost Report'!$A:$U,17,FALSE),"")</f>
        <v/>
      </c>
      <c r="AI95" s="56" t="str">
        <f>IFERROR(VLOOKUP("Renewed Assets:"&amp;ROW(),'Handover Cost Report'!$A:$U,18,FALSE),"")</f>
        <v/>
      </c>
      <c r="AJ95" s="56" t="str">
        <f>IFERROR(VLOOKUP("Renewed Assets:"&amp;ROW(),'Handover Cost Report'!$A:$U,19,FALSE),"")</f>
        <v/>
      </c>
    </row>
    <row r="96" spans="2:36" s="3" customFormat="1" ht="12.75" x14ac:dyDescent="0.2">
      <c r="B96" s="47"/>
      <c r="C96" s="47"/>
      <c r="D96" s="47"/>
      <c r="E96" s="47"/>
      <c r="F96" s="47"/>
      <c r="G96" s="47"/>
      <c r="H96" s="47"/>
      <c r="I96" s="47"/>
      <c r="J96" s="48"/>
      <c r="K96" s="56">
        <f t="shared" si="4"/>
        <v>0</v>
      </c>
      <c r="L96" s="93" t="str">
        <f>IFERROR(VLOOKUP($F96,SC_Component!$B:$C,2,FALSE),"")</f>
        <v/>
      </c>
      <c r="M96" s="58"/>
      <c r="N96" s="59">
        <f t="shared" si="5"/>
        <v>0</v>
      </c>
      <c r="O96" s="59">
        <f t="shared" si="6"/>
        <v>0</v>
      </c>
      <c r="P96" s="47"/>
      <c r="Q96" s="47"/>
      <c r="R96" s="47"/>
      <c r="S96" s="58"/>
      <c r="T96" s="47"/>
      <c r="U96" s="47"/>
      <c r="V96" s="119"/>
      <c r="W96" s="119"/>
      <c r="X96" s="47"/>
      <c r="Y96" s="47"/>
      <c r="Z96" s="47"/>
      <c r="AA96" s="47"/>
      <c r="AB96" s="47"/>
      <c r="AC96" s="47"/>
      <c r="AD96" s="93" t="str">
        <f t="array" ref="AD96">IFERROR(IF($B96="Building","Buildings",INDEX(CoA_Schema[AsseticCategory],MATCH(1,(CoA_Schema[AssetType]=$D96)*(CoA_Schema[AssetClass]=$B96)*(CoA_Schema[AssetSubClass]=$C96)*(CoA_Schema[Title]=$F96),0),0)),"")</f>
        <v/>
      </c>
      <c r="AE96" s="93" t="str">
        <f t="array" ref="AE96">IFERROR(IF($B96="Building","Buildings",INDEX(CoA_Schema[FinancialClass],MATCH(1,(CoA_Schema[AssetType]=$D96)*(CoA_Schema[AssetClass]=$B96)*(CoA_Schema[AssetSubClass]=$C96),0),0)),"")</f>
        <v/>
      </c>
      <c r="AF96" s="93" t="str">
        <f t="array" ref="AF96">IFERROR(IF($B96="Building","Buildings",INDEX(CoA_Schema[FinancialSubClass],MATCH(1,(CoA_Schema[AssetType]=$D96)*(CoA_Schema[AssetClass]=$B96)*(CoA_Schema[AssetSubClass]=$C96),0),0)),"")</f>
        <v/>
      </c>
      <c r="AG96" s="93" t="str">
        <f>IFERROR(VLOOKUP($I96,UoM!$A:$C,2,FALSE),"")</f>
        <v/>
      </c>
      <c r="AH96" s="56" t="str">
        <f>IFERROR(VLOOKUP("Renewed Assets:"&amp;ROW(),'Handover Cost Report'!$A:$U,17,FALSE),"")</f>
        <v/>
      </c>
      <c r="AI96" s="56" t="str">
        <f>IFERROR(VLOOKUP("Renewed Assets:"&amp;ROW(),'Handover Cost Report'!$A:$U,18,FALSE),"")</f>
        <v/>
      </c>
      <c r="AJ96" s="56" t="str">
        <f>IFERROR(VLOOKUP("Renewed Assets:"&amp;ROW(),'Handover Cost Report'!$A:$U,19,FALSE),"")</f>
        <v/>
      </c>
    </row>
    <row r="97" spans="2:36" s="3" customFormat="1" ht="12.75" x14ac:dyDescent="0.2">
      <c r="B97" s="47"/>
      <c r="C97" s="47"/>
      <c r="D97" s="47"/>
      <c r="E97" s="47"/>
      <c r="F97" s="47"/>
      <c r="G97" s="47"/>
      <c r="H97" s="47"/>
      <c r="I97" s="47"/>
      <c r="J97" s="48"/>
      <c r="K97" s="56">
        <f t="shared" si="4"/>
        <v>0</v>
      </c>
      <c r="L97" s="93" t="str">
        <f>IFERROR(VLOOKUP($F97,SC_Component!$B:$C,2,FALSE),"")</f>
        <v/>
      </c>
      <c r="M97" s="58"/>
      <c r="N97" s="59">
        <f t="shared" si="5"/>
        <v>0</v>
      </c>
      <c r="O97" s="59">
        <f t="shared" si="6"/>
        <v>0</v>
      </c>
      <c r="P97" s="47"/>
      <c r="Q97" s="47"/>
      <c r="R97" s="47"/>
      <c r="S97" s="58"/>
      <c r="T97" s="47"/>
      <c r="U97" s="47"/>
      <c r="V97" s="119"/>
      <c r="W97" s="119"/>
      <c r="X97" s="47"/>
      <c r="Y97" s="47"/>
      <c r="Z97" s="47"/>
      <c r="AA97" s="47"/>
      <c r="AB97" s="47"/>
      <c r="AC97" s="47"/>
      <c r="AD97" s="93" t="str">
        <f t="array" ref="AD97">IFERROR(IF($B97="Building","Buildings",INDEX(CoA_Schema[AsseticCategory],MATCH(1,(CoA_Schema[AssetType]=$D97)*(CoA_Schema[AssetClass]=$B97)*(CoA_Schema[AssetSubClass]=$C97)*(CoA_Schema[Title]=$F97),0),0)),"")</f>
        <v/>
      </c>
      <c r="AE97" s="93" t="str">
        <f t="array" ref="AE97">IFERROR(IF($B97="Building","Buildings",INDEX(CoA_Schema[FinancialClass],MATCH(1,(CoA_Schema[AssetType]=$D97)*(CoA_Schema[AssetClass]=$B97)*(CoA_Schema[AssetSubClass]=$C97),0),0)),"")</f>
        <v/>
      </c>
      <c r="AF97" s="93" t="str">
        <f t="array" ref="AF97">IFERROR(IF($B97="Building","Buildings",INDEX(CoA_Schema[FinancialSubClass],MATCH(1,(CoA_Schema[AssetType]=$D97)*(CoA_Schema[AssetClass]=$B97)*(CoA_Schema[AssetSubClass]=$C97),0),0)),"")</f>
        <v/>
      </c>
      <c r="AG97" s="93" t="str">
        <f>IFERROR(VLOOKUP($I97,UoM!$A:$C,2,FALSE),"")</f>
        <v/>
      </c>
      <c r="AH97" s="56" t="str">
        <f>IFERROR(VLOOKUP("Renewed Assets:"&amp;ROW(),'Handover Cost Report'!$A:$U,17,FALSE),"")</f>
        <v/>
      </c>
      <c r="AI97" s="56" t="str">
        <f>IFERROR(VLOOKUP("Renewed Assets:"&amp;ROW(),'Handover Cost Report'!$A:$U,18,FALSE),"")</f>
        <v/>
      </c>
      <c r="AJ97" s="56" t="str">
        <f>IFERROR(VLOOKUP("Renewed Assets:"&amp;ROW(),'Handover Cost Report'!$A:$U,19,FALSE),"")</f>
        <v/>
      </c>
    </row>
    <row r="98" spans="2:36" s="3" customFormat="1" ht="12.75" x14ac:dyDescent="0.2">
      <c r="B98" s="47"/>
      <c r="C98" s="47"/>
      <c r="D98" s="47"/>
      <c r="E98" s="47"/>
      <c r="F98" s="47"/>
      <c r="G98" s="47"/>
      <c r="H98" s="47"/>
      <c r="I98" s="47"/>
      <c r="J98" s="48"/>
      <c r="K98" s="56">
        <f t="shared" si="4"/>
        <v>0</v>
      </c>
      <c r="L98" s="93" t="str">
        <f>IFERROR(VLOOKUP($F98,SC_Component!$B:$C,2,FALSE),"")</f>
        <v/>
      </c>
      <c r="M98" s="58"/>
      <c r="N98" s="59">
        <f t="shared" si="5"/>
        <v>0</v>
      </c>
      <c r="O98" s="59">
        <f t="shared" si="6"/>
        <v>0</v>
      </c>
      <c r="P98" s="47"/>
      <c r="Q98" s="47"/>
      <c r="R98" s="47"/>
      <c r="S98" s="58"/>
      <c r="T98" s="47"/>
      <c r="U98" s="47"/>
      <c r="V98" s="119"/>
      <c r="W98" s="119"/>
      <c r="X98" s="47"/>
      <c r="Y98" s="47"/>
      <c r="Z98" s="47"/>
      <c r="AA98" s="47"/>
      <c r="AB98" s="47"/>
      <c r="AC98" s="47"/>
      <c r="AD98" s="93" t="str">
        <f t="array" ref="AD98">IFERROR(IF($B98="Building","Buildings",INDEX(CoA_Schema[AsseticCategory],MATCH(1,(CoA_Schema[AssetType]=$D98)*(CoA_Schema[AssetClass]=$B98)*(CoA_Schema[AssetSubClass]=$C98)*(CoA_Schema[Title]=$F98),0),0)),"")</f>
        <v/>
      </c>
      <c r="AE98" s="93" t="str">
        <f t="array" ref="AE98">IFERROR(IF($B98="Building","Buildings",INDEX(CoA_Schema[FinancialClass],MATCH(1,(CoA_Schema[AssetType]=$D98)*(CoA_Schema[AssetClass]=$B98)*(CoA_Schema[AssetSubClass]=$C98),0),0)),"")</f>
        <v/>
      </c>
      <c r="AF98" s="93" t="str">
        <f t="array" ref="AF98">IFERROR(IF($B98="Building","Buildings",INDEX(CoA_Schema[FinancialSubClass],MATCH(1,(CoA_Schema[AssetType]=$D98)*(CoA_Schema[AssetClass]=$B98)*(CoA_Schema[AssetSubClass]=$C98),0),0)),"")</f>
        <v/>
      </c>
      <c r="AG98" s="93" t="str">
        <f>IFERROR(VLOOKUP($I98,UoM!$A:$C,2,FALSE),"")</f>
        <v/>
      </c>
      <c r="AH98" s="56" t="str">
        <f>IFERROR(VLOOKUP("Renewed Assets:"&amp;ROW(),'Handover Cost Report'!$A:$U,17,FALSE),"")</f>
        <v/>
      </c>
      <c r="AI98" s="56" t="str">
        <f>IFERROR(VLOOKUP("Renewed Assets:"&amp;ROW(),'Handover Cost Report'!$A:$U,18,FALSE),"")</f>
        <v/>
      </c>
      <c r="AJ98" s="56" t="str">
        <f>IFERROR(VLOOKUP("Renewed Assets:"&amp;ROW(),'Handover Cost Report'!$A:$U,19,FALSE),"")</f>
        <v/>
      </c>
    </row>
    <row r="99" spans="2:36" s="3" customFormat="1" ht="12.75" x14ac:dyDescent="0.2">
      <c r="B99" s="47"/>
      <c r="C99" s="47"/>
      <c r="D99" s="47"/>
      <c r="E99" s="47"/>
      <c r="F99" s="47"/>
      <c r="G99" s="47"/>
      <c r="H99" s="47"/>
      <c r="I99" s="47"/>
      <c r="J99" s="48"/>
      <c r="K99" s="56">
        <f t="shared" si="4"/>
        <v>0</v>
      </c>
      <c r="L99" s="93" t="str">
        <f>IFERROR(VLOOKUP($F99,SC_Component!$B:$C,2,FALSE),"")</f>
        <v/>
      </c>
      <c r="M99" s="58"/>
      <c r="N99" s="59">
        <f t="shared" si="5"/>
        <v>0</v>
      </c>
      <c r="O99" s="59">
        <f t="shared" si="6"/>
        <v>0</v>
      </c>
      <c r="P99" s="47"/>
      <c r="Q99" s="47"/>
      <c r="R99" s="47"/>
      <c r="S99" s="58"/>
      <c r="T99" s="47"/>
      <c r="U99" s="47"/>
      <c r="V99" s="119"/>
      <c r="W99" s="119"/>
      <c r="X99" s="47"/>
      <c r="Y99" s="47"/>
      <c r="Z99" s="47"/>
      <c r="AA99" s="47"/>
      <c r="AB99" s="47"/>
      <c r="AC99" s="47"/>
      <c r="AD99" s="93" t="str">
        <f t="array" ref="AD99">IFERROR(IF($B99="Building","Buildings",INDEX(CoA_Schema[AsseticCategory],MATCH(1,(CoA_Schema[AssetType]=$D99)*(CoA_Schema[AssetClass]=$B99)*(CoA_Schema[AssetSubClass]=$C99)*(CoA_Schema[Title]=$F99),0),0)),"")</f>
        <v/>
      </c>
      <c r="AE99" s="93" t="str">
        <f t="array" ref="AE99">IFERROR(IF($B99="Building","Buildings",INDEX(CoA_Schema[FinancialClass],MATCH(1,(CoA_Schema[AssetType]=$D99)*(CoA_Schema[AssetClass]=$B99)*(CoA_Schema[AssetSubClass]=$C99),0),0)),"")</f>
        <v/>
      </c>
      <c r="AF99" s="93" t="str">
        <f t="array" ref="AF99">IFERROR(IF($B99="Building","Buildings",INDEX(CoA_Schema[FinancialSubClass],MATCH(1,(CoA_Schema[AssetType]=$D99)*(CoA_Schema[AssetClass]=$B99)*(CoA_Schema[AssetSubClass]=$C99),0),0)),"")</f>
        <v/>
      </c>
      <c r="AG99" s="93" t="str">
        <f>IFERROR(VLOOKUP($I99,UoM!$A:$C,2,FALSE),"")</f>
        <v/>
      </c>
      <c r="AH99" s="56" t="str">
        <f>IFERROR(VLOOKUP("Renewed Assets:"&amp;ROW(),'Handover Cost Report'!$A:$U,17,FALSE),"")</f>
        <v/>
      </c>
      <c r="AI99" s="56" t="str">
        <f>IFERROR(VLOOKUP("Renewed Assets:"&amp;ROW(),'Handover Cost Report'!$A:$U,18,FALSE),"")</f>
        <v/>
      </c>
      <c r="AJ99" s="56" t="str">
        <f>IFERROR(VLOOKUP("Renewed Assets:"&amp;ROW(),'Handover Cost Report'!$A:$U,19,FALSE),"")</f>
        <v/>
      </c>
    </row>
    <row r="100" spans="2:36" s="3" customFormat="1" ht="12.75" x14ac:dyDescent="0.2">
      <c r="B100" s="47"/>
      <c r="C100" s="47"/>
      <c r="D100" s="47"/>
      <c r="E100" s="47"/>
      <c r="F100" s="47"/>
      <c r="G100" s="47"/>
      <c r="H100" s="47"/>
      <c r="I100" s="47"/>
      <c r="J100" s="48"/>
      <c r="K100" s="56">
        <f t="shared" si="4"/>
        <v>0</v>
      </c>
      <c r="L100" s="93" t="str">
        <f>IFERROR(VLOOKUP($F100,SC_Component!$B:$C,2,FALSE),"")</f>
        <v/>
      </c>
      <c r="M100" s="58"/>
      <c r="N100" s="59">
        <f t="shared" si="5"/>
        <v>0</v>
      </c>
      <c r="O100" s="59">
        <f t="shared" si="6"/>
        <v>0</v>
      </c>
      <c r="P100" s="47"/>
      <c r="Q100" s="47"/>
      <c r="R100" s="47"/>
      <c r="S100" s="58"/>
      <c r="T100" s="47"/>
      <c r="U100" s="47"/>
      <c r="V100" s="119"/>
      <c r="W100" s="119"/>
      <c r="X100" s="47"/>
      <c r="Y100" s="47"/>
      <c r="Z100" s="47"/>
      <c r="AA100" s="47"/>
      <c r="AB100" s="47"/>
      <c r="AC100" s="47"/>
      <c r="AD100" s="93" t="str">
        <f t="array" ref="AD100">IFERROR(IF($B100="Building","Buildings",INDEX(CoA_Schema[AsseticCategory],MATCH(1,(CoA_Schema[AssetType]=$D100)*(CoA_Schema[AssetClass]=$B100)*(CoA_Schema[AssetSubClass]=$C100)*(CoA_Schema[Title]=$F100),0),0)),"")</f>
        <v/>
      </c>
      <c r="AE100" s="93" t="str">
        <f t="array" ref="AE100">IFERROR(IF($B100="Building","Buildings",INDEX(CoA_Schema[FinancialClass],MATCH(1,(CoA_Schema[AssetType]=$D100)*(CoA_Schema[AssetClass]=$B100)*(CoA_Schema[AssetSubClass]=$C100),0),0)),"")</f>
        <v/>
      </c>
      <c r="AF100" s="93" t="str">
        <f t="array" ref="AF100">IFERROR(IF($B100="Building","Buildings",INDEX(CoA_Schema[FinancialSubClass],MATCH(1,(CoA_Schema[AssetType]=$D100)*(CoA_Schema[AssetClass]=$B100)*(CoA_Schema[AssetSubClass]=$C100),0),0)),"")</f>
        <v/>
      </c>
      <c r="AG100" s="93" t="str">
        <f>IFERROR(VLOOKUP($I100,UoM!$A:$C,2,FALSE),"")</f>
        <v/>
      </c>
      <c r="AH100" s="56" t="str">
        <f>IFERROR(VLOOKUP("Renewed Assets:"&amp;ROW(),'Handover Cost Report'!$A:$U,17,FALSE),"")</f>
        <v/>
      </c>
      <c r="AI100" s="56" t="str">
        <f>IFERROR(VLOOKUP("Renewed Assets:"&amp;ROW(),'Handover Cost Report'!$A:$U,18,FALSE),"")</f>
        <v/>
      </c>
      <c r="AJ100" s="56" t="str">
        <f>IFERROR(VLOOKUP("Renewed Assets:"&amp;ROW(),'Handover Cost Report'!$A:$U,19,FALSE),"")</f>
        <v/>
      </c>
    </row>
    <row r="101" spans="2:36" s="3" customFormat="1" ht="12.75" x14ac:dyDescent="0.2">
      <c r="B101" s="47"/>
      <c r="C101" s="47"/>
      <c r="D101" s="47"/>
      <c r="E101" s="47"/>
      <c r="F101" s="47"/>
      <c r="G101" s="47"/>
      <c r="H101" s="47"/>
      <c r="I101" s="47"/>
      <c r="J101" s="48"/>
      <c r="K101" s="56">
        <f t="shared" si="4"/>
        <v>0</v>
      </c>
      <c r="L101" s="93" t="str">
        <f>IFERROR(VLOOKUP($F101,SC_Component!$B:$C,2,FALSE),"")</f>
        <v/>
      </c>
      <c r="M101" s="58"/>
      <c r="N101" s="59">
        <f t="shared" si="5"/>
        <v>0</v>
      </c>
      <c r="O101" s="59">
        <f t="shared" si="6"/>
        <v>0</v>
      </c>
      <c r="P101" s="47"/>
      <c r="Q101" s="47"/>
      <c r="R101" s="47"/>
      <c r="S101" s="58"/>
      <c r="T101" s="47"/>
      <c r="U101" s="47"/>
      <c r="V101" s="119"/>
      <c r="W101" s="119"/>
      <c r="X101" s="47"/>
      <c r="Y101" s="47"/>
      <c r="Z101" s="47"/>
      <c r="AA101" s="47"/>
      <c r="AB101" s="47"/>
      <c r="AC101" s="47"/>
      <c r="AD101" s="93" t="str">
        <f t="array" ref="AD101">IFERROR(IF($B101="Building","Buildings",INDEX(CoA_Schema[AsseticCategory],MATCH(1,(CoA_Schema[AssetType]=$D101)*(CoA_Schema[AssetClass]=$B101)*(CoA_Schema[AssetSubClass]=$C101)*(CoA_Schema[Title]=$F101),0),0)),"")</f>
        <v/>
      </c>
      <c r="AE101" s="93" t="str">
        <f t="array" ref="AE101">IFERROR(IF($B101="Building","Buildings",INDEX(CoA_Schema[FinancialClass],MATCH(1,(CoA_Schema[AssetType]=$D101)*(CoA_Schema[AssetClass]=$B101)*(CoA_Schema[AssetSubClass]=$C101),0),0)),"")</f>
        <v/>
      </c>
      <c r="AF101" s="93" t="str">
        <f t="array" ref="AF101">IFERROR(IF($B101="Building","Buildings",INDEX(CoA_Schema[FinancialSubClass],MATCH(1,(CoA_Schema[AssetType]=$D101)*(CoA_Schema[AssetClass]=$B101)*(CoA_Schema[AssetSubClass]=$C101),0),0)),"")</f>
        <v/>
      </c>
      <c r="AG101" s="93" t="str">
        <f>IFERROR(VLOOKUP($I101,UoM!$A:$C,2,FALSE),"")</f>
        <v/>
      </c>
      <c r="AH101" s="56" t="str">
        <f>IFERROR(VLOOKUP("Renewed Assets:"&amp;ROW(),'Handover Cost Report'!$A:$U,17,FALSE),"")</f>
        <v/>
      </c>
      <c r="AI101" s="56" t="str">
        <f>IFERROR(VLOOKUP("Renewed Assets:"&amp;ROW(),'Handover Cost Report'!$A:$U,18,FALSE),"")</f>
        <v/>
      </c>
      <c r="AJ101" s="56" t="str">
        <f>IFERROR(VLOOKUP("Renewed Assets:"&amp;ROW(),'Handover Cost Report'!$A:$U,19,FALSE),"")</f>
        <v/>
      </c>
    </row>
    <row r="102" spans="2:36" s="3" customFormat="1" ht="12.75" x14ac:dyDescent="0.2">
      <c r="B102" s="47"/>
      <c r="C102" s="47"/>
      <c r="D102" s="47"/>
      <c r="E102" s="47"/>
      <c r="F102" s="47"/>
      <c r="G102" s="47"/>
      <c r="H102" s="47"/>
      <c r="I102" s="47"/>
      <c r="J102" s="48"/>
      <c r="K102" s="56">
        <f t="shared" si="4"/>
        <v>0</v>
      </c>
      <c r="L102" s="93" t="str">
        <f>IFERROR(VLOOKUP($F102,SC_Component!$B:$C,2,FALSE),"")</f>
        <v/>
      </c>
      <c r="M102" s="58"/>
      <c r="N102" s="59">
        <f t="shared" si="5"/>
        <v>0</v>
      </c>
      <c r="O102" s="59">
        <f t="shared" si="6"/>
        <v>0</v>
      </c>
      <c r="P102" s="47"/>
      <c r="Q102" s="47"/>
      <c r="R102" s="47"/>
      <c r="S102" s="58"/>
      <c r="T102" s="47"/>
      <c r="U102" s="47"/>
      <c r="V102" s="119"/>
      <c r="W102" s="119"/>
      <c r="X102" s="47"/>
      <c r="Y102" s="47"/>
      <c r="Z102" s="47"/>
      <c r="AA102" s="47"/>
      <c r="AB102" s="47"/>
      <c r="AC102" s="47"/>
      <c r="AD102" s="93" t="str">
        <f t="array" ref="AD102">IFERROR(IF($B102="Building","Buildings",INDEX(CoA_Schema[AsseticCategory],MATCH(1,(CoA_Schema[AssetType]=$D102)*(CoA_Schema[AssetClass]=$B102)*(CoA_Schema[AssetSubClass]=$C102)*(CoA_Schema[Title]=$F102),0),0)),"")</f>
        <v/>
      </c>
      <c r="AE102" s="93" t="str">
        <f t="array" ref="AE102">IFERROR(IF($B102="Building","Buildings",INDEX(CoA_Schema[FinancialClass],MATCH(1,(CoA_Schema[AssetType]=$D102)*(CoA_Schema[AssetClass]=$B102)*(CoA_Schema[AssetSubClass]=$C102),0),0)),"")</f>
        <v/>
      </c>
      <c r="AF102" s="93" t="str">
        <f t="array" ref="AF102">IFERROR(IF($B102="Building","Buildings",INDEX(CoA_Schema[FinancialSubClass],MATCH(1,(CoA_Schema[AssetType]=$D102)*(CoA_Schema[AssetClass]=$B102)*(CoA_Schema[AssetSubClass]=$C102),0),0)),"")</f>
        <v/>
      </c>
      <c r="AG102" s="93" t="str">
        <f>IFERROR(VLOOKUP($I102,UoM!$A:$C,2,FALSE),"")</f>
        <v/>
      </c>
      <c r="AH102" s="56" t="str">
        <f>IFERROR(VLOOKUP("Renewed Assets:"&amp;ROW(),'Handover Cost Report'!$A:$U,17,FALSE),"")</f>
        <v/>
      </c>
      <c r="AI102" s="56" t="str">
        <f>IFERROR(VLOOKUP("Renewed Assets:"&amp;ROW(),'Handover Cost Report'!$A:$U,18,FALSE),"")</f>
        <v/>
      </c>
      <c r="AJ102" s="56" t="str">
        <f>IFERROR(VLOOKUP("Renewed Assets:"&amp;ROW(),'Handover Cost Report'!$A:$U,19,FALSE),"")</f>
        <v/>
      </c>
    </row>
    <row r="103" spans="2:36" s="3" customFormat="1" ht="12.75" x14ac:dyDescent="0.2">
      <c r="B103" s="47"/>
      <c r="C103" s="47"/>
      <c r="D103" s="47"/>
      <c r="E103" s="47"/>
      <c r="F103" s="47"/>
      <c r="G103" s="47"/>
      <c r="H103" s="47"/>
      <c r="I103" s="47"/>
      <c r="J103" s="48"/>
      <c r="K103" s="56">
        <f t="shared" si="4"/>
        <v>0</v>
      </c>
      <c r="L103" s="93" t="str">
        <f>IFERROR(VLOOKUP($F103,SC_Component!$B:$C,2,FALSE),"")</f>
        <v/>
      </c>
      <c r="M103" s="58"/>
      <c r="N103" s="59">
        <f t="shared" si="5"/>
        <v>0</v>
      </c>
      <c r="O103" s="59">
        <f t="shared" si="6"/>
        <v>0</v>
      </c>
      <c r="P103" s="47"/>
      <c r="Q103" s="47"/>
      <c r="R103" s="47"/>
      <c r="S103" s="58"/>
      <c r="T103" s="47"/>
      <c r="U103" s="47"/>
      <c r="V103" s="119"/>
      <c r="W103" s="119"/>
      <c r="X103" s="47"/>
      <c r="Y103" s="47"/>
      <c r="Z103" s="47"/>
      <c r="AA103" s="47"/>
      <c r="AB103" s="47"/>
      <c r="AC103" s="47"/>
      <c r="AD103" s="93" t="str">
        <f t="array" ref="AD103">IFERROR(IF($B103="Building","Buildings",INDEX(CoA_Schema[AsseticCategory],MATCH(1,(CoA_Schema[AssetType]=$D103)*(CoA_Schema[AssetClass]=$B103)*(CoA_Schema[AssetSubClass]=$C103)*(CoA_Schema[Title]=$F103),0),0)),"")</f>
        <v/>
      </c>
      <c r="AE103" s="93" t="str">
        <f t="array" ref="AE103">IFERROR(IF($B103="Building","Buildings",INDEX(CoA_Schema[FinancialClass],MATCH(1,(CoA_Schema[AssetType]=$D103)*(CoA_Schema[AssetClass]=$B103)*(CoA_Schema[AssetSubClass]=$C103),0),0)),"")</f>
        <v/>
      </c>
      <c r="AF103" s="93" t="str">
        <f t="array" ref="AF103">IFERROR(IF($B103="Building","Buildings",INDEX(CoA_Schema[FinancialSubClass],MATCH(1,(CoA_Schema[AssetType]=$D103)*(CoA_Schema[AssetClass]=$B103)*(CoA_Schema[AssetSubClass]=$C103),0),0)),"")</f>
        <v/>
      </c>
      <c r="AG103" s="93" t="str">
        <f>IFERROR(VLOOKUP($I103,UoM!$A:$C,2,FALSE),"")</f>
        <v/>
      </c>
      <c r="AH103" s="56" t="str">
        <f>IFERROR(VLOOKUP("Renewed Assets:"&amp;ROW(),'Handover Cost Report'!$A:$U,17,FALSE),"")</f>
        <v/>
      </c>
      <c r="AI103" s="56" t="str">
        <f>IFERROR(VLOOKUP("Renewed Assets:"&amp;ROW(),'Handover Cost Report'!$A:$U,18,FALSE),"")</f>
        <v/>
      </c>
      <c r="AJ103" s="56" t="str">
        <f>IFERROR(VLOOKUP("Renewed Assets:"&amp;ROW(),'Handover Cost Report'!$A:$U,19,FALSE),"")</f>
        <v/>
      </c>
    </row>
    <row r="104" spans="2:36" s="3" customFormat="1" ht="12.75" x14ac:dyDescent="0.2">
      <c r="B104" s="47"/>
      <c r="C104" s="47"/>
      <c r="D104" s="47"/>
      <c r="E104" s="47"/>
      <c r="F104" s="47"/>
      <c r="G104" s="47"/>
      <c r="H104" s="47"/>
      <c r="I104" s="47"/>
      <c r="J104" s="48"/>
      <c r="K104" s="56">
        <f t="shared" ref="K104:K135" si="7">H104*J104</f>
        <v>0</v>
      </c>
      <c r="L104" s="93" t="str">
        <f>IFERROR(VLOOKUP($F104,SC_Component!$B:$C,2,FALSE),"")</f>
        <v/>
      </c>
      <c r="M104" s="58"/>
      <c r="N104" s="59">
        <f t="shared" si="5"/>
        <v>0</v>
      </c>
      <c r="O104" s="59">
        <f t="shared" si="6"/>
        <v>0</v>
      </c>
      <c r="P104" s="47"/>
      <c r="Q104" s="47"/>
      <c r="R104" s="47"/>
      <c r="S104" s="58"/>
      <c r="T104" s="47"/>
      <c r="U104" s="47"/>
      <c r="V104" s="119"/>
      <c r="W104" s="119"/>
      <c r="X104" s="47"/>
      <c r="Y104" s="47"/>
      <c r="Z104" s="47"/>
      <c r="AA104" s="47"/>
      <c r="AB104" s="47"/>
      <c r="AC104" s="47"/>
      <c r="AD104" s="93" t="str">
        <f t="array" ref="AD104">IFERROR(IF($B104="Building","Buildings",INDEX(CoA_Schema[AsseticCategory],MATCH(1,(CoA_Schema[AssetType]=$D104)*(CoA_Schema[AssetClass]=$B104)*(CoA_Schema[AssetSubClass]=$C104)*(CoA_Schema[Title]=$F104),0),0)),"")</f>
        <v/>
      </c>
      <c r="AE104" s="93" t="str">
        <f t="array" ref="AE104">IFERROR(IF($B104="Building","Buildings",INDEX(CoA_Schema[FinancialClass],MATCH(1,(CoA_Schema[AssetType]=$D104)*(CoA_Schema[AssetClass]=$B104)*(CoA_Schema[AssetSubClass]=$C104),0),0)),"")</f>
        <v/>
      </c>
      <c r="AF104" s="93" t="str">
        <f t="array" ref="AF104">IFERROR(IF($B104="Building","Buildings",INDEX(CoA_Schema[FinancialSubClass],MATCH(1,(CoA_Schema[AssetType]=$D104)*(CoA_Schema[AssetClass]=$B104)*(CoA_Schema[AssetSubClass]=$C104),0),0)),"")</f>
        <v/>
      </c>
      <c r="AG104" s="93" t="str">
        <f>IFERROR(VLOOKUP($I104,UoM!$A:$C,2,FALSE),"")</f>
        <v/>
      </c>
      <c r="AH104" s="56" t="str">
        <f>IFERROR(VLOOKUP("Renewed Assets:"&amp;ROW(),'Handover Cost Report'!$A:$U,17,FALSE),"")</f>
        <v/>
      </c>
      <c r="AI104" s="56" t="str">
        <f>IFERROR(VLOOKUP("Renewed Assets:"&amp;ROW(),'Handover Cost Report'!$A:$U,18,FALSE),"")</f>
        <v/>
      </c>
      <c r="AJ104" s="56" t="str">
        <f>IFERROR(VLOOKUP("Renewed Assets:"&amp;ROW(),'Handover Cost Report'!$A:$U,19,FALSE),"")</f>
        <v/>
      </c>
    </row>
    <row r="105" spans="2:36" s="3" customFormat="1" ht="12.75" x14ac:dyDescent="0.2">
      <c r="B105" s="47"/>
      <c r="C105" s="47"/>
      <c r="D105" s="47"/>
      <c r="E105" s="47"/>
      <c r="F105" s="47"/>
      <c r="G105" s="47"/>
      <c r="H105" s="47"/>
      <c r="I105" s="47"/>
      <c r="J105" s="48"/>
      <c r="K105" s="56">
        <f t="shared" si="7"/>
        <v>0</v>
      </c>
      <c r="L105" s="93" t="str">
        <f>IFERROR(VLOOKUP($F105,SC_Component!$B:$C,2,FALSE),"")</f>
        <v/>
      </c>
      <c r="M105" s="58"/>
      <c r="N105" s="59">
        <f t="shared" si="5"/>
        <v>0</v>
      </c>
      <c r="O105" s="59">
        <f t="shared" si="6"/>
        <v>0</v>
      </c>
      <c r="P105" s="47"/>
      <c r="Q105" s="47"/>
      <c r="R105" s="47"/>
      <c r="S105" s="58"/>
      <c r="T105" s="47"/>
      <c r="U105" s="47"/>
      <c r="V105" s="119"/>
      <c r="W105" s="119"/>
      <c r="X105" s="47"/>
      <c r="Y105" s="47"/>
      <c r="Z105" s="47"/>
      <c r="AA105" s="47"/>
      <c r="AB105" s="47"/>
      <c r="AC105" s="47"/>
      <c r="AD105" s="93" t="str">
        <f t="array" ref="AD105">IFERROR(IF($B105="Building","Buildings",INDEX(CoA_Schema[AsseticCategory],MATCH(1,(CoA_Schema[AssetType]=$D105)*(CoA_Schema[AssetClass]=$B105)*(CoA_Schema[AssetSubClass]=$C105)*(CoA_Schema[Title]=$F105),0),0)),"")</f>
        <v/>
      </c>
      <c r="AE105" s="93" t="str">
        <f t="array" ref="AE105">IFERROR(IF($B105="Building","Buildings",INDEX(CoA_Schema[FinancialClass],MATCH(1,(CoA_Schema[AssetType]=$D105)*(CoA_Schema[AssetClass]=$B105)*(CoA_Schema[AssetSubClass]=$C105),0),0)),"")</f>
        <v/>
      </c>
      <c r="AF105" s="93" t="str">
        <f t="array" ref="AF105">IFERROR(IF($B105="Building","Buildings",INDEX(CoA_Schema[FinancialSubClass],MATCH(1,(CoA_Schema[AssetType]=$D105)*(CoA_Schema[AssetClass]=$B105)*(CoA_Schema[AssetSubClass]=$C105),0),0)),"")</f>
        <v/>
      </c>
      <c r="AG105" s="93" t="str">
        <f>IFERROR(VLOOKUP($I105,UoM!$A:$C,2,FALSE),"")</f>
        <v/>
      </c>
      <c r="AH105" s="56" t="str">
        <f>IFERROR(VLOOKUP("Renewed Assets:"&amp;ROW(),'Handover Cost Report'!$A:$U,17,FALSE),"")</f>
        <v/>
      </c>
      <c r="AI105" s="56" t="str">
        <f>IFERROR(VLOOKUP("Renewed Assets:"&amp;ROW(),'Handover Cost Report'!$A:$U,18,FALSE),"")</f>
        <v/>
      </c>
      <c r="AJ105" s="56" t="str">
        <f>IFERROR(VLOOKUP("Renewed Assets:"&amp;ROW(),'Handover Cost Report'!$A:$U,19,FALSE),"")</f>
        <v/>
      </c>
    </row>
    <row r="106" spans="2:36" s="3" customFormat="1" ht="12.75" x14ac:dyDescent="0.2">
      <c r="B106" s="47"/>
      <c r="C106" s="47"/>
      <c r="D106" s="47"/>
      <c r="E106" s="47"/>
      <c r="F106" s="47"/>
      <c r="G106" s="47"/>
      <c r="H106" s="47"/>
      <c r="I106" s="47"/>
      <c r="J106" s="48"/>
      <c r="K106" s="56">
        <f t="shared" si="7"/>
        <v>0</v>
      </c>
      <c r="L106" s="93" t="str">
        <f>IFERROR(VLOOKUP($F106,SC_Component!$B:$C,2,FALSE),"")</f>
        <v/>
      </c>
      <c r="M106" s="58"/>
      <c r="N106" s="59">
        <f t="shared" si="5"/>
        <v>0</v>
      </c>
      <c r="O106" s="59">
        <f t="shared" si="6"/>
        <v>0</v>
      </c>
      <c r="P106" s="47"/>
      <c r="Q106" s="47"/>
      <c r="R106" s="47"/>
      <c r="S106" s="58"/>
      <c r="T106" s="47"/>
      <c r="U106" s="47"/>
      <c r="V106" s="119"/>
      <c r="W106" s="119"/>
      <c r="X106" s="47"/>
      <c r="Y106" s="47"/>
      <c r="Z106" s="47"/>
      <c r="AA106" s="47"/>
      <c r="AB106" s="47"/>
      <c r="AC106" s="47"/>
      <c r="AD106" s="93" t="str">
        <f t="array" ref="AD106">IFERROR(IF($B106="Building","Buildings",INDEX(CoA_Schema[AsseticCategory],MATCH(1,(CoA_Schema[AssetType]=$D106)*(CoA_Schema[AssetClass]=$B106)*(CoA_Schema[AssetSubClass]=$C106)*(CoA_Schema[Title]=$F106),0),0)),"")</f>
        <v/>
      </c>
      <c r="AE106" s="93" t="str">
        <f t="array" ref="AE106">IFERROR(IF($B106="Building","Buildings",INDEX(CoA_Schema[FinancialClass],MATCH(1,(CoA_Schema[AssetType]=$D106)*(CoA_Schema[AssetClass]=$B106)*(CoA_Schema[AssetSubClass]=$C106),0),0)),"")</f>
        <v/>
      </c>
      <c r="AF106" s="93" t="str">
        <f t="array" ref="AF106">IFERROR(IF($B106="Building","Buildings",INDEX(CoA_Schema[FinancialSubClass],MATCH(1,(CoA_Schema[AssetType]=$D106)*(CoA_Schema[AssetClass]=$B106)*(CoA_Schema[AssetSubClass]=$C106),0),0)),"")</f>
        <v/>
      </c>
      <c r="AG106" s="93" t="str">
        <f>IFERROR(VLOOKUP($I106,UoM!$A:$C,2,FALSE),"")</f>
        <v/>
      </c>
      <c r="AH106" s="56" t="str">
        <f>IFERROR(VLOOKUP("Renewed Assets:"&amp;ROW(),'Handover Cost Report'!$A:$U,17,FALSE),"")</f>
        <v/>
      </c>
      <c r="AI106" s="56" t="str">
        <f>IFERROR(VLOOKUP("Renewed Assets:"&amp;ROW(),'Handover Cost Report'!$A:$U,18,FALSE),"")</f>
        <v/>
      </c>
      <c r="AJ106" s="56" t="str">
        <f>IFERROR(VLOOKUP("Renewed Assets:"&amp;ROW(),'Handover Cost Report'!$A:$U,19,FALSE),"")</f>
        <v/>
      </c>
    </row>
    <row r="107" spans="2:36" s="3" customFormat="1" ht="12.75" x14ac:dyDescent="0.2">
      <c r="B107" s="47"/>
      <c r="C107" s="47"/>
      <c r="D107" s="47"/>
      <c r="E107" s="47"/>
      <c r="F107" s="47"/>
      <c r="G107" s="47"/>
      <c r="H107" s="47"/>
      <c r="I107" s="47"/>
      <c r="J107" s="48"/>
      <c r="K107" s="56">
        <f t="shared" si="7"/>
        <v>0</v>
      </c>
      <c r="L107" s="93" t="str">
        <f>IFERROR(VLOOKUP($F107,SC_Component!$B:$C,2,FALSE),"")</f>
        <v/>
      </c>
      <c r="M107" s="58"/>
      <c r="N107" s="59">
        <f t="shared" si="5"/>
        <v>0</v>
      </c>
      <c r="O107" s="59">
        <f t="shared" si="6"/>
        <v>0</v>
      </c>
      <c r="P107" s="47"/>
      <c r="Q107" s="47"/>
      <c r="R107" s="47"/>
      <c r="S107" s="58"/>
      <c r="T107" s="47"/>
      <c r="U107" s="47"/>
      <c r="V107" s="119"/>
      <c r="W107" s="119"/>
      <c r="X107" s="47"/>
      <c r="Y107" s="47"/>
      <c r="Z107" s="47"/>
      <c r="AA107" s="47"/>
      <c r="AB107" s="47"/>
      <c r="AC107" s="47"/>
      <c r="AD107" s="93" t="str">
        <f t="array" ref="AD107">IFERROR(IF($B107="Building","Buildings",INDEX(CoA_Schema[AsseticCategory],MATCH(1,(CoA_Schema[AssetType]=$D107)*(CoA_Schema[AssetClass]=$B107)*(CoA_Schema[AssetSubClass]=$C107)*(CoA_Schema[Title]=$F107),0),0)),"")</f>
        <v/>
      </c>
      <c r="AE107" s="93" t="str">
        <f t="array" ref="AE107">IFERROR(IF($B107="Building","Buildings",INDEX(CoA_Schema[FinancialClass],MATCH(1,(CoA_Schema[AssetType]=$D107)*(CoA_Schema[AssetClass]=$B107)*(CoA_Schema[AssetSubClass]=$C107),0),0)),"")</f>
        <v/>
      </c>
      <c r="AF107" s="93" t="str">
        <f t="array" ref="AF107">IFERROR(IF($B107="Building","Buildings",INDEX(CoA_Schema[FinancialSubClass],MATCH(1,(CoA_Schema[AssetType]=$D107)*(CoA_Schema[AssetClass]=$B107)*(CoA_Schema[AssetSubClass]=$C107),0),0)),"")</f>
        <v/>
      </c>
      <c r="AG107" s="93" t="str">
        <f>IFERROR(VLOOKUP($I107,UoM!$A:$C,2,FALSE),"")</f>
        <v/>
      </c>
      <c r="AH107" s="56" t="str">
        <f>IFERROR(VLOOKUP("Renewed Assets:"&amp;ROW(),'Handover Cost Report'!$A:$U,17,FALSE),"")</f>
        <v/>
      </c>
      <c r="AI107" s="56" t="str">
        <f>IFERROR(VLOOKUP("Renewed Assets:"&amp;ROW(),'Handover Cost Report'!$A:$U,18,FALSE),"")</f>
        <v/>
      </c>
      <c r="AJ107" s="56" t="str">
        <f>IFERROR(VLOOKUP("Renewed Assets:"&amp;ROW(),'Handover Cost Report'!$A:$U,19,FALSE),"")</f>
        <v/>
      </c>
    </row>
    <row r="108" spans="2:36" s="3" customFormat="1" ht="12.75" x14ac:dyDescent="0.2">
      <c r="B108" s="47"/>
      <c r="C108" s="47"/>
      <c r="D108" s="47"/>
      <c r="E108" s="47"/>
      <c r="F108" s="47"/>
      <c r="G108" s="47"/>
      <c r="H108" s="47"/>
      <c r="I108" s="47"/>
      <c r="J108" s="48"/>
      <c r="K108" s="56">
        <f t="shared" si="7"/>
        <v>0</v>
      </c>
      <c r="L108" s="93" t="str">
        <f>IFERROR(VLOOKUP($F108,SC_Component!$B:$C,2,FALSE),"")</f>
        <v/>
      </c>
      <c r="M108" s="58"/>
      <c r="N108" s="59">
        <f t="shared" si="5"/>
        <v>0</v>
      </c>
      <c r="O108" s="59">
        <f t="shared" si="6"/>
        <v>0</v>
      </c>
      <c r="P108" s="47"/>
      <c r="Q108" s="47"/>
      <c r="R108" s="47"/>
      <c r="S108" s="58"/>
      <c r="T108" s="47"/>
      <c r="U108" s="47"/>
      <c r="V108" s="119"/>
      <c r="W108" s="119"/>
      <c r="X108" s="47"/>
      <c r="Y108" s="47"/>
      <c r="Z108" s="47"/>
      <c r="AA108" s="47"/>
      <c r="AB108" s="47"/>
      <c r="AC108" s="47"/>
      <c r="AD108" s="93" t="str">
        <f t="array" ref="AD108">IFERROR(IF($B108="Building","Buildings",INDEX(CoA_Schema[AsseticCategory],MATCH(1,(CoA_Schema[AssetType]=$D108)*(CoA_Schema[AssetClass]=$B108)*(CoA_Schema[AssetSubClass]=$C108)*(CoA_Schema[Title]=$F108),0),0)),"")</f>
        <v/>
      </c>
      <c r="AE108" s="93" t="str">
        <f t="array" ref="AE108">IFERROR(IF($B108="Building","Buildings",INDEX(CoA_Schema[FinancialClass],MATCH(1,(CoA_Schema[AssetType]=$D108)*(CoA_Schema[AssetClass]=$B108)*(CoA_Schema[AssetSubClass]=$C108),0),0)),"")</f>
        <v/>
      </c>
      <c r="AF108" s="93" t="str">
        <f t="array" ref="AF108">IFERROR(IF($B108="Building","Buildings",INDEX(CoA_Schema[FinancialSubClass],MATCH(1,(CoA_Schema[AssetType]=$D108)*(CoA_Schema[AssetClass]=$B108)*(CoA_Schema[AssetSubClass]=$C108),0),0)),"")</f>
        <v/>
      </c>
      <c r="AG108" s="93" t="str">
        <f>IFERROR(VLOOKUP($I108,UoM!$A:$C,2,FALSE),"")</f>
        <v/>
      </c>
      <c r="AH108" s="56" t="str">
        <f>IFERROR(VLOOKUP("Renewed Assets:"&amp;ROW(),'Handover Cost Report'!$A:$U,17,FALSE),"")</f>
        <v/>
      </c>
      <c r="AI108" s="56" t="str">
        <f>IFERROR(VLOOKUP("Renewed Assets:"&amp;ROW(),'Handover Cost Report'!$A:$U,18,FALSE),"")</f>
        <v/>
      </c>
      <c r="AJ108" s="56" t="str">
        <f>IFERROR(VLOOKUP("Renewed Assets:"&amp;ROW(),'Handover Cost Report'!$A:$U,19,FALSE),"")</f>
        <v/>
      </c>
    </row>
    <row r="109" spans="2:36" s="3" customFormat="1" ht="12.75" x14ac:dyDescent="0.2">
      <c r="B109" s="47"/>
      <c r="C109" s="47"/>
      <c r="D109" s="47"/>
      <c r="E109" s="47"/>
      <c r="F109" s="47"/>
      <c r="G109" s="47"/>
      <c r="H109" s="47"/>
      <c r="I109" s="47"/>
      <c r="J109" s="48"/>
      <c r="K109" s="56">
        <f t="shared" si="7"/>
        <v>0</v>
      </c>
      <c r="L109" s="93" t="str">
        <f>IFERROR(VLOOKUP($F109,SC_Component!$B:$C,2,FALSE),"")</f>
        <v/>
      </c>
      <c r="M109" s="58"/>
      <c r="N109" s="59">
        <f t="shared" si="5"/>
        <v>0</v>
      </c>
      <c r="O109" s="59">
        <f t="shared" si="6"/>
        <v>0</v>
      </c>
      <c r="P109" s="47"/>
      <c r="Q109" s="47"/>
      <c r="R109" s="47"/>
      <c r="S109" s="58"/>
      <c r="T109" s="47"/>
      <c r="U109" s="47"/>
      <c r="V109" s="119"/>
      <c r="W109" s="119"/>
      <c r="X109" s="47"/>
      <c r="Y109" s="47"/>
      <c r="Z109" s="47"/>
      <c r="AA109" s="47"/>
      <c r="AB109" s="47"/>
      <c r="AC109" s="47"/>
      <c r="AD109" s="93" t="str">
        <f t="array" ref="AD109">IFERROR(IF($B109="Building","Buildings",INDEX(CoA_Schema[AsseticCategory],MATCH(1,(CoA_Schema[AssetType]=$D109)*(CoA_Schema[AssetClass]=$B109)*(CoA_Schema[AssetSubClass]=$C109)*(CoA_Schema[Title]=$F109),0),0)),"")</f>
        <v/>
      </c>
      <c r="AE109" s="93" t="str">
        <f t="array" ref="AE109">IFERROR(IF($B109="Building","Buildings",INDEX(CoA_Schema[FinancialClass],MATCH(1,(CoA_Schema[AssetType]=$D109)*(CoA_Schema[AssetClass]=$B109)*(CoA_Schema[AssetSubClass]=$C109),0),0)),"")</f>
        <v/>
      </c>
      <c r="AF109" s="93" t="str">
        <f t="array" ref="AF109">IFERROR(IF($B109="Building","Buildings",INDEX(CoA_Schema[FinancialSubClass],MATCH(1,(CoA_Schema[AssetType]=$D109)*(CoA_Schema[AssetClass]=$B109)*(CoA_Schema[AssetSubClass]=$C109),0),0)),"")</f>
        <v/>
      </c>
      <c r="AG109" s="93" t="str">
        <f>IFERROR(VLOOKUP($I109,UoM!$A:$C,2,FALSE),"")</f>
        <v/>
      </c>
      <c r="AH109" s="56" t="str">
        <f>IFERROR(VLOOKUP("Renewed Assets:"&amp;ROW(),'Handover Cost Report'!$A:$U,17,FALSE),"")</f>
        <v/>
      </c>
      <c r="AI109" s="56" t="str">
        <f>IFERROR(VLOOKUP("Renewed Assets:"&amp;ROW(),'Handover Cost Report'!$A:$U,18,FALSE),"")</f>
        <v/>
      </c>
      <c r="AJ109" s="56" t="str">
        <f>IFERROR(VLOOKUP("Renewed Assets:"&amp;ROW(),'Handover Cost Report'!$A:$U,19,FALSE),"")</f>
        <v/>
      </c>
    </row>
    <row r="110" spans="2:36" s="3" customFormat="1" ht="12.75" x14ac:dyDescent="0.2">
      <c r="B110" s="47"/>
      <c r="C110" s="47"/>
      <c r="D110" s="47"/>
      <c r="E110" s="47"/>
      <c r="F110" s="47"/>
      <c r="G110" s="47"/>
      <c r="H110" s="47"/>
      <c r="I110" s="47"/>
      <c r="J110" s="48"/>
      <c r="K110" s="56">
        <f t="shared" si="7"/>
        <v>0</v>
      </c>
      <c r="L110" s="93" t="str">
        <f>IFERROR(VLOOKUP($F110,SC_Component!$B:$C,2,FALSE),"")</f>
        <v/>
      </c>
      <c r="M110" s="58"/>
      <c r="N110" s="59">
        <f t="shared" si="5"/>
        <v>0</v>
      </c>
      <c r="O110" s="59">
        <f t="shared" si="6"/>
        <v>0</v>
      </c>
      <c r="P110" s="47"/>
      <c r="Q110" s="47"/>
      <c r="R110" s="47"/>
      <c r="S110" s="58"/>
      <c r="T110" s="47"/>
      <c r="U110" s="47"/>
      <c r="V110" s="119"/>
      <c r="W110" s="119"/>
      <c r="X110" s="47"/>
      <c r="Y110" s="47"/>
      <c r="Z110" s="47"/>
      <c r="AA110" s="47"/>
      <c r="AB110" s="47"/>
      <c r="AC110" s="47"/>
      <c r="AD110" s="93" t="str">
        <f t="array" ref="AD110">IFERROR(IF($B110="Building","Buildings",INDEX(CoA_Schema[AsseticCategory],MATCH(1,(CoA_Schema[AssetType]=$D110)*(CoA_Schema[AssetClass]=$B110)*(CoA_Schema[AssetSubClass]=$C110)*(CoA_Schema[Title]=$F110),0),0)),"")</f>
        <v/>
      </c>
      <c r="AE110" s="93" t="str">
        <f t="array" ref="AE110">IFERROR(IF($B110="Building","Buildings",INDEX(CoA_Schema[FinancialClass],MATCH(1,(CoA_Schema[AssetType]=$D110)*(CoA_Schema[AssetClass]=$B110)*(CoA_Schema[AssetSubClass]=$C110),0),0)),"")</f>
        <v/>
      </c>
      <c r="AF110" s="93" t="str">
        <f t="array" ref="AF110">IFERROR(IF($B110="Building","Buildings",INDEX(CoA_Schema[FinancialSubClass],MATCH(1,(CoA_Schema[AssetType]=$D110)*(CoA_Schema[AssetClass]=$B110)*(CoA_Schema[AssetSubClass]=$C110),0),0)),"")</f>
        <v/>
      </c>
      <c r="AG110" s="93" t="str">
        <f>IFERROR(VLOOKUP($I110,UoM!$A:$C,2,FALSE),"")</f>
        <v/>
      </c>
      <c r="AH110" s="56" t="str">
        <f>IFERROR(VLOOKUP("Renewed Assets:"&amp;ROW(),'Handover Cost Report'!$A:$U,17,FALSE),"")</f>
        <v/>
      </c>
      <c r="AI110" s="56" t="str">
        <f>IFERROR(VLOOKUP("Renewed Assets:"&amp;ROW(),'Handover Cost Report'!$A:$U,18,FALSE),"")</f>
        <v/>
      </c>
      <c r="AJ110" s="56" t="str">
        <f>IFERROR(VLOOKUP("Renewed Assets:"&amp;ROW(),'Handover Cost Report'!$A:$U,19,FALSE),"")</f>
        <v/>
      </c>
    </row>
    <row r="111" spans="2:36" s="3" customFormat="1" ht="12.75" x14ac:dyDescent="0.2">
      <c r="B111" s="47"/>
      <c r="C111" s="47"/>
      <c r="D111" s="47"/>
      <c r="E111" s="47"/>
      <c r="F111" s="47"/>
      <c r="G111" s="47"/>
      <c r="H111" s="47"/>
      <c r="I111" s="47"/>
      <c r="J111" s="48"/>
      <c r="K111" s="56">
        <f t="shared" si="7"/>
        <v>0</v>
      </c>
      <c r="L111" s="93" t="str">
        <f>IFERROR(VLOOKUP($F111,SC_Component!$B:$C,2,FALSE),"")</f>
        <v/>
      </c>
      <c r="M111" s="58"/>
      <c r="N111" s="59">
        <f t="shared" si="5"/>
        <v>0</v>
      </c>
      <c r="O111" s="59">
        <f t="shared" si="6"/>
        <v>0</v>
      </c>
      <c r="P111" s="47"/>
      <c r="Q111" s="47"/>
      <c r="R111" s="47"/>
      <c r="S111" s="58"/>
      <c r="T111" s="47"/>
      <c r="U111" s="47"/>
      <c r="V111" s="119"/>
      <c r="W111" s="119"/>
      <c r="X111" s="47"/>
      <c r="Y111" s="47"/>
      <c r="Z111" s="47"/>
      <c r="AA111" s="47"/>
      <c r="AB111" s="47"/>
      <c r="AC111" s="47"/>
      <c r="AD111" s="93" t="str">
        <f t="array" ref="AD111">IFERROR(IF($B111="Building","Buildings",INDEX(CoA_Schema[AsseticCategory],MATCH(1,(CoA_Schema[AssetType]=$D111)*(CoA_Schema[AssetClass]=$B111)*(CoA_Schema[AssetSubClass]=$C111)*(CoA_Schema[Title]=$F111),0),0)),"")</f>
        <v/>
      </c>
      <c r="AE111" s="93" t="str">
        <f t="array" ref="AE111">IFERROR(IF($B111="Building","Buildings",INDEX(CoA_Schema[FinancialClass],MATCH(1,(CoA_Schema[AssetType]=$D111)*(CoA_Schema[AssetClass]=$B111)*(CoA_Schema[AssetSubClass]=$C111),0),0)),"")</f>
        <v/>
      </c>
      <c r="AF111" s="93" t="str">
        <f t="array" ref="AF111">IFERROR(IF($B111="Building","Buildings",INDEX(CoA_Schema[FinancialSubClass],MATCH(1,(CoA_Schema[AssetType]=$D111)*(CoA_Schema[AssetClass]=$B111)*(CoA_Schema[AssetSubClass]=$C111),0),0)),"")</f>
        <v/>
      </c>
      <c r="AG111" s="93" t="str">
        <f>IFERROR(VLOOKUP($I111,UoM!$A:$C,2,FALSE),"")</f>
        <v/>
      </c>
      <c r="AH111" s="56" t="str">
        <f>IFERROR(VLOOKUP("Renewed Assets:"&amp;ROW(),'Handover Cost Report'!$A:$U,17,FALSE),"")</f>
        <v/>
      </c>
      <c r="AI111" s="56" t="str">
        <f>IFERROR(VLOOKUP("Renewed Assets:"&amp;ROW(),'Handover Cost Report'!$A:$U,18,FALSE),"")</f>
        <v/>
      </c>
      <c r="AJ111" s="56" t="str">
        <f>IFERROR(VLOOKUP("Renewed Assets:"&amp;ROW(),'Handover Cost Report'!$A:$U,19,FALSE),"")</f>
        <v/>
      </c>
    </row>
    <row r="112" spans="2:36" s="3" customFormat="1" ht="12.75" x14ac:dyDescent="0.2">
      <c r="B112" s="47"/>
      <c r="C112" s="47"/>
      <c r="D112" s="47"/>
      <c r="E112" s="47"/>
      <c r="F112" s="47"/>
      <c r="G112" s="47"/>
      <c r="H112" s="47"/>
      <c r="I112" s="47"/>
      <c r="J112" s="48"/>
      <c r="K112" s="56">
        <f t="shared" si="7"/>
        <v>0</v>
      </c>
      <c r="L112" s="93" t="str">
        <f>IFERROR(VLOOKUP($F112,SC_Component!$B:$C,2,FALSE),"")</f>
        <v/>
      </c>
      <c r="M112" s="58"/>
      <c r="N112" s="59">
        <f t="shared" si="5"/>
        <v>0</v>
      </c>
      <c r="O112" s="59">
        <f t="shared" si="6"/>
        <v>0</v>
      </c>
      <c r="P112" s="47"/>
      <c r="Q112" s="47"/>
      <c r="R112" s="47"/>
      <c r="S112" s="58"/>
      <c r="T112" s="47"/>
      <c r="U112" s="47"/>
      <c r="V112" s="119"/>
      <c r="W112" s="119"/>
      <c r="X112" s="47"/>
      <c r="Y112" s="47"/>
      <c r="Z112" s="47"/>
      <c r="AA112" s="47"/>
      <c r="AB112" s="47"/>
      <c r="AC112" s="47"/>
      <c r="AD112" s="93" t="str">
        <f t="array" ref="AD112">IFERROR(IF($B112="Building","Buildings",INDEX(CoA_Schema[AsseticCategory],MATCH(1,(CoA_Schema[AssetType]=$D112)*(CoA_Schema[AssetClass]=$B112)*(CoA_Schema[AssetSubClass]=$C112)*(CoA_Schema[Title]=$F112),0),0)),"")</f>
        <v/>
      </c>
      <c r="AE112" s="93" t="str">
        <f t="array" ref="AE112">IFERROR(IF($B112="Building","Buildings",INDEX(CoA_Schema[FinancialClass],MATCH(1,(CoA_Schema[AssetType]=$D112)*(CoA_Schema[AssetClass]=$B112)*(CoA_Schema[AssetSubClass]=$C112),0),0)),"")</f>
        <v/>
      </c>
      <c r="AF112" s="93" t="str">
        <f t="array" ref="AF112">IFERROR(IF($B112="Building","Buildings",INDEX(CoA_Schema[FinancialSubClass],MATCH(1,(CoA_Schema[AssetType]=$D112)*(CoA_Schema[AssetClass]=$B112)*(CoA_Schema[AssetSubClass]=$C112),0),0)),"")</f>
        <v/>
      </c>
      <c r="AG112" s="93" t="str">
        <f>IFERROR(VLOOKUP($I112,UoM!$A:$C,2,FALSE),"")</f>
        <v/>
      </c>
      <c r="AH112" s="56" t="str">
        <f>IFERROR(VLOOKUP("Renewed Assets:"&amp;ROW(),'Handover Cost Report'!$A:$U,17,FALSE),"")</f>
        <v/>
      </c>
      <c r="AI112" s="56" t="str">
        <f>IFERROR(VLOOKUP("Renewed Assets:"&amp;ROW(),'Handover Cost Report'!$A:$U,18,FALSE),"")</f>
        <v/>
      </c>
      <c r="AJ112" s="56" t="str">
        <f>IFERROR(VLOOKUP("Renewed Assets:"&amp;ROW(),'Handover Cost Report'!$A:$U,19,FALSE),"")</f>
        <v/>
      </c>
    </row>
    <row r="113" spans="2:36" s="3" customFormat="1" ht="12.75" x14ac:dyDescent="0.2">
      <c r="B113" s="47"/>
      <c r="C113" s="47"/>
      <c r="D113" s="47"/>
      <c r="E113" s="47"/>
      <c r="F113" s="47"/>
      <c r="G113" s="47"/>
      <c r="H113" s="47"/>
      <c r="I113" s="47"/>
      <c r="J113" s="48"/>
      <c r="K113" s="56">
        <f t="shared" si="7"/>
        <v>0</v>
      </c>
      <c r="L113" s="93" t="str">
        <f>IFERROR(VLOOKUP($F113,SC_Component!$B:$C,2,FALSE),"")</f>
        <v/>
      </c>
      <c r="M113" s="58"/>
      <c r="N113" s="59">
        <f t="shared" si="5"/>
        <v>0</v>
      </c>
      <c r="O113" s="59">
        <f t="shared" si="6"/>
        <v>0</v>
      </c>
      <c r="P113" s="47"/>
      <c r="Q113" s="47"/>
      <c r="R113" s="47"/>
      <c r="S113" s="58"/>
      <c r="T113" s="47"/>
      <c r="U113" s="47"/>
      <c r="V113" s="119"/>
      <c r="W113" s="119"/>
      <c r="X113" s="47"/>
      <c r="Y113" s="47"/>
      <c r="Z113" s="47"/>
      <c r="AA113" s="47"/>
      <c r="AB113" s="47"/>
      <c r="AC113" s="47"/>
      <c r="AD113" s="93" t="str">
        <f t="array" ref="AD113">IFERROR(IF($B113="Building","Buildings",INDEX(CoA_Schema[AsseticCategory],MATCH(1,(CoA_Schema[AssetType]=$D113)*(CoA_Schema[AssetClass]=$B113)*(CoA_Schema[AssetSubClass]=$C113)*(CoA_Schema[Title]=$F113),0),0)),"")</f>
        <v/>
      </c>
      <c r="AE113" s="93" t="str">
        <f t="array" ref="AE113">IFERROR(IF($B113="Building","Buildings",INDEX(CoA_Schema[FinancialClass],MATCH(1,(CoA_Schema[AssetType]=$D113)*(CoA_Schema[AssetClass]=$B113)*(CoA_Schema[AssetSubClass]=$C113),0),0)),"")</f>
        <v/>
      </c>
      <c r="AF113" s="93" t="str">
        <f t="array" ref="AF113">IFERROR(IF($B113="Building","Buildings",INDEX(CoA_Schema[FinancialSubClass],MATCH(1,(CoA_Schema[AssetType]=$D113)*(CoA_Schema[AssetClass]=$B113)*(CoA_Schema[AssetSubClass]=$C113),0),0)),"")</f>
        <v/>
      </c>
      <c r="AG113" s="93" t="str">
        <f>IFERROR(VLOOKUP($I113,UoM!$A:$C,2,FALSE),"")</f>
        <v/>
      </c>
      <c r="AH113" s="56" t="str">
        <f>IFERROR(VLOOKUP("Renewed Assets:"&amp;ROW(),'Handover Cost Report'!$A:$U,17,FALSE),"")</f>
        <v/>
      </c>
      <c r="AI113" s="56" t="str">
        <f>IFERROR(VLOOKUP("Renewed Assets:"&amp;ROW(),'Handover Cost Report'!$A:$U,18,FALSE),"")</f>
        <v/>
      </c>
      <c r="AJ113" s="56" t="str">
        <f>IFERROR(VLOOKUP("Renewed Assets:"&amp;ROW(),'Handover Cost Report'!$A:$U,19,FALSE),"")</f>
        <v/>
      </c>
    </row>
    <row r="114" spans="2:36" s="3" customFormat="1" ht="12.75" x14ac:dyDescent="0.2">
      <c r="B114" s="47"/>
      <c r="C114" s="47"/>
      <c r="D114" s="47"/>
      <c r="E114" s="47"/>
      <c r="F114" s="47"/>
      <c r="G114" s="47"/>
      <c r="H114" s="47"/>
      <c r="I114" s="47"/>
      <c r="J114" s="48"/>
      <c r="K114" s="56">
        <f t="shared" si="7"/>
        <v>0</v>
      </c>
      <c r="L114" s="93" t="str">
        <f>IFERROR(VLOOKUP($F114,SC_Component!$B:$C,2,FALSE),"")</f>
        <v/>
      </c>
      <c r="M114" s="58"/>
      <c r="N114" s="59">
        <f t="shared" si="5"/>
        <v>0</v>
      </c>
      <c r="O114" s="59">
        <f t="shared" si="6"/>
        <v>0</v>
      </c>
      <c r="P114" s="47"/>
      <c r="Q114" s="47"/>
      <c r="R114" s="47"/>
      <c r="S114" s="58"/>
      <c r="T114" s="47"/>
      <c r="U114" s="47"/>
      <c r="V114" s="119"/>
      <c r="W114" s="119"/>
      <c r="X114" s="47"/>
      <c r="Y114" s="47"/>
      <c r="Z114" s="47"/>
      <c r="AA114" s="47"/>
      <c r="AB114" s="47"/>
      <c r="AC114" s="47"/>
      <c r="AD114" s="93" t="str">
        <f t="array" ref="AD114">IFERROR(IF($B114="Building","Buildings",INDEX(CoA_Schema[AsseticCategory],MATCH(1,(CoA_Schema[AssetType]=$D114)*(CoA_Schema[AssetClass]=$B114)*(CoA_Schema[AssetSubClass]=$C114)*(CoA_Schema[Title]=$F114),0),0)),"")</f>
        <v/>
      </c>
      <c r="AE114" s="93" t="str">
        <f t="array" ref="AE114">IFERROR(IF($B114="Building","Buildings",INDEX(CoA_Schema[FinancialClass],MATCH(1,(CoA_Schema[AssetType]=$D114)*(CoA_Schema[AssetClass]=$B114)*(CoA_Schema[AssetSubClass]=$C114),0),0)),"")</f>
        <v/>
      </c>
      <c r="AF114" s="93" t="str">
        <f t="array" ref="AF114">IFERROR(IF($B114="Building","Buildings",INDEX(CoA_Schema[FinancialSubClass],MATCH(1,(CoA_Schema[AssetType]=$D114)*(CoA_Schema[AssetClass]=$B114)*(CoA_Schema[AssetSubClass]=$C114),0),0)),"")</f>
        <v/>
      </c>
      <c r="AG114" s="93" t="str">
        <f>IFERROR(VLOOKUP($I114,UoM!$A:$C,2,FALSE),"")</f>
        <v/>
      </c>
      <c r="AH114" s="56" t="str">
        <f>IFERROR(VLOOKUP("Renewed Assets:"&amp;ROW(),'Handover Cost Report'!$A:$U,17,FALSE),"")</f>
        <v/>
      </c>
      <c r="AI114" s="56" t="str">
        <f>IFERROR(VLOOKUP("Renewed Assets:"&amp;ROW(),'Handover Cost Report'!$A:$U,18,FALSE),"")</f>
        <v/>
      </c>
      <c r="AJ114" s="56" t="str">
        <f>IFERROR(VLOOKUP("Renewed Assets:"&amp;ROW(),'Handover Cost Report'!$A:$U,19,FALSE),"")</f>
        <v/>
      </c>
    </row>
    <row r="115" spans="2:36" s="3" customFormat="1" ht="12.75" x14ac:dyDescent="0.2">
      <c r="B115" s="47"/>
      <c r="C115" s="47"/>
      <c r="D115" s="47"/>
      <c r="E115" s="47"/>
      <c r="F115" s="47"/>
      <c r="G115" s="47"/>
      <c r="H115" s="47"/>
      <c r="I115" s="47"/>
      <c r="J115" s="48"/>
      <c r="K115" s="56">
        <f t="shared" si="7"/>
        <v>0</v>
      </c>
      <c r="L115" s="93" t="str">
        <f>IFERROR(VLOOKUP($F115,SC_Component!$B:$C,2,FALSE),"")</f>
        <v/>
      </c>
      <c r="M115" s="58"/>
      <c r="N115" s="59">
        <f t="shared" si="5"/>
        <v>0</v>
      </c>
      <c r="O115" s="59">
        <f t="shared" si="6"/>
        <v>0</v>
      </c>
      <c r="P115" s="47"/>
      <c r="Q115" s="47"/>
      <c r="R115" s="47"/>
      <c r="S115" s="58"/>
      <c r="T115" s="47"/>
      <c r="U115" s="47"/>
      <c r="V115" s="119"/>
      <c r="W115" s="119"/>
      <c r="X115" s="47"/>
      <c r="Y115" s="47"/>
      <c r="Z115" s="47"/>
      <c r="AA115" s="47"/>
      <c r="AB115" s="47"/>
      <c r="AC115" s="47"/>
      <c r="AD115" s="93" t="str">
        <f t="array" ref="AD115">IFERROR(IF($B115="Building","Buildings",INDEX(CoA_Schema[AsseticCategory],MATCH(1,(CoA_Schema[AssetType]=$D115)*(CoA_Schema[AssetClass]=$B115)*(CoA_Schema[AssetSubClass]=$C115)*(CoA_Schema[Title]=$F115),0),0)),"")</f>
        <v/>
      </c>
      <c r="AE115" s="93" t="str">
        <f t="array" ref="AE115">IFERROR(IF($B115="Building","Buildings",INDEX(CoA_Schema[FinancialClass],MATCH(1,(CoA_Schema[AssetType]=$D115)*(CoA_Schema[AssetClass]=$B115)*(CoA_Schema[AssetSubClass]=$C115),0),0)),"")</f>
        <v/>
      </c>
      <c r="AF115" s="93" t="str">
        <f t="array" ref="AF115">IFERROR(IF($B115="Building","Buildings",INDEX(CoA_Schema[FinancialSubClass],MATCH(1,(CoA_Schema[AssetType]=$D115)*(CoA_Schema[AssetClass]=$B115)*(CoA_Schema[AssetSubClass]=$C115),0),0)),"")</f>
        <v/>
      </c>
      <c r="AG115" s="93" t="str">
        <f>IFERROR(VLOOKUP($I115,UoM!$A:$C,2,FALSE),"")</f>
        <v/>
      </c>
      <c r="AH115" s="56" t="str">
        <f>IFERROR(VLOOKUP("Renewed Assets:"&amp;ROW(),'Handover Cost Report'!$A:$U,17,FALSE),"")</f>
        <v/>
      </c>
      <c r="AI115" s="56" t="str">
        <f>IFERROR(VLOOKUP("Renewed Assets:"&amp;ROW(),'Handover Cost Report'!$A:$U,18,FALSE),"")</f>
        <v/>
      </c>
      <c r="AJ115" s="56" t="str">
        <f>IFERROR(VLOOKUP("Renewed Assets:"&amp;ROW(),'Handover Cost Report'!$A:$U,19,FALSE),"")</f>
        <v/>
      </c>
    </row>
    <row r="116" spans="2:36" s="3" customFormat="1" ht="12.75" x14ac:dyDescent="0.2">
      <c r="B116" s="47"/>
      <c r="C116" s="47"/>
      <c r="D116" s="47"/>
      <c r="E116" s="47"/>
      <c r="F116" s="47"/>
      <c r="G116" s="47"/>
      <c r="H116" s="47"/>
      <c r="I116" s="47"/>
      <c r="J116" s="48"/>
      <c r="K116" s="56">
        <f t="shared" si="7"/>
        <v>0</v>
      </c>
      <c r="L116" s="93" t="str">
        <f>IFERROR(VLOOKUP($F116,SC_Component!$B:$C,2,FALSE),"")</f>
        <v/>
      </c>
      <c r="M116" s="58"/>
      <c r="N116" s="59">
        <f t="shared" si="5"/>
        <v>0</v>
      </c>
      <c r="O116" s="59">
        <f t="shared" si="6"/>
        <v>0</v>
      </c>
      <c r="P116" s="47"/>
      <c r="Q116" s="47"/>
      <c r="R116" s="47"/>
      <c r="S116" s="58"/>
      <c r="T116" s="47"/>
      <c r="U116" s="47"/>
      <c r="V116" s="119"/>
      <c r="W116" s="119"/>
      <c r="X116" s="47"/>
      <c r="Y116" s="47"/>
      <c r="Z116" s="47"/>
      <c r="AA116" s="47"/>
      <c r="AB116" s="47"/>
      <c r="AC116" s="47"/>
      <c r="AD116" s="93" t="str">
        <f t="array" ref="AD116">IFERROR(IF($B116="Building","Buildings",INDEX(CoA_Schema[AsseticCategory],MATCH(1,(CoA_Schema[AssetType]=$D116)*(CoA_Schema[AssetClass]=$B116)*(CoA_Schema[AssetSubClass]=$C116)*(CoA_Schema[Title]=$F116),0),0)),"")</f>
        <v/>
      </c>
      <c r="AE116" s="93" t="str">
        <f t="array" ref="AE116">IFERROR(IF($B116="Building","Buildings",INDEX(CoA_Schema[FinancialClass],MATCH(1,(CoA_Schema[AssetType]=$D116)*(CoA_Schema[AssetClass]=$B116)*(CoA_Schema[AssetSubClass]=$C116),0),0)),"")</f>
        <v/>
      </c>
      <c r="AF116" s="93" t="str">
        <f t="array" ref="AF116">IFERROR(IF($B116="Building","Buildings",INDEX(CoA_Schema[FinancialSubClass],MATCH(1,(CoA_Schema[AssetType]=$D116)*(CoA_Schema[AssetClass]=$B116)*(CoA_Schema[AssetSubClass]=$C116),0),0)),"")</f>
        <v/>
      </c>
      <c r="AG116" s="93" t="str">
        <f>IFERROR(VLOOKUP($I116,UoM!$A:$C,2,FALSE),"")</f>
        <v/>
      </c>
      <c r="AH116" s="56" t="str">
        <f>IFERROR(VLOOKUP("Renewed Assets:"&amp;ROW(),'Handover Cost Report'!$A:$U,17,FALSE),"")</f>
        <v/>
      </c>
      <c r="AI116" s="56" t="str">
        <f>IFERROR(VLOOKUP("Renewed Assets:"&amp;ROW(),'Handover Cost Report'!$A:$U,18,FALSE),"")</f>
        <v/>
      </c>
      <c r="AJ116" s="56" t="str">
        <f>IFERROR(VLOOKUP("Renewed Assets:"&amp;ROW(),'Handover Cost Report'!$A:$U,19,FALSE),"")</f>
        <v/>
      </c>
    </row>
    <row r="117" spans="2:36" s="3" customFormat="1" ht="12.75" x14ac:dyDescent="0.2">
      <c r="B117" s="47"/>
      <c r="C117" s="47"/>
      <c r="D117" s="47"/>
      <c r="E117" s="47"/>
      <c r="F117" s="47"/>
      <c r="G117" s="47"/>
      <c r="H117" s="47"/>
      <c r="I117" s="47"/>
      <c r="J117" s="48"/>
      <c r="K117" s="56">
        <f t="shared" si="7"/>
        <v>0</v>
      </c>
      <c r="L117" s="93" t="str">
        <f>IFERROR(VLOOKUP($F117,SC_Component!$B:$C,2,FALSE),"")</f>
        <v/>
      </c>
      <c r="M117" s="58"/>
      <c r="N117" s="59">
        <f t="shared" si="5"/>
        <v>0</v>
      </c>
      <c r="O117" s="59">
        <f t="shared" si="6"/>
        <v>0</v>
      </c>
      <c r="P117" s="47"/>
      <c r="Q117" s="47"/>
      <c r="R117" s="47"/>
      <c r="S117" s="58"/>
      <c r="T117" s="47"/>
      <c r="U117" s="47"/>
      <c r="V117" s="119"/>
      <c r="W117" s="119"/>
      <c r="X117" s="47"/>
      <c r="Y117" s="47"/>
      <c r="Z117" s="47"/>
      <c r="AA117" s="47"/>
      <c r="AB117" s="47"/>
      <c r="AC117" s="47"/>
      <c r="AD117" s="93" t="str">
        <f t="array" ref="AD117">IFERROR(IF($B117="Building","Buildings",INDEX(CoA_Schema[AsseticCategory],MATCH(1,(CoA_Schema[AssetType]=$D117)*(CoA_Schema[AssetClass]=$B117)*(CoA_Schema[AssetSubClass]=$C117)*(CoA_Schema[Title]=$F117),0),0)),"")</f>
        <v/>
      </c>
      <c r="AE117" s="93" t="str">
        <f t="array" ref="AE117">IFERROR(IF($B117="Building","Buildings",INDEX(CoA_Schema[FinancialClass],MATCH(1,(CoA_Schema[AssetType]=$D117)*(CoA_Schema[AssetClass]=$B117)*(CoA_Schema[AssetSubClass]=$C117),0),0)),"")</f>
        <v/>
      </c>
      <c r="AF117" s="93" t="str">
        <f t="array" ref="AF117">IFERROR(IF($B117="Building","Buildings",INDEX(CoA_Schema[FinancialSubClass],MATCH(1,(CoA_Schema[AssetType]=$D117)*(CoA_Schema[AssetClass]=$B117)*(CoA_Schema[AssetSubClass]=$C117),0),0)),"")</f>
        <v/>
      </c>
      <c r="AG117" s="93" t="str">
        <f>IFERROR(VLOOKUP($I117,UoM!$A:$C,2,FALSE),"")</f>
        <v/>
      </c>
      <c r="AH117" s="56" t="str">
        <f>IFERROR(VLOOKUP("Renewed Assets:"&amp;ROW(),'Handover Cost Report'!$A:$U,17,FALSE),"")</f>
        <v/>
      </c>
      <c r="AI117" s="56" t="str">
        <f>IFERROR(VLOOKUP("Renewed Assets:"&amp;ROW(),'Handover Cost Report'!$A:$U,18,FALSE),"")</f>
        <v/>
      </c>
      <c r="AJ117" s="56" t="str">
        <f>IFERROR(VLOOKUP("Renewed Assets:"&amp;ROW(),'Handover Cost Report'!$A:$U,19,FALSE),"")</f>
        <v/>
      </c>
    </row>
    <row r="118" spans="2:36" s="3" customFormat="1" ht="12.75" x14ac:dyDescent="0.2">
      <c r="B118" s="47"/>
      <c r="C118" s="47"/>
      <c r="D118" s="47"/>
      <c r="E118" s="47"/>
      <c r="F118" s="47"/>
      <c r="G118" s="47"/>
      <c r="H118" s="47"/>
      <c r="I118" s="47"/>
      <c r="J118" s="48"/>
      <c r="K118" s="56">
        <f t="shared" si="7"/>
        <v>0</v>
      </c>
      <c r="L118" s="93" t="str">
        <f>IFERROR(VLOOKUP($F118,SC_Component!$B:$C,2,FALSE),"")</f>
        <v/>
      </c>
      <c r="M118" s="58"/>
      <c r="N118" s="59">
        <f t="shared" si="5"/>
        <v>0</v>
      </c>
      <c r="O118" s="59">
        <f t="shared" si="6"/>
        <v>0</v>
      </c>
      <c r="P118" s="47"/>
      <c r="Q118" s="47"/>
      <c r="R118" s="47"/>
      <c r="S118" s="58"/>
      <c r="T118" s="47"/>
      <c r="U118" s="47"/>
      <c r="V118" s="119"/>
      <c r="W118" s="119"/>
      <c r="X118" s="47"/>
      <c r="Y118" s="47"/>
      <c r="Z118" s="47"/>
      <c r="AA118" s="47"/>
      <c r="AB118" s="47"/>
      <c r="AC118" s="47"/>
      <c r="AD118" s="93" t="str">
        <f t="array" ref="AD118">IFERROR(IF($B118="Building","Buildings",INDEX(CoA_Schema[AsseticCategory],MATCH(1,(CoA_Schema[AssetType]=$D118)*(CoA_Schema[AssetClass]=$B118)*(CoA_Schema[AssetSubClass]=$C118)*(CoA_Schema[Title]=$F118),0),0)),"")</f>
        <v/>
      </c>
      <c r="AE118" s="93" t="str">
        <f t="array" ref="AE118">IFERROR(IF($B118="Building","Buildings",INDEX(CoA_Schema[FinancialClass],MATCH(1,(CoA_Schema[AssetType]=$D118)*(CoA_Schema[AssetClass]=$B118)*(CoA_Schema[AssetSubClass]=$C118),0),0)),"")</f>
        <v/>
      </c>
      <c r="AF118" s="93" t="str">
        <f t="array" ref="AF118">IFERROR(IF($B118="Building","Buildings",INDEX(CoA_Schema[FinancialSubClass],MATCH(1,(CoA_Schema[AssetType]=$D118)*(CoA_Schema[AssetClass]=$B118)*(CoA_Schema[AssetSubClass]=$C118),0),0)),"")</f>
        <v/>
      </c>
      <c r="AG118" s="93" t="str">
        <f>IFERROR(VLOOKUP($I118,UoM!$A:$C,2,FALSE),"")</f>
        <v/>
      </c>
      <c r="AH118" s="56" t="str">
        <f>IFERROR(VLOOKUP("Renewed Assets:"&amp;ROW(),'Handover Cost Report'!$A:$U,17,FALSE),"")</f>
        <v/>
      </c>
      <c r="AI118" s="56" t="str">
        <f>IFERROR(VLOOKUP("Renewed Assets:"&amp;ROW(),'Handover Cost Report'!$A:$U,18,FALSE),"")</f>
        <v/>
      </c>
      <c r="AJ118" s="56" t="str">
        <f>IFERROR(VLOOKUP("Renewed Assets:"&amp;ROW(),'Handover Cost Report'!$A:$U,19,FALSE),"")</f>
        <v/>
      </c>
    </row>
    <row r="119" spans="2:36" s="3" customFormat="1" ht="12.75" x14ac:dyDescent="0.2">
      <c r="B119" s="47"/>
      <c r="C119" s="47"/>
      <c r="D119" s="47"/>
      <c r="E119" s="47"/>
      <c r="F119" s="47"/>
      <c r="G119" s="47"/>
      <c r="H119" s="47"/>
      <c r="I119" s="47"/>
      <c r="J119" s="48"/>
      <c r="K119" s="56">
        <f t="shared" si="7"/>
        <v>0</v>
      </c>
      <c r="L119" s="93" t="str">
        <f>IFERROR(VLOOKUP($F119,SC_Component!$B:$C,2,FALSE),"")</f>
        <v/>
      </c>
      <c r="M119" s="58"/>
      <c r="N119" s="59">
        <f t="shared" si="5"/>
        <v>0</v>
      </c>
      <c r="O119" s="59">
        <f t="shared" si="6"/>
        <v>0</v>
      </c>
      <c r="P119" s="47"/>
      <c r="Q119" s="47"/>
      <c r="R119" s="47"/>
      <c r="S119" s="58"/>
      <c r="T119" s="47"/>
      <c r="U119" s="47"/>
      <c r="V119" s="119"/>
      <c r="W119" s="119"/>
      <c r="X119" s="47"/>
      <c r="Y119" s="47"/>
      <c r="Z119" s="47"/>
      <c r="AA119" s="47"/>
      <c r="AB119" s="47"/>
      <c r="AC119" s="47"/>
      <c r="AD119" s="93" t="str">
        <f t="array" ref="AD119">IFERROR(IF($B119="Building","Buildings",INDEX(CoA_Schema[AsseticCategory],MATCH(1,(CoA_Schema[AssetType]=$D119)*(CoA_Schema[AssetClass]=$B119)*(CoA_Schema[AssetSubClass]=$C119)*(CoA_Schema[Title]=$F119),0),0)),"")</f>
        <v/>
      </c>
      <c r="AE119" s="93" t="str">
        <f t="array" ref="AE119">IFERROR(IF($B119="Building","Buildings",INDEX(CoA_Schema[FinancialClass],MATCH(1,(CoA_Schema[AssetType]=$D119)*(CoA_Schema[AssetClass]=$B119)*(CoA_Schema[AssetSubClass]=$C119),0),0)),"")</f>
        <v/>
      </c>
      <c r="AF119" s="93" t="str">
        <f t="array" ref="AF119">IFERROR(IF($B119="Building","Buildings",INDEX(CoA_Schema[FinancialSubClass],MATCH(1,(CoA_Schema[AssetType]=$D119)*(CoA_Schema[AssetClass]=$B119)*(CoA_Schema[AssetSubClass]=$C119),0),0)),"")</f>
        <v/>
      </c>
      <c r="AG119" s="93" t="str">
        <f>IFERROR(VLOOKUP($I119,UoM!$A:$C,2,FALSE),"")</f>
        <v/>
      </c>
      <c r="AH119" s="56" t="str">
        <f>IFERROR(VLOOKUP("Renewed Assets:"&amp;ROW(),'Handover Cost Report'!$A:$U,17,FALSE),"")</f>
        <v/>
      </c>
      <c r="AI119" s="56" t="str">
        <f>IFERROR(VLOOKUP("Renewed Assets:"&amp;ROW(),'Handover Cost Report'!$A:$U,18,FALSE),"")</f>
        <v/>
      </c>
      <c r="AJ119" s="56" t="str">
        <f>IFERROR(VLOOKUP("Renewed Assets:"&amp;ROW(),'Handover Cost Report'!$A:$U,19,FALSE),"")</f>
        <v/>
      </c>
    </row>
    <row r="120" spans="2:36" s="3" customFormat="1" ht="12.75" x14ac:dyDescent="0.2">
      <c r="B120" s="47"/>
      <c r="C120" s="47"/>
      <c r="D120" s="47"/>
      <c r="E120" s="47"/>
      <c r="F120" s="47"/>
      <c r="G120" s="47"/>
      <c r="H120" s="47"/>
      <c r="I120" s="47"/>
      <c r="J120" s="48"/>
      <c r="K120" s="56">
        <f t="shared" si="7"/>
        <v>0</v>
      </c>
      <c r="L120" s="93" t="str">
        <f>IFERROR(VLOOKUP($F120,SC_Component!$B:$C,2,FALSE),"")</f>
        <v/>
      </c>
      <c r="M120" s="58"/>
      <c r="N120" s="59">
        <f t="shared" si="5"/>
        <v>0</v>
      </c>
      <c r="O120" s="59">
        <f t="shared" si="6"/>
        <v>0</v>
      </c>
      <c r="P120" s="47"/>
      <c r="Q120" s="47"/>
      <c r="R120" s="47"/>
      <c r="S120" s="58"/>
      <c r="T120" s="47"/>
      <c r="U120" s="47"/>
      <c r="V120" s="119"/>
      <c r="W120" s="119"/>
      <c r="X120" s="47"/>
      <c r="Y120" s="47"/>
      <c r="Z120" s="47"/>
      <c r="AA120" s="47"/>
      <c r="AB120" s="47"/>
      <c r="AC120" s="47"/>
      <c r="AD120" s="93" t="str">
        <f t="array" ref="AD120">IFERROR(IF($B120="Building","Buildings",INDEX(CoA_Schema[AsseticCategory],MATCH(1,(CoA_Schema[AssetType]=$D120)*(CoA_Schema[AssetClass]=$B120)*(CoA_Schema[AssetSubClass]=$C120)*(CoA_Schema[Title]=$F120),0),0)),"")</f>
        <v/>
      </c>
      <c r="AE120" s="93" t="str">
        <f t="array" ref="AE120">IFERROR(IF($B120="Building","Buildings",INDEX(CoA_Schema[FinancialClass],MATCH(1,(CoA_Schema[AssetType]=$D120)*(CoA_Schema[AssetClass]=$B120)*(CoA_Schema[AssetSubClass]=$C120),0),0)),"")</f>
        <v/>
      </c>
      <c r="AF120" s="93" t="str">
        <f t="array" ref="AF120">IFERROR(IF($B120="Building","Buildings",INDEX(CoA_Schema[FinancialSubClass],MATCH(1,(CoA_Schema[AssetType]=$D120)*(CoA_Schema[AssetClass]=$B120)*(CoA_Schema[AssetSubClass]=$C120),0),0)),"")</f>
        <v/>
      </c>
      <c r="AG120" s="93" t="str">
        <f>IFERROR(VLOOKUP($I120,UoM!$A:$C,2,FALSE),"")</f>
        <v/>
      </c>
      <c r="AH120" s="56" t="str">
        <f>IFERROR(VLOOKUP("Renewed Assets:"&amp;ROW(),'Handover Cost Report'!$A:$U,17,FALSE),"")</f>
        <v/>
      </c>
      <c r="AI120" s="56" t="str">
        <f>IFERROR(VLOOKUP("Renewed Assets:"&amp;ROW(),'Handover Cost Report'!$A:$U,18,FALSE),"")</f>
        <v/>
      </c>
      <c r="AJ120" s="56" t="str">
        <f>IFERROR(VLOOKUP("Renewed Assets:"&amp;ROW(),'Handover Cost Report'!$A:$U,19,FALSE),"")</f>
        <v/>
      </c>
    </row>
    <row r="121" spans="2:36" s="3" customFormat="1" ht="12.75" x14ac:dyDescent="0.2">
      <c r="B121" s="47"/>
      <c r="C121" s="47"/>
      <c r="D121" s="47"/>
      <c r="E121" s="47"/>
      <c r="F121" s="47"/>
      <c r="G121" s="47"/>
      <c r="H121" s="47"/>
      <c r="I121" s="47"/>
      <c r="J121" s="48"/>
      <c r="K121" s="56">
        <f t="shared" si="7"/>
        <v>0</v>
      </c>
      <c r="L121" s="93" t="str">
        <f>IFERROR(VLOOKUP($F121,SC_Component!$B:$C,2,FALSE),"")</f>
        <v/>
      </c>
      <c r="M121" s="58"/>
      <c r="N121" s="59">
        <f t="shared" si="5"/>
        <v>0</v>
      </c>
      <c r="O121" s="59">
        <f t="shared" si="6"/>
        <v>0</v>
      </c>
      <c r="P121" s="47"/>
      <c r="Q121" s="47"/>
      <c r="R121" s="47"/>
      <c r="S121" s="58"/>
      <c r="T121" s="47"/>
      <c r="U121" s="47"/>
      <c r="V121" s="119"/>
      <c r="W121" s="119"/>
      <c r="X121" s="47"/>
      <c r="Y121" s="47"/>
      <c r="Z121" s="47"/>
      <c r="AA121" s="47"/>
      <c r="AB121" s="47"/>
      <c r="AC121" s="47"/>
      <c r="AD121" s="93" t="str">
        <f t="array" ref="AD121">IFERROR(IF($B121="Building","Buildings",INDEX(CoA_Schema[AsseticCategory],MATCH(1,(CoA_Schema[AssetType]=$D121)*(CoA_Schema[AssetClass]=$B121)*(CoA_Schema[AssetSubClass]=$C121)*(CoA_Schema[Title]=$F121),0),0)),"")</f>
        <v/>
      </c>
      <c r="AE121" s="93" t="str">
        <f t="array" ref="AE121">IFERROR(IF($B121="Building","Buildings",INDEX(CoA_Schema[FinancialClass],MATCH(1,(CoA_Schema[AssetType]=$D121)*(CoA_Schema[AssetClass]=$B121)*(CoA_Schema[AssetSubClass]=$C121),0),0)),"")</f>
        <v/>
      </c>
      <c r="AF121" s="93" t="str">
        <f t="array" ref="AF121">IFERROR(IF($B121="Building","Buildings",INDEX(CoA_Schema[FinancialSubClass],MATCH(1,(CoA_Schema[AssetType]=$D121)*(CoA_Schema[AssetClass]=$B121)*(CoA_Schema[AssetSubClass]=$C121),0),0)),"")</f>
        <v/>
      </c>
      <c r="AG121" s="93" t="str">
        <f>IFERROR(VLOOKUP($I121,UoM!$A:$C,2,FALSE),"")</f>
        <v/>
      </c>
      <c r="AH121" s="56" t="str">
        <f>IFERROR(VLOOKUP("Renewed Assets:"&amp;ROW(),'Handover Cost Report'!$A:$U,17,FALSE),"")</f>
        <v/>
      </c>
      <c r="AI121" s="56" t="str">
        <f>IFERROR(VLOOKUP("Renewed Assets:"&amp;ROW(),'Handover Cost Report'!$A:$U,18,FALSE),"")</f>
        <v/>
      </c>
      <c r="AJ121" s="56" t="str">
        <f>IFERROR(VLOOKUP("Renewed Assets:"&amp;ROW(),'Handover Cost Report'!$A:$U,19,FALSE),"")</f>
        <v/>
      </c>
    </row>
    <row r="122" spans="2:36" s="3" customFormat="1" ht="12.75" x14ac:dyDescent="0.2">
      <c r="B122" s="47"/>
      <c r="C122" s="47"/>
      <c r="D122" s="47"/>
      <c r="E122" s="47"/>
      <c r="F122" s="47"/>
      <c r="G122" s="47"/>
      <c r="H122" s="47"/>
      <c r="I122" s="47"/>
      <c r="J122" s="48"/>
      <c r="K122" s="56">
        <f t="shared" si="7"/>
        <v>0</v>
      </c>
      <c r="L122" s="93" t="str">
        <f>IFERROR(VLOOKUP($F122,SC_Component!$B:$C,2,FALSE),"")</f>
        <v/>
      </c>
      <c r="M122" s="58"/>
      <c r="N122" s="59">
        <f t="shared" si="5"/>
        <v>0</v>
      </c>
      <c r="O122" s="59">
        <f t="shared" si="6"/>
        <v>0</v>
      </c>
      <c r="P122" s="47"/>
      <c r="Q122" s="47"/>
      <c r="R122" s="47"/>
      <c r="S122" s="58"/>
      <c r="T122" s="47"/>
      <c r="U122" s="47"/>
      <c r="V122" s="119"/>
      <c r="W122" s="119"/>
      <c r="X122" s="47"/>
      <c r="Y122" s="47"/>
      <c r="Z122" s="47"/>
      <c r="AA122" s="47"/>
      <c r="AB122" s="47"/>
      <c r="AC122" s="47"/>
      <c r="AD122" s="93" t="str">
        <f t="array" ref="AD122">IFERROR(IF($B122="Building","Buildings",INDEX(CoA_Schema[AsseticCategory],MATCH(1,(CoA_Schema[AssetType]=$D122)*(CoA_Schema[AssetClass]=$B122)*(CoA_Schema[AssetSubClass]=$C122)*(CoA_Schema[Title]=$F122),0),0)),"")</f>
        <v/>
      </c>
      <c r="AE122" s="93" t="str">
        <f t="array" ref="AE122">IFERROR(IF($B122="Building","Buildings",INDEX(CoA_Schema[FinancialClass],MATCH(1,(CoA_Schema[AssetType]=$D122)*(CoA_Schema[AssetClass]=$B122)*(CoA_Schema[AssetSubClass]=$C122),0),0)),"")</f>
        <v/>
      </c>
      <c r="AF122" s="93" t="str">
        <f t="array" ref="AF122">IFERROR(IF($B122="Building","Buildings",INDEX(CoA_Schema[FinancialSubClass],MATCH(1,(CoA_Schema[AssetType]=$D122)*(CoA_Schema[AssetClass]=$B122)*(CoA_Schema[AssetSubClass]=$C122),0),0)),"")</f>
        <v/>
      </c>
      <c r="AG122" s="93" t="str">
        <f>IFERROR(VLOOKUP($I122,UoM!$A:$C,2,FALSE),"")</f>
        <v/>
      </c>
      <c r="AH122" s="56" t="str">
        <f>IFERROR(VLOOKUP("Renewed Assets:"&amp;ROW(),'Handover Cost Report'!$A:$U,17,FALSE),"")</f>
        <v/>
      </c>
      <c r="AI122" s="56" t="str">
        <f>IFERROR(VLOOKUP("Renewed Assets:"&amp;ROW(),'Handover Cost Report'!$A:$U,18,FALSE),"")</f>
        <v/>
      </c>
      <c r="AJ122" s="56" t="str">
        <f>IFERROR(VLOOKUP("Renewed Assets:"&amp;ROW(),'Handover Cost Report'!$A:$U,19,FALSE),"")</f>
        <v/>
      </c>
    </row>
    <row r="123" spans="2:36" s="3" customFormat="1" ht="12.75" x14ac:dyDescent="0.2">
      <c r="B123" s="47"/>
      <c r="C123" s="47"/>
      <c r="D123" s="47"/>
      <c r="E123" s="47"/>
      <c r="F123" s="47"/>
      <c r="G123" s="47"/>
      <c r="H123" s="47"/>
      <c r="I123" s="47"/>
      <c r="J123" s="48"/>
      <c r="K123" s="56">
        <f t="shared" si="7"/>
        <v>0</v>
      </c>
      <c r="L123" s="93" t="str">
        <f>IFERROR(VLOOKUP($F123,SC_Component!$B:$C,2,FALSE),"")</f>
        <v/>
      </c>
      <c r="M123" s="58"/>
      <c r="N123" s="59">
        <f t="shared" si="5"/>
        <v>0</v>
      </c>
      <c r="O123" s="59">
        <f t="shared" si="6"/>
        <v>0</v>
      </c>
      <c r="P123" s="47"/>
      <c r="Q123" s="47"/>
      <c r="R123" s="47"/>
      <c r="S123" s="58"/>
      <c r="T123" s="47"/>
      <c r="U123" s="47"/>
      <c r="V123" s="119"/>
      <c r="W123" s="119"/>
      <c r="X123" s="47"/>
      <c r="Y123" s="47"/>
      <c r="Z123" s="47"/>
      <c r="AA123" s="47"/>
      <c r="AB123" s="47"/>
      <c r="AC123" s="47"/>
      <c r="AD123" s="93" t="str">
        <f t="array" ref="AD123">IFERROR(IF($B123="Building","Buildings",INDEX(CoA_Schema[AsseticCategory],MATCH(1,(CoA_Schema[AssetType]=$D123)*(CoA_Schema[AssetClass]=$B123)*(CoA_Schema[AssetSubClass]=$C123)*(CoA_Schema[Title]=$F123),0),0)),"")</f>
        <v/>
      </c>
      <c r="AE123" s="93" t="str">
        <f t="array" ref="AE123">IFERROR(IF($B123="Building","Buildings",INDEX(CoA_Schema[FinancialClass],MATCH(1,(CoA_Schema[AssetType]=$D123)*(CoA_Schema[AssetClass]=$B123)*(CoA_Schema[AssetSubClass]=$C123),0),0)),"")</f>
        <v/>
      </c>
      <c r="AF123" s="93" t="str">
        <f t="array" ref="AF123">IFERROR(IF($B123="Building","Buildings",INDEX(CoA_Schema[FinancialSubClass],MATCH(1,(CoA_Schema[AssetType]=$D123)*(CoA_Schema[AssetClass]=$B123)*(CoA_Schema[AssetSubClass]=$C123),0),0)),"")</f>
        <v/>
      </c>
      <c r="AG123" s="93" t="str">
        <f>IFERROR(VLOOKUP($I123,UoM!$A:$C,2,FALSE),"")</f>
        <v/>
      </c>
      <c r="AH123" s="56" t="str">
        <f>IFERROR(VLOOKUP("Renewed Assets:"&amp;ROW(),'Handover Cost Report'!$A:$U,17,FALSE),"")</f>
        <v/>
      </c>
      <c r="AI123" s="56" t="str">
        <f>IFERROR(VLOOKUP("Renewed Assets:"&amp;ROW(),'Handover Cost Report'!$A:$U,18,FALSE),"")</f>
        <v/>
      </c>
      <c r="AJ123" s="56" t="str">
        <f>IFERROR(VLOOKUP("Renewed Assets:"&amp;ROW(),'Handover Cost Report'!$A:$U,19,FALSE),"")</f>
        <v/>
      </c>
    </row>
    <row r="124" spans="2:36" s="3" customFormat="1" ht="12.75" x14ac:dyDescent="0.2">
      <c r="B124" s="47"/>
      <c r="C124" s="47"/>
      <c r="D124" s="47"/>
      <c r="E124" s="47"/>
      <c r="F124" s="47"/>
      <c r="G124" s="47"/>
      <c r="H124" s="47"/>
      <c r="I124" s="47"/>
      <c r="J124" s="48"/>
      <c r="K124" s="56">
        <f t="shared" si="7"/>
        <v>0</v>
      </c>
      <c r="L124" s="93" t="str">
        <f>IFERROR(VLOOKUP($F124,SC_Component!$B:$C,2,FALSE),"")</f>
        <v/>
      </c>
      <c r="M124" s="58"/>
      <c r="N124" s="59">
        <f t="shared" si="5"/>
        <v>0</v>
      </c>
      <c r="O124" s="59">
        <f t="shared" si="6"/>
        <v>0</v>
      </c>
      <c r="P124" s="47"/>
      <c r="Q124" s="47"/>
      <c r="R124" s="47"/>
      <c r="S124" s="58"/>
      <c r="T124" s="47"/>
      <c r="U124" s="47"/>
      <c r="V124" s="119"/>
      <c r="W124" s="119"/>
      <c r="X124" s="47"/>
      <c r="Y124" s="47"/>
      <c r="Z124" s="47"/>
      <c r="AA124" s="47"/>
      <c r="AB124" s="47"/>
      <c r="AC124" s="47"/>
      <c r="AD124" s="93" t="str">
        <f t="array" ref="AD124">IFERROR(IF($B124="Building","Buildings",INDEX(CoA_Schema[AsseticCategory],MATCH(1,(CoA_Schema[AssetType]=$D124)*(CoA_Schema[AssetClass]=$B124)*(CoA_Schema[AssetSubClass]=$C124)*(CoA_Schema[Title]=$F124),0),0)),"")</f>
        <v/>
      </c>
      <c r="AE124" s="93" t="str">
        <f t="array" ref="AE124">IFERROR(IF($B124="Building","Buildings",INDEX(CoA_Schema[FinancialClass],MATCH(1,(CoA_Schema[AssetType]=$D124)*(CoA_Schema[AssetClass]=$B124)*(CoA_Schema[AssetSubClass]=$C124),0),0)),"")</f>
        <v/>
      </c>
      <c r="AF124" s="93" t="str">
        <f t="array" ref="AF124">IFERROR(IF($B124="Building","Buildings",INDEX(CoA_Schema[FinancialSubClass],MATCH(1,(CoA_Schema[AssetType]=$D124)*(CoA_Schema[AssetClass]=$B124)*(CoA_Schema[AssetSubClass]=$C124),0),0)),"")</f>
        <v/>
      </c>
      <c r="AG124" s="93" t="str">
        <f>IFERROR(VLOOKUP($I124,UoM!$A:$C,2,FALSE),"")</f>
        <v/>
      </c>
      <c r="AH124" s="56" t="str">
        <f>IFERROR(VLOOKUP("Renewed Assets:"&amp;ROW(),'Handover Cost Report'!$A:$U,17,FALSE),"")</f>
        <v/>
      </c>
      <c r="AI124" s="56" t="str">
        <f>IFERROR(VLOOKUP("Renewed Assets:"&amp;ROW(),'Handover Cost Report'!$A:$U,18,FALSE),"")</f>
        <v/>
      </c>
      <c r="AJ124" s="56" t="str">
        <f>IFERROR(VLOOKUP("Renewed Assets:"&amp;ROW(),'Handover Cost Report'!$A:$U,19,FALSE),"")</f>
        <v/>
      </c>
    </row>
    <row r="125" spans="2:36" s="3" customFormat="1" ht="12.75" x14ac:dyDescent="0.2">
      <c r="B125" s="47"/>
      <c r="C125" s="47"/>
      <c r="D125" s="47"/>
      <c r="E125" s="47"/>
      <c r="F125" s="47"/>
      <c r="G125" s="47"/>
      <c r="H125" s="47"/>
      <c r="I125" s="47"/>
      <c r="J125" s="48"/>
      <c r="K125" s="56">
        <f t="shared" si="7"/>
        <v>0</v>
      </c>
      <c r="L125" s="93" t="str">
        <f>IFERROR(VLOOKUP($F125,SC_Component!$B:$C,2,FALSE),"")</f>
        <v/>
      </c>
      <c r="M125" s="58"/>
      <c r="N125" s="59">
        <f t="shared" si="5"/>
        <v>0</v>
      </c>
      <c r="O125" s="59">
        <f t="shared" si="6"/>
        <v>0</v>
      </c>
      <c r="P125" s="47"/>
      <c r="Q125" s="47"/>
      <c r="R125" s="47"/>
      <c r="S125" s="58"/>
      <c r="T125" s="47"/>
      <c r="U125" s="47"/>
      <c r="V125" s="119"/>
      <c r="W125" s="119"/>
      <c r="X125" s="47"/>
      <c r="Y125" s="47"/>
      <c r="Z125" s="47"/>
      <c r="AA125" s="47"/>
      <c r="AB125" s="47"/>
      <c r="AC125" s="47"/>
      <c r="AD125" s="93" t="str">
        <f t="array" ref="AD125">IFERROR(IF($B125="Building","Buildings",INDEX(CoA_Schema[AsseticCategory],MATCH(1,(CoA_Schema[AssetType]=$D125)*(CoA_Schema[AssetClass]=$B125)*(CoA_Schema[AssetSubClass]=$C125)*(CoA_Schema[Title]=$F125),0),0)),"")</f>
        <v/>
      </c>
      <c r="AE125" s="93" t="str">
        <f t="array" ref="AE125">IFERROR(IF($B125="Building","Buildings",INDEX(CoA_Schema[FinancialClass],MATCH(1,(CoA_Schema[AssetType]=$D125)*(CoA_Schema[AssetClass]=$B125)*(CoA_Schema[AssetSubClass]=$C125),0),0)),"")</f>
        <v/>
      </c>
      <c r="AF125" s="93" t="str">
        <f t="array" ref="AF125">IFERROR(IF($B125="Building","Buildings",INDEX(CoA_Schema[FinancialSubClass],MATCH(1,(CoA_Schema[AssetType]=$D125)*(CoA_Schema[AssetClass]=$B125)*(CoA_Schema[AssetSubClass]=$C125),0),0)),"")</f>
        <v/>
      </c>
      <c r="AG125" s="93" t="str">
        <f>IFERROR(VLOOKUP($I125,UoM!$A:$C,2,FALSE),"")</f>
        <v/>
      </c>
      <c r="AH125" s="56" t="str">
        <f>IFERROR(VLOOKUP("Renewed Assets:"&amp;ROW(),'Handover Cost Report'!$A:$U,17,FALSE),"")</f>
        <v/>
      </c>
      <c r="AI125" s="56" t="str">
        <f>IFERROR(VLOOKUP("Renewed Assets:"&amp;ROW(),'Handover Cost Report'!$A:$U,18,FALSE),"")</f>
        <v/>
      </c>
      <c r="AJ125" s="56" t="str">
        <f>IFERROR(VLOOKUP("Renewed Assets:"&amp;ROW(),'Handover Cost Report'!$A:$U,19,FALSE),"")</f>
        <v/>
      </c>
    </row>
    <row r="126" spans="2:36" s="3" customFormat="1" ht="12.75" x14ac:dyDescent="0.2">
      <c r="B126" s="47"/>
      <c r="C126" s="47"/>
      <c r="D126" s="47"/>
      <c r="E126" s="47"/>
      <c r="F126" s="47"/>
      <c r="G126" s="47"/>
      <c r="H126" s="47"/>
      <c r="I126" s="47"/>
      <c r="J126" s="48"/>
      <c r="K126" s="56">
        <f t="shared" si="7"/>
        <v>0</v>
      </c>
      <c r="L126" s="93" t="str">
        <f>IFERROR(VLOOKUP($F126,SC_Component!$B:$C,2,FALSE),"")</f>
        <v/>
      </c>
      <c r="M126" s="58"/>
      <c r="N126" s="59">
        <f t="shared" si="5"/>
        <v>0</v>
      </c>
      <c r="O126" s="59">
        <f t="shared" si="6"/>
        <v>0</v>
      </c>
      <c r="P126" s="47"/>
      <c r="Q126" s="47"/>
      <c r="R126" s="47"/>
      <c r="S126" s="58"/>
      <c r="T126" s="47"/>
      <c r="U126" s="47"/>
      <c r="V126" s="119"/>
      <c r="W126" s="119"/>
      <c r="X126" s="47"/>
      <c r="Y126" s="47"/>
      <c r="Z126" s="47"/>
      <c r="AA126" s="47"/>
      <c r="AB126" s="47"/>
      <c r="AC126" s="47"/>
      <c r="AD126" s="93" t="str">
        <f t="array" ref="AD126">IFERROR(IF($B126="Building","Buildings",INDEX(CoA_Schema[AsseticCategory],MATCH(1,(CoA_Schema[AssetType]=$D126)*(CoA_Schema[AssetClass]=$B126)*(CoA_Schema[AssetSubClass]=$C126)*(CoA_Schema[Title]=$F126),0),0)),"")</f>
        <v/>
      </c>
      <c r="AE126" s="93" t="str">
        <f t="array" ref="AE126">IFERROR(IF($B126="Building","Buildings",INDEX(CoA_Schema[FinancialClass],MATCH(1,(CoA_Schema[AssetType]=$D126)*(CoA_Schema[AssetClass]=$B126)*(CoA_Schema[AssetSubClass]=$C126),0),0)),"")</f>
        <v/>
      </c>
      <c r="AF126" s="93" t="str">
        <f t="array" ref="AF126">IFERROR(IF($B126="Building","Buildings",INDEX(CoA_Schema[FinancialSubClass],MATCH(1,(CoA_Schema[AssetType]=$D126)*(CoA_Schema[AssetClass]=$B126)*(CoA_Schema[AssetSubClass]=$C126),0),0)),"")</f>
        <v/>
      </c>
      <c r="AG126" s="93" t="str">
        <f>IFERROR(VLOOKUP($I126,UoM!$A:$C,2,FALSE),"")</f>
        <v/>
      </c>
      <c r="AH126" s="56" t="str">
        <f>IFERROR(VLOOKUP("Renewed Assets:"&amp;ROW(),'Handover Cost Report'!$A:$U,17,FALSE),"")</f>
        <v/>
      </c>
      <c r="AI126" s="56" t="str">
        <f>IFERROR(VLOOKUP("Renewed Assets:"&amp;ROW(),'Handover Cost Report'!$A:$U,18,FALSE),"")</f>
        <v/>
      </c>
      <c r="AJ126" s="56" t="str">
        <f>IFERROR(VLOOKUP("Renewed Assets:"&amp;ROW(),'Handover Cost Report'!$A:$U,19,FALSE),"")</f>
        <v/>
      </c>
    </row>
    <row r="127" spans="2:36" s="3" customFormat="1" ht="12.75" x14ac:dyDescent="0.2">
      <c r="B127" s="47"/>
      <c r="C127" s="47"/>
      <c r="D127" s="47"/>
      <c r="E127" s="47"/>
      <c r="F127" s="47"/>
      <c r="G127" s="47"/>
      <c r="H127" s="47"/>
      <c r="I127" s="47"/>
      <c r="J127" s="48"/>
      <c r="K127" s="56">
        <f t="shared" si="7"/>
        <v>0</v>
      </c>
      <c r="L127" s="93" t="str">
        <f>IFERROR(VLOOKUP($F127,SC_Component!$B:$C,2,FALSE),"")</f>
        <v/>
      </c>
      <c r="M127" s="58"/>
      <c r="N127" s="59">
        <f t="shared" si="5"/>
        <v>0</v>
      </c>
      <c r="O127" s="59">
        <f t="shared" si="6"/>
        <v>0</v>
      </c>
      <c r="P127" s="47"/>
      <c r="Q127" s="47"/>
      <c r="R127" s="47"/>
      <c r="S127" s="58"/>
      <c r="T127" s="47"/>
      <c r="U127" s="47"/>
      <c r="V127" s="119"/>
      <c r="W127" s="119"/>
      <c r="X127" s="47"/>
      <c r="Y127" s="47"/>
      <c r="Z127" s="47"/>
      <c r="AA127" s="47"/>
      <c r="AB127" s="47"/>
      <c r="AC127" s="47"/>
      <c r="AD127" s="93" t="str">
        <f t="array" ref="AD127">IFERROR(IF($B127="Building","Buildings",INDEX(CoA_Schema[AsseticCategory],MATCH(1,(CoA_Schema[AssetType]=$D127)*(CoA_Schema[AssetClass]=$B127)*(CoA_Schema[AssetSubClass]=$C127)*(CoA_Schema[Title]=$F127),0),0)),"")</f>
        <v/>
      </c>
      <c r="AE127" s="93" t="str">
        <f t="array" ref="AE127">IFERROR(IF($B127="Building","Buildings",INDEX(CoA_Schema[FinancialClass],MATCH(1,(CoA_Schema[AssetType]=$D127)*(CoA_Schema[AssetClass]=$B127)*(CoA_Schema[AssetSubClass]=$C127),0),0)),"")</f>
        <v/>
      </c>
      <c r="AF127" s="93" t="str">
        <f t="array" ref="AF127">IFERROR(IF($B127="Building","Buildings",INDEX(CoA_Schema[FinancialSubClass],MATCH(1,(CoA_Schema[AssetType]=$D127)*(CoA_Schema[AssetClass]=$B127)*(CoA_Schema[AssetSubClass]=$C127),0),0)),"")</f>
        <v/>
      </c>
      <c r="AG127" s="93" t="str">
        <f>IFERROR(VLOOKUP($I127,UoM!$A:$C,2,FALSE),"")</f>
        <v/>
      </c>
      <c r="AH127" s="56" t="str">
        <f>IFERROR(VLOOKUP("Renewed Assets:"&amp;ROW(),'Handover Cost Report'!$A:$U,17,FALSE),"")</f>
        <v/>
      </c>
      <c r="AI127" s="56" t="str">
        <f>IFERROR(VLOOKUP("Renewed Assets:"&amp;ROW(),'Handover Cost Report'!$A:$U,18,FALSE),"")</f>
        <v/>
      </c>
      <c r="AJ127" s="56" t="str">
        <f>IFERROR(VLOOKUP("Renewed Assets:"&amp;ROW(),'Handover Cost Report'!$A:$U,19,FALSE),"")</f>
        <v/>
      </c>
    </row>
    <row r="128" spans="2:36" s="3" customFormat="1" ht="12.75" x14ac:dyDescent="0.2">
      <c r="B128" s="47"/>
      <c r="C128" s="47"/>
      <c r="D128" s="47"/>
      <c r="E128" s="47"/>
      <c r="F128" s="47"/>
      <c r="G128" s="47"/>
      <c r="H128" s="47"/>
      <c r="I128" s="47"/>
      <c r="J128" s="48"/>
      <c r="K128" s="56">
        <f t="shared" si="7"/>
        <v>0</v>
      </c>
      <c r="L128" s="93" t="str">
        <f>IFERROR(VLOOKUP($F128,SC_Component!$B:$C,2,FALSE),"")</f>
        <v/>
      </c>
      <c r="M128" s="58"/>
      <c r="N128" s="59">
        <f t="shared" si="5"/>
        <v>0</v>
      </c>
      <c r="O128" s="59">
        <f t="shared" si="6"/>
        <v>0</v>
      </c>
      <c r="P128" s="47"/>
      <c r="Q128" s="47"/>
      <c r="R128" s="47"/>
      <c r="S128" s="58"/>
      <c r="T128" s="47"/>
      <c r="U128" s="47"/>
      <c r="V128" s="119"/>
      <c r="W128" s="119"/>
      <c r="X128" s="47"/>
      <c r="Y128" s="47"/>
      <c r="Z128" s="47"/>
      <c r="AA128" s="47"/>
      <c r="AB128" s="47"/>
      <c r="AC128" s="47"/>
      <c r="AD128" s="93" t="str">
        <f t="array" ref="AD128">IFERROR(IF($B128="Building","Buildings",INDEX(CoA_Schema[AsseticCategory],MATCH(1,(CoA_Schema[AssetType]=$D128)*(CoA_Schema[AssetClass]=$B128)*(CoA_Schema[AssetSubClass]=$C128)*(CoA_Schema[Title]=$F128),0),0)),"")</f>
        <v/>
      </c>
      <c r="AE128" s="93" t="str">
        <f t="array" ref="AE128">IFERROR(IF($B128="Building","Buildings",INDEX(CoA_Schema[FinancialClass],MATCH(1,(CoA_Schema[AssetType]=$D128)*(CoA_Schema[AssetClass]=$B128)*(CoA_Schema[AssetSubClass]=$C128),0),0)),"")</f>
        <v/>
      </c>
      <c r="AF128" s="93" t="str">
        <f t="array" ref="AF128">IFERROR(IF($B128="Building","Buildings",INDEX(CoA_Schema[FinancialSubClass],MATCH(1,(CoA_Schema[AssetType]=$D128)*(CoA_Schema[AssetClass]=$B128)*(CoA_Schema[AssetSubClass]=$C128),0),0)),"")</f>
        <v/>
      </c>
      <c r="AG128" s="93" t="str">
        <f>IFERROR(VLOOKUP($I128,UoM!$A:$C,2,FALSE),"")</f>
        <v/>
      </c>
      <c r="AH128" s="56" t="str">
        <f>IFERROR(VLOOKUP("Renewed Assets:"&amp;ROW(),'Handover Cost Report'!$A:$U,17,FALSE),"")</f>
        <v/>
      </c>
      <c r="AI128" s="56" t="str">
        <f>IFERROR(VLOOKUP("Renewed Assets:"&amp;ROW(),'Handover Cost Report'!$A:$U,18,FALSE),"")</f>
        <v/>
      </c>
      <c r="AJ128" s="56" t="str">
        <f>IFERROR(VLOOKUP("Renewed Assets:"&amp;ROW(),'Handover Cost Report'!$A:$U,19,FALSE),"")</f>
        <v/>
      </c>
    </row>
    <row r="129" spans="2:36" s="3" customFormat="1" ht="12.75" x14ac:dyDescent="0.2">
      <c r="B129" s="47"/>
      <c r="C129" s="47"/>
      <c r="D129" s="47"/>
      <c r="E129" s="47"/>
      <c r="F129" s="47"/>
      <c r="G129" s="47"/>
      <c r="H129" s="47"/>
      <c r="I129" s="47"/>
      <c r="J129" s="48"/>
      <c r="K129" s="56">
        <f t="shared" si="7"/>
        <v>0</v>
      </c>
      <c r="L129" s="93" t="str">
        <f>IFERROR(VLOOKUP($F129,SC_Component!$B:$C,2,FALSE),"")</f>
        <v/>
      </c>
      <c r="M129" s="58"/>
      <c r="N129" s="59">
        <f t="shared" si="5"/>
        <v>0</v>
      </c>
      <c r="O129" s="59">
        <f t="shared" si="6"/>
        <v>0</v>
      </c>
      <c r="P129" s="47"/>
      <c r="Q129" s="47"/>
      <c r="R129" s="47"/>
      <c r="S129" s="58"/>
      <c r="T129" s="47"/>
      <c r="U129" s="47"/>
      <c r="V129" s="119"/>
      <c r="W129" s="119"/>
      <c r="X129" s="47"/>
      <c r="Y129" s="47"/>
      <c r="Z129" s="47"/>
      <c r="AA129" s="47"/>
      <c r="AB129" s="47"/>
      <c r="AC129" s="47"/>
      <c r="AD129" s="93" t="str">
        <f t="array" ref="AD129">IFERROR(IF($B129="Building","Buildings",INDEX(CoA_Schema[AsseticCategory],MATCH(1,(CoA_Schema[AssetType]=$D129)*(CoA_Schema[AssetClass]=$B129)*(CoA_Schema[AssetSubClass]=$C129)*(CoA_Schema[Title]=$F129),0),0)),"")</f>
        <v/>
      </c>
      <c r="AE129" s="93" t="str">
        <f t="array" ref="AE129">IFERROR(IF($B129="Building","Buildings",INDEX(CoA_Schema[FinancialClass],MATCH(1,(CoA_Schema[AssetType]=$D129)*(CoA_Schema[AssetClass]=$B129)*(CoA_Schema[AssetSubClass]=$C129),0),0)),"")</f>
        <v/>
      </c>
      <c r="AF129" s="93" t="str">
        <f t="array" ref="AF129">IFERROR(IF($B129="Building","Buildings",INDEX(CoA_Schema[FinancialSubClass],MATCH(1,(CoA_Schema[AssetType]=$D129)*(CoA_Schema[AssetClass]=$B129)*(CoA_Schema[AssetSubClass]=$C129),0),0)),"")</f>
        <v/>
      </c>
      <c r="AG129" s="93" t="str">
        <f>IFERROR(VLOOKUP($I129,UoM!$A:$C,2,FALSE),"")</f>
        <v/>
      </c>
      <c r="AH129" s="56" t="str">
        <f>IFERROR(VLOOKUP("Renewed Assets:"&amp;ROW(),'Handover Cost Report'!$A:$U,17,FALSE),"")</f>
        <v/>
      </c>
      <c r="AI129" s="56" t="str">
        <f>IFERROR(VLOOKUP("Renewed Assets:"&amp;ROW(),'Handover Cost Report'!$A:$U,18,FALSE),"")</f>
        <v/>
      </c>
      <c r="AJ129" s="56" t="str">
        <f>IFERROR(VLOOKUP("Renewed Assets:"&amp;ROW(),'Handover Cost Report'!$A:$U,19,FALSE),"")</f>
        <v/>
      </c>
    </row>
    <row r="130" spans="2:36" s="3" customFormat="1" ht="12.75" x14ac:dyDescent="0.2">
      <c r="B130" s="47"/>
      <c r="C130" s="47"/>
      <c r="D130" s="47"/>
      <c r="E130" s="47"/>
      <c r="F130" s="47"/>
      <c r="G130" s="47"/>
      <c r="H130" s="47"/>
      <c r="I130" s="47"/>
      <c r="J130" s="48"/>
      <c r="K130" s="56">
        <f t="shared" si="7"/>
        <v>0</v>
      </c>
      <c r="L130" s="93" t="str">
        <f>IFERROR(VLOOKUP($F130,SC_Component!$B:$C,2,FALSE),"")</f>
        <v/>
      </c>
      <c r="M130" s="58"/>
      <c r="N130" s="59">
        <f t="shared" si="5"/>
        <v>0</v>
      </c>
      <c r="O130" s="59">
        <f t="shared" si="6"/>
        <v>0</v>
      </c>
      <c r="P130" s="47"/>
      <c r="Q130" s="47"/>
      <c r="R130" s="47"/>
      <c r="S130" s="58"/>
      <c r="T130" s="47"/>
      <c r="U130" s="47"/>
      <c r="V130" s="119"/>
      <c r="W130" s="119"/>
      <c r="X130" s="47"/>
      <c r="Y130" s="47"/>
      <c r="Z130" s="47"/>
      <c r="AA130" s="47"/>
      <c r="AB130" s="47"/>
      <c r="AC130" s="47"/>
      <c r="AD130" s="93" t="str">
        <f t="array" ref="AD130">IFERROR(IF($B130="Building","Buildings",INDEX(CoA_Schema[AsseticCategory],MATCH(1,(CoA_Schema[AssetType]=$D130)*(CoA_Schema[AssetClass]=$B130)*(CoA_Schema[AssetSubClass]=$C130)*(CoA_Schema[Title]=$F130),0),0)),"")</f>
        <v/>
      </c>
      <c r="AE130" s="93" t="str">
        <f t="array" ref="AE130">IFERROR(IF($B130="Building","Buildings",INDEX(CoA_Schema[FinancialClass],MATCH(1,(CoA_Schema[AssetType]=$D130)*(CoA_Schema[AssetClass]=$B130)*(CoA_Schema[AssetSubClass]=$C130),0),0)),"")</f>
        <v/>
      </c>
      <c r="AF130" s="93" t="str">
        <f t="array" ref="AF130">IFERROR(IF($B130="Building","Buildings",INDEX(CoA_Schema[FinancialSubClass],MATCH(1,(CoA_Schema[AssetType]=$D130)*(CoA_Schema[AssetClass]=$B130)*(CoA_Schema[AssetSubClass]=$C130),0),0)),"")</f>
        <v/>
      </c>
      <c r="AG130" s="93" t="str">
        <f>IFERROR(VLOOKUP($I130,UoM!$A:$C,2,FALSE),"")</f>
        <v/>
      </c>
      <c r="AH130" s="56" t="str">
        <f>IFERROR(VLOOKUP("Renewed Assets:"&amp;ROW(),'Handover Cost Report'!$A:$U,17,FALSE),"")</f>
        <v/>
      </c>
      <c r="AI130" s="56" t="str">
        <f>IFERROR(VLOOKUP("Renewed Assets:"&amp;ROW(),'Handover Cost Report'!$A:$U,18,FALSE),"")</f>
        <v/>
      </c>
      <c r="AJ130" s="56" t="str">
        <f>IFERROR(VLOOKUP("Renewed Assets:"&amp;ROW(),'Handover Cost Report'!$A:$U,19,FALSE),"")</f>
        <v/>
      </c>
    </row>
    <row r="131" spans="2:36" s="3" customFormat="1" ht="12.75" x14ac:dyDescent="0.2">
      <c r="B131" s="47"/>
      <c r="C131" s="47"/>
      <c r="D131" s="47"/>
      <c r="E131" s="47"/>
      <c r="F131" s="47"/>
      <c r="G131" s="47"/>
      <c r="H131" s="47"/>
      <c r="I131" s="47"/>
      <c r="J131" s="48"/>
      <c r="K131" s="56">
        <f t="shared" si="7"/>
        <v>0</v>
      </c>
      <c r="L131" s="93" t="str">
        <f>IFERROR(VLOOKUP($F131,SC_Component!$B:$C,2,FALSE),"")</f>
        <v/>
      </c>
      <c r="M131" s="58"/>
      <c r="N131" s="59">
        <f t="shared" si="5"/>
        <v>0</v>
      </c>
      <c r="O131" s="59">
        <f t="shared" si="6"/>
        <v>0</v>
      </c>
      <c r="P131" s="47"/>
      <c r="Q131" s="47"/>
      <c r="R131" s="47"/>
      <c r="S131" s="58"/>
      <c r="T131" s="47"/>
      <c r="U131" s="47"/>
      <c r="V131" s="119"/>
      <c r="W131" s="119"/>
      <c r="X131" s="47"/>
      <c r="Y131" s="47"/>
      <c r="Z131" s="47"/>
      <c r="AA131" s="47"/>
      <c r="AB131" s="47"/>
      <c r="AC131" s="47"/>
      <c r="AD131" s="93" t="str">
        <f t="array" ref="AD131">IFERROR(IF($B131="Building","Buildings",INDEX(CoA_Schema[AsseticCategory],MATCH(1,(CoA_Schema[AssetType]=$D131)*(CoA_Schema[AssetClass]=$B131)*(CoA_Schema[AssetSubClass]=$C131)*(CoA_Schema[Title]=$F131),0),0)),"")</f>
        <v/>
      </c>
      <c r="AE131" s="93" t="str">
        <f t="array" ref="AE131">IFERROR(IF($B131="Building","Buildings",INDEX(CoA_Schema[FinancialClass],MATCH(1,(CoA_Schema[AssetType]=$D131)*(CoA_Schema[AssetClass]=$B131)*(CoA_Schema[AssetSubClass]=$C131),0),0)),"")</f>
        <v/>
      </c>
      <c r="AF131" s="93" t="str">
        <f t="array" ref="AF131">IFERROR(IF($B131="Building","Buildings",INDEX(CoA_Schema[FinancialSubClass],MATCH(1,(CoA_Schema[AssetType]=$D131)*(CoA_Schema[AssetClass]=$B131)*(CoA_Schema[AssetSubClass]=$C131),0),0)),"")</f>
        <v/>
      </c>
      <c r="AG131" s="93" t="str">
        <f>IFERROR(VLOOKUP($I131,UoM!$A:$C,2,FALSE),"")</f>
        <v/>
      </c>
      <c r="AH131" s="56" t="str">
        <f>IFERROR(VLOOKUP("Renewed Assets:"&amp;ROW(),'Handover Cost Report'!$A:$U,17,FALSE),"")</f>
        <v/>
      </c>
      <c r="AI131" s="56" t="str">
        <f>IFERROR(VLOOKUP("Renewed Assets:"&amp;ROW(),'Handover Cost Report'!$A:$U,18,FALSE),"")</f>
        <v/>
      </c>
      <c r="AJ131" s="56" t="str">
        <f>IFERROR(VLOOKUP("Renewed Assets:"&amp;ROW(),'Handover Cost Report'!$A:$U,19,FALSE),"")</f>
        <v/>
      </c>
    </row>
    <row r="132" spans="2:36" s="3" customFormat="1" ht="12.75" x14ac:dyDescent="0.2">
      <c r="B132" s="47"/>
      <c r="C132" s="47"/>
      <c r="D132" s="47"/>
      <c r="E132" s="47"/>
      <c r="F132" s="47"/>
      <c r="G132" s="47"/>
      <c r="H132" s="47"/>
      <c r="I132" s="47"/>
      <c r="J132" s="48"/>
      <c r="K132" s="56">
        <f t="shared" si="7"/>
        <v>0</v>
      </c>
      <c r="L132" s="93" t="str">
        <f>IFERROR(VLOOKUP($F132,SC_Component!$B:$C,2,FALSE),"")</f>
        <v/>
      </c>
      <c r="M132" s="58"/>
      <c r="N132" s="59">
        <f t="shared" si="5"/>
        <v>0</v>
      </c>
      <c r="O132" s="59">
        <f t="shared" si="6"/>
        <v>0</v>
      </c>
      <c r="P132" s="47"/>
      <c r="Q132" s="47"/>
      <c r="R132" s="47"/>
      <c r="S132" s="58"/>
      <c r="T132" s="47"/>
      <c r="U132" s="47"/>
      <c r="V132" s="119"/>
      <c r="W132" s="119"/>
      <c r="X132" s="47"/>
      <c r="Y132" s="47"/>
      <c r="Z132" s="47"/>
      <c r="AA132" s="47"/>
      <c r="AB132" s="47"/>
      <c r="AC132" s="47"/>
      <c r="AD132" s="93" t="str">
        <f t="array" ref="AD132">IFERROR(IF($B132="Building","Buildings",INDEX(CoA_Schema[AsseticCategory],MATCH(1,(CoA_Schema[AssetType]=$D132)*(CoA_Schema[AssetClass]=$B132)*(CoA_Schema[AssetSubClass]=$C132)*(CoA_Schema[Title]=$F132),0),0)),"")</f>
        <v/>
      </c>
      <c r="AE132" s="93" t="str">
        <f t="array" ref="AE132">IFERROR(IF($B132="Building","Buildings",INDEX(CoA_Schema[FinancialClass],MATCH(1,(CoA_Schema[AssetType]=$D132)*(CoA_Schema[AssetClass]=$B132)*(CoA_Schema[AssetSubClass]=$C132),0),0)),"")</f>
        <v/>
      </c>
      <c r="AF132" s="93" t="str">
        <f t="array" ref="AF132">IFERROR(IF($B132="Building","Buildings",INDEX(CoA_Schema[FinancialSubClass],MATCH(1,(CoA_Schema[AssetType]=$D132)*(CoA_Schema[AssetClass]=$B132)*(CoA_Schema[AssetSubClass]=$C132),0),0)),"")</f>
        <v/>
      </c>
      <c r="AG132" s="93" t="str">
        <f>IFERROR(VLOOKUP($I132,UoM!$A:$C,2,FALSE),"")</f>
        <v/>
      </c>
      <c r="AH132" s="56" t="str">
        <f>IFERROR(VLOOKUP("Renewed Assets:"&amp;ROW(),'Handover Cost Report'!$A:$U,17,FALSE),"")</f>
        <v/>
      </c>
      <c r="AI132" s="56" t="str">
        <f>IFERROR(VLOOKUP("Renewed Assets:"&amp;ROW(),'Handover Cost Report'!$A:$U,18,FALSE),"")</f>
        <v/>
      </c>
      <c r="AJ132" s="56" t="str">
        <f>IFERROR(VLOOKUP("Renewed Assets:"&amp;ROW(),'Handover Cost Report'!$A:$U,19,FALSE),"")</f>
        <v/>
      </c>
    </row>
    <row r="133" spans="2:36" s="3" customFormat="1" ht="12.75" x14ac:dyDescent="0.2">
      <c r="B133" s="47"/>
      <c r="C133" s="47"/>
      <c r="D133" s="47"/>
      <c r="E133" s="47"/>
      <c r="F133" s="47"/>
      <c r="G133" s="47"/>
      <c r="H133" s="47"/>
      <c r="I133" s="47"/>
      <c r="J133" s="48"/>
      <c r="K133" s="56">
        <f t="shared" si="7"/>
        <v>0</v>
      </c>
      <c r="L133" s="93" t="str">
        <f>IFERROR(VLOOKUP($F133,SC_Component!$B:$C,2,FALSE),"")</f>
        <v/>
      </c>
      <c r="M133" s="58"/>
      <c r="N133" s="59">
        <f t="shared" si="5"/>
        <v>0</v>
      </c>
      <c r="O133" s="59">
        <f t="shared" si="6"/>
        <v>0</v>
      </c>
      <c r="P133" s="47"/>
      <c r="Q133" s="47"/>
      <c r="R133" s="47"/>
      <c r="S133" s="58"/>
      <c r="T133" s="47"/>
      <c r="U133" s="47"/>
      <c r="V133" s="119"/>
      <c r="W133" s="119"/>
      <c r="X133" s="47"/>
      <c r="Y133" s="47"/>
      <c r="Z133" s="47"/>
      <c r="AA133" s="47"/>
      <c r="AB133" s="47"/>
      <c r="AC133" s="47"/>
      <c r="AD133" s="93" t="str">
        <f t="array" ref="AD133">IFERROR(IF($B133="Building","Buildings",INDEX(CoA_Schema[AsseticCategory],MATCH(1,(CoA_Schema[AssetType]=$D133)*(CoA_Schema[AssetClass]=$B133)*(CoA_Schema[AssetSubClass]=$C133)*(CoA_Schema[Title]=$F133),0),0)),"")</f>
        <v/>
      </c>
      <c r="AE133" s="93" t="str">
        <f t="array" ref="AE133">IFERROR(IF($B133="Building","Buildings",INDEX(CoA_Schema[FinancialClass],MATCH(1,(CoA_Schema[AssetType]=$D133)*(CoA_Schema[AssetClass]=$B133)*(CoA_Schema[AssetSubClass]=$C133),0),0)),"")</f>
        <v/>
      </c>
      <c r="AF133" s="93" t="str">
        <f t="array" ref="AF133">IFERROR(IF($B133="Building","Buildings",INDEX(CoA_Schema[FinancialSubClass],MATCH(1,(CoA_Schema[AssetType]=$D133)*(CoA_Schema[AssetClass]=$B133)*(CoA_Schema[AssetSubClass]=$C133),0),0)),"")</f>
        <v/>
      </c>
      <c r="AG133" s="93" t="str">
        <f>IFERROR(VLOOKUP($I133,UoM!$A:$C,2,FALSE),"")</f>
        <v/>
      </c>
      <c r="AH133" s="56" t="str">
        <f>IFERROR(VLOOKUP("Renewed Assets:"&amp;ROW(),'Handover Cost Report'!$A:$U,17,FALSE),"")</f>
        <v/>
      </c>
      <c r="AI133" s="56" t="str">
        <f>IFERROR(VLOOKUP("Renewed Assets:"&amp;ROW(),'Handover Cost Report'!$A:$U,18,FALSE),"")</f>
        <v/>
      </c>
      <c r="AJ133" s="56" t="str">
        <f>IFERROR(VLOOKUP("Renewed Assets:"&amp;ROW(),'Handover Cost Report'!$A:$U,19,FALSE),"")</f>
        <v/>
      </c>
    </row>
    <row r="134" spans="2:36" s="3" customFormat="1" ht="12.75" x14ac:dyDescent="0.2">
      <c r="B134" s="47"/>
      <c r="C134" s="47"/>
      <c r="D134" s="47"/>
      <c r="E134" s="47"/>
      <c r="F134" s="47"/>
      <c r="G134" s="47"/>
      <c r="H134" s="47"/>
      <c r="I134" s="47"/>
      <c r="J134" s="48"/>
      <c r="K134" s="56">
        <f t="shared" si="7"/>
        <v>0</v>
      </c>
      <c r="L134" s="93" t="str">
        <f>IFERROR(VLOOKUP($F134,SC_Component!$B:$C,2,FALSE),"")</f>
        <v/>
      </c>
      <c r="M134" s="58"/>
      <c r="N134" s="59">
        <f t="shared" si="5"/>
        <v>0</v>
      </c>
      <c r="O134" s="59">
        <f t="shared" si="6"/>
        <v>0</v>
      </c>
      <c r="P134" s="47"/>
      <c r="Q134" s="47"/>
      <c r="R134" s="47"/>
      <c r="S134" s="58"/>
      <c r="T134" s="47"/>
      <c r="U134" s="47"/>
      <c r="V134" s="119"/>
      <c r="W134" s="119"/>
      <c r="X134" s="47"/>
      <c r="Y134" s="47"/>
      <c r="Z134" s="47"/>
      <c r="AA134" s="47"/>
      <c r="AB134" s="47"/>
      <c r="AC134" s="47"/>
      <c r="AD134" s="93" t="str">
        <f t="array" ref="AD134">IFERROR(IF($B134="Building","Buildings",INDEX(CoA_Schema[AsseticCategory],MATCH(1,(CoA_Schema[AssetType]=$D134)*(CoA_Schema[AssetClass]=$B134)*(CoA_Schema[AssetSubClass]=$C134)*(CoA_Schema[Title]=$F134),0),0)),"")</f>
        <v/>
      </c>
      <c r="AE134" s="93" t="str">
        <f t="array" ref="AE134">IFERROR(IF($B134="Building","Buildings",INDEX(CoA_Schema[FinancialClass],MATCH(1,(CoA_Schema[AssetType]=$D134)*(CoA_Schema[AssetClass]=$B134)*(CoA_Schema[AssetSubClass]=$C134),0),0)),"")</f>
        <v/>
      </c>
      <c r="AF134" s="93" t="str">
        <f t="array" ref="AF134">IFERROR(IF($B134="Building","Buildings",INDEX(CoA_Schema[FinancialSubClass],MATCH(1,(CoA_Schema[AssetType]=$D134)*(CoA_Schema[AssetClass]=$B134)*(CoA_Schema[AssetSubClass]=$C134),0),0)),"")</f>
        <v/>
      </c>
      <c r="AG134" s="93" t="str">
        <f>IFERROR(VLOOKUP($I134,UoM!$A:$C,2,FALSE),"")</f>
        <v/>
      </c>
      <c r="AH134" s="56" t="str">
        <f>IFERROR(VLOOKUP("Renewed Assets:"&amp;ROW(),'Handover Cost Report'!$A:$U,17,FALSE),"")</f>
        <v/>
      </c>
      <c r="AI134" s="56" t="str">
        <f>IFERROR(VLOOKUP("Renewed Assets:"&amp;ROW(),'Handover Cost Report'!$A:$U,18,FALSE),"")</f>
        <v/>
      </c>
      <c r="AJ134" s="56" t="str">
        <f>IFERROR(VLOOKUP("Renewed Assets:"&amp;ROW(),'Handover Cost Report'!$A:$U,19,FALSE),"")</f>
        <v/>
      </c>
    </row>
    <row r="135" spans="2:36" s="3" customFormat="1" ht="12.75" x14ac:dyDescent="0.2">
      <c r="B135" s="47"/>
      <c r="C135" s="47"/>
      <c r="D135" s="47"/>
      <c r="E135" s="47"/>
      <c r="F135" s="47"/>
      <c r="G135" s="47"/>
      <c r="H135" s="47"/>
      <c r="I135" s="47"/>
      <c r="J135" s="48"/>
      <c r="K135" s="56">
        <f t="shared" si="7"/>
        <v>0</v>
      </c>
      <c r="L135" s="93" t="str">
        <f>IFERROR(VLOOKUP($F135,SC_Component!$B:$C,2,FALSE),"")</f>
        <v/>
      </c>
      <c r="M135" s="58"/>
      <c r="N135" s="59">
        <f t="shared" si="5"/>
        <v>0</v>
      </c>
      <c r="O135" s="59">
        <f t="shared" si="6"/>
        <v>0</v>
      </c>
      <c r="P135" s="47"/>
      <c r="Q135" s="47"/>
      <c r="R135" s="47"/>
      <c r="S135" s="58"/>
      <c r="T135" s="47"/>
      <c r="U135" s="47"/>
      <c r="V135" s="119"/>
      <c r="W135" s="119"/>
      <c r="X135" s="47"/>
      <c r="Y135" s="47"/>
      <c r="Z135" s="47"/>
      <c r="AA135" s="47"/>
      <c r="AB135" s="47"/>
      <c r="AC135" s="47"/>
      <c r="AD135" s="93" t="str">
        <f t="array" ref="AD135">IFERROR(IF($B135="Building","Buildings",INDEX(CoA_Schema[AsseticCategory],MATCH(1,(CoA_Schema[AssetType]=$D135)*(CoA_Schema[AssetClass]=$B135)*(CoA_Schema[AssetSubClass]=$C135)*(CoA_Schema[Title]=$F135),0),0)),"")</f>
        <v/>
      </c>
      <c r="AE135" s="93" t="str">
        <f t="array" ref="AE135">IFERROR(IF($B135="Building","Buildings",INDEX(CoA_Schema[FinancialClass],MATCH(1,(CoA_Schema[AssetType]=$D135)*(CoA_Schema[AssetClass]=$B135)*(CoA_Schema[AssetSubClass]=$C135),0),0)),"")</f>
        <v/>
      </c>
      <c r="AF135" s="93" t="str">
        <f t="array" ref="AF135">IFERROR(IF($B135="Building","Buildings",INDEX(CoA_Schema[FinancialSubClass],MATCH(1,(CoA_Schema[AssetType]=$D135)*(CoA_Schema[AssetClass]=$B135)*(CoA_Schema[AssetSubClass]=$C135),0),0)),"")</f>
        <v/>
      </c>
      <c r="AG135" s="93" t="str">
        <f>IFERROR(VLOOKUP($I135,UoM!$A:$C,2,FALSE),"")</f>
        <v/>
      </c>
      <c r="AH135" s="56" t="str">
        <f>IFERROR(VLOOKUP("Renewed Assets:"&amp;ROW(),'Handover Cost Report'!$A:$U,17,FALSE),"")</f>
        <v/>
      </c>
      <c r="AI135" s="56" t="str">
        <f>IFERROR(VLOOKUP("Renewed Assets:"&amp;ROW(),'Handover Cost Report'!$A:$U,18,FALSE),"")</f>
        <v/>
      </c>
      <c r="AJ135" s="56" t="str">
        <f>IFERROR(VLOOKUP("Renewed Assets:"&amp;ROW(),'Handover Cost Report'!$A:$U,19,FALSE),"")</f>
        <v/>
      </c>
    </row>
    <row r="136" spans="2:36" s="3" customFormat="1" ht="12.75" x14ac:dyDescent="0.2">
      <c r="B136" s="47"/>
      <c r="C136" s="47"/>
      <c r="D136" s="47"/>
      <c r="E136" s="47"/>
      <c r="F136" s="47"/>
      <c r="G136" s="47"/>
      <c r="H136" s="47"/>
      <c r="I136" s="47"/>
      <c r="J136" s="48"/>
      <c r="K136" s="56">
        <f t="shared" ref="K136:K158" si="8">H136*J136</f>
        <v>0</v>
      </c>
      <c r="L136" s="93" t="str">
        <f>IFERROR(VLOOKUP($F136,SC_Component!$B:$C,2,FALSE),"")</f>
        <v/>
      </c>
      <c r="M136" s="58"/>
      <c r="N136" s="59">
        <f t="shared" si="5"/>
        <v>0</v>
      </c>
      <c r="O136" s="59">
        <f t="shared" si="6"/>
        <v>0</v>
      </c>
      <c r="P136" s="47"/>
      <c r="Q136" s="47"/>
      <c r="R136" s="47"/>
      <c r="S136" s="58"/>
      <c r="T136" s="47"/>
      <c r="U136" s="47"/>
      <c r="V136" s="119"/>
      <c r="W136" s="119"/>
      <c r="X136" s="47"/>
      <c r="Y136" s="47"/>
      <c r="Z136" s="47"/>
      <c r="AA136" s="47"/>
      <c r="AB136" s="47"/>
      <c r="AC136" s="47"/>
      <c r="AD136" s="93" t="str">
        <f t="array" ref="AD136">IFERROR(IF($B136="Building","Buildings",INDEX(CoA_Schema[AsseticCategory],MATCH(1,(CoA_Schema[AssetType]=$D136)*(CoA_Schema[AssetClass]=$B136)*(CoA_Schema[AssetSubClass]=$C136)*(CoA_Schema[Title]=$F136),0),0)),"")</f>
        <v/>
      </c>
      <c r="AE136" s="93" t="str">
        <f t="array" ref="AE136">IFERROR(IF($B136="Building","Buildings",INDEX(CoA_Schema[FinancialClass],MATCH(1,(CoA_Schema[AssetType]=$D136)*(CoA_Schema[AssetClass]=$B136)*(CoA_Schema[AssetSubClass]=$C136),0),0)),"")</f>
        <v/>
      </c>
      <c r="AF136" s="93" t="str">
        <f t="array" ref="AF136">IFERROR(IF($B136="Building","Buildings",INDEX(CoA_Schema[FinancialSubClass],MATCH(1,(CoA_Schema[AssetType]=$D136)*(CoA_Schema[AssetClass]=$B136)*(CoA_Schema[AssetSubClass]=$C136),0),0)),"")</f>
        <v/>
      </c>
      <c r="AG136" s="93" t="str">
        <f>IFERROR(VLOOKUP($I136,UoM!$A:$C,2,FALSE),"")</f>
        <v/>
      </c>
      <c r="AH136" s="56" t="str">
        <f>IFERROR(VLOOKUP("Renewed Assets:"&amp;ROW(),'Handover Cost Report'!$A:$U,17,FALSE),"")</f>
        <v/>
      </c>
      <c r="AI136" s="56" t="str">
        <f>IFERROR(VLOOKUP("Renewed Assets:"&amp;ROW(),'Handover Cost Report'!$A:$U,18,FALSE),"")</f>
        <v/>
      </c>
      <c r="AJ136" s="56" t="str">
        <f>IFERROR(VLOOKUP("Renewed Assets:"&amp;ROW(),'Handover Cost Report'!$A:$U,19,FALSE),"")</f>
        <v/>
      </c>
    </row>
    <row r="137" spans="2:36" s="3" customFormat="1" ht="12.75" x14ac:dyDescent="0.2">
      <c r="B137" s="47"/>
      <c r="C137" s="47"/>
      <c r="D137" s="47"/>
      <c r="E137" s="47"/>
      <c r="F137" s="47"/>
      <c r="G137" s="47"/>
      <c r="H137" s="47"/>
      <c r="I137" s="47"/>
      <c r="J137" s="48"/>
      <c r="K137" s="56">
        <f t="shared" si="8"/>
        <v>0</v>
      </c>
      <c r="L137" s="93" t="str">
        <f>IFERROR(VLOOKUP($F137,SC_Component!$B:$C,2,FALSE),"")</f>
        <v/>
      </c>
      <c r="M137" s="58"/>
      <c r="N137" s="59">
        <f t="shared" ref="N137:N159" si="9">K137*M137</f>
        <v>0</v>
      </c>
      <c r="O137" s="59">
        <f t="shared" ref="O137:O159" si="10">K137*(1-M137)</f>
        <v>0</v>
      </c>
      <c r="P137" s="47"/>
      <c r="Q137" s="47"/>
      <c r="R137" s="47"/>
      <c r="S137" s="58"/>
      <c r="T137" s="47"/>
      <c r="U137" s="47"/>
      <c r="V137" s="119"/>
      <c r="W137" s="119"/>
      <c r="X137" s="47"/>
      <c r="Y137" s="47"/>
      <c r="Z137" s="47"/>
      <c r="AA137" s="47"/>
      <c r="AB137" s="47"/>
      <c r="AC137" s="47"/>
      <c r="AD137" s="93" t="str">
        <f t="array" ref="AD137">IFERROR(IF($B137="Building","Buildings",INDEX(CoA_Schema[AsseticCategory],MATCH(1,(CoA_Schema[AssetType]=$D137)*(CoA_Schema[AssetClass]=$B137)*(CoA_Schema[AssetSubClass]=$C137)*(CoA_Schema[Title]=$F137),0),0)),"")</f>
        <v/>
      </c>
      <c r="AE137" s="93" t="str">
        <f t="array" ref="AE137">IFERROR(IF($B137="Building","Buildings",INDEX(CoA_Schema[FinancialClass],MATCH(1,(CoA_Schema[AssetType]=$D137)*(CoA_Schema[AssetClass]=$B137)*(CoA_Schema[AssetSubClass]=$C137),0),0)),"")</f>
        <v/>
      </c>
      <c r="AF137" s="93" t="str">
        <f t="array" ref="AF137">IFERROR(IF($B137="Building","Buildings",INDEX(CoA_Schema[FinancialSubClass],MATCH(1,(CoA_Schema[AssetType]=$D137)*(CoA_Schema[AssetClass]=$B137)*(CoA_Schema[AssetSubClass]=$C137),0),0)),"")</f>
        <v/>
      </c>
      <c r="AG137" s="93" t="str">
        <f>IFERROR(VLOOKUP($I137,UoM!$A:$C,2,FALSE),"")</f>
        <v/>
      </c>
      <c r="AH137" s="56" t="str">
        <f>IFERROR(VLOOKUP("Renewed Assets:"&amp;ROW(),'Handover Cost Report'!$A:$U,17,FALSE),"")</f>
        <v/>
      </c>
      <c r="AI137" s="56" t="str">
        <f>IFERROR(VLOOKUP("Renewed Assets:"&amp;ROW(),'Handover Cost Report'!$A:$U,18,FALSE),"")</f>
        <v/>
      </c>
      <c r="AJ137" s="56" t="str">
        <f>IFERROR(VLOOKUP("Renewed Assets:"&amp;ROW(),'Handover Cost Report'!$A:$U,19,FALSE),"")</f>
        <v/>
      </c>
    </row>
    <row r="138" spans="2:36" s="3" customFormat="1" ht="12.75" x14ac:dyDescent="0.2">
      <c r="B138" s="47"/>
      <c r="C138" s="47"/>
      <c r="D138" s="47"/>
      <c r="E138" s="47"/>
      <c r="F138" s="47"/>
      <c r="G138" s="47"/>
      <c r="H138" s="47"/>
      <c r="I138" s="47"/>
      <c r="J138" s="48"/>
      <c r="K138" s="56">
        <f t="shared" si="8"/>
        <v>0</v>
      </c>
      <c r="L138" s="93" t="str">
        <f>IFERROR(VLOOKUP($F138,SC_Component!$B:$C,2,FALSE),"")</f>
        <v/>
      </c>
      <c r="M138" s="58"/>
      <c r="N138" s="59">
        <f t="shared" si="9"/>
        <v>0</v>
      </c>
      <c r="O138" s="59">
        <f t="shared" si="10"/>
        <v>0</v>
      </c>
      <c r="P138" s="47"/>
      <c r="Q138" s="47"/>
      <c r="R138" s="47"/>
      <c r="S138" s="58"/>
      <c r="T138" s="47"/>
      <c r="U138" s="47"/>
      <c r="V138" s="119"/>
      <c r="W138" s="119"/>
      <c r="X138" s="47"/>
      <c r="Y138" s="47"/>
      <c r="Z138" s="47"/>
      <c r="AA138" s="47"/>
      <c r="AB138" s="47"/>
      <c r="AC138" s="47"/>
      <c r="AD138" s="93" t="str">
        <f t="array" ref="AD138">IFERROR(IF($B138="Building","Buildings",INDEX(CoA_Schema[AsseticCategory],MATCH(1,(CoA_Schema[AssetType]=$D138)*(CoA_Schema[AssetClass]=$B138)*(CoA_Schema[AssetSubClass]=$C138)*(CoA_Schema[Title]=$F138),0),0)),"")</f>
        <v/>
      </c>
      <c r="AE138" s="93" t="str">
        <f t="array" ref="AE138">IFERROR(IF($B138="Building","Buildings",INDEX(CoA_Schema[FinancialClass],MATCH(1,(CoA_Schema[AssetType]=$D138)*(CoA_Schema[AssetClass]=$B138)*(CoA_Schema[AssetSubClass]=$C138),0),0)),"")</f>
        <v/>
      </c>
      <c r="AF138" s="93" t="str">
        <f t="array" ref="AF138">IFERROR(IF($B138="Building","Buildings",INDEX(CoA_Schema[FinancialSubClass],MATCH(1,(CoA_Schema[AssetType]=$D138)*(CoA_Schema[AssetClass]=$B138)*(CoA_Schema[AssetSubClass]=$C138),0),0)),"")</f>
        <v/>
      </c>
      <c r="AG138" s="93" t="str">
        <f>IFERROR(VLOOKUP($I138,UoM!$A:$C,2,FALSE),"")</f>
        <v/>
      </c>
      <c r="AH138" s="56" t="str">
        <f>IFERROR(VLOOKUP("Renewed Assets:"&amp;ROW(),'Handover Cost Report'!$A:$U,17,FALSE),"")</f>
        <v/>
      </c>
      <c r="AI138" s="56" t="str">
        <f>IFERROR(VLOOKUP("Renewed Assets:"&amp;ROW(),'Handover Cost Report'!$A:$U,18,FALSE),"")</f>
        <v/>
      </c>
      <c r="AJ138" s="56" t="str">
        <f>IFERROR(VLOOKUP("Renewed Assets:"&amp;ROW(),'Handover Cost Report'!$A:$U,19,FALSE),"")</f>
        <v/>
      </c>
    </row>
    <row r="139" spans="2:36" s="3" customFormat="1" ht="12.75" x14ac:dyDescent="0.2">
      <c r="B139" s="47"/>
      <c r="C139" s="47"/>
      <c r="D139" s="47"/>
      <c r="E139" s="47"/>
      <c r="F139" s="47"/>
      <c r="G139" s="47"/>
      <c r="H139" s="47"/>
      <c r="I139" s="47"/>
      <c r="J139" s="48"/>
      <c r="K139" s="56">
        <f t="shared" si="8"/>
        <v>0</v>
      </c>
      <c r="L139" s="93" t="str">
        <f>IFERROR(VLOOKUP($F139,SC_Component!$B:$C,2,FALSE),"")</f>
        <v/>
      </c>
      <c r="M139" s="58"/>
      <c r="N139" s="59">
        <f t="shared" si="9"/>
        <v>0</v>
      </c>
      <c r="O139" s="59">
        <f t="shared" si="10"/>
        <v>0</v>
      </c>
      <c r="P139" s="47"/>
      <c r="Q139" s="47"/>
      <c r="R139" s="47"/>
      <c r="S139" s="58"/>
      <c r="T139" s="47"/>
      <c r="U139" s="47"/>
      <c r="V139" s="119"/>
      <c r="W139" s="119"/>
      <c r="X139" s="47"/>
      <c r="Y139" s="47"/>
      <c r="Z139" s="47"/>
      <c r="AA139" s="47"/>
      <c r="AB139" s="47"/>
      <c r="AC139" s="47"/>
      <c r="AD139" s="93" t="str">
        <f t="array" ref="AD139">IFERROR(IF($B139="Building","Buildings",INDEX(CoA_Schema[AsseticCategory],MATCH(1,(CoA_Schema[AssetType]=$D139)*(CoA_Schema[AssetClass]=$B139)*(CoA_Schema[AssetSubClass]=$C139)*(CoA_Schema[Title]=$F139),0),0)),"")</f>
        <v/>
      </c>
      <c r="AE139" s="93" t="str">
        <f t="array" ref="AE139">IFERROR(IF($B139="Building","Buildings",INDEX(CoA_Schema[FinancialClass],MATCH(1,(CoA_Schema[AssetType]=$D139)*(CoA_Schema[AssetClass]=$B139)*(CoA_Schema[AssetSubClass]=$C139),0),0)),"")</f>
        <v/>
      </c>
      <c r="AF139" s="93" t="str">
        <f t="array" ref="AF139">IFERROR(IF($B139="Building","Buildings",INDEX(CoA_Schema[FinancialSubClass],MATCH(1,(CoA_Schema[AssetType]=$D139)*(CoA_Schema[AssetClass]=$B139)*(CoA_Schema[AssetSubClass]=$C139),0),0)),"")</f>
        <v/>
      </c>
      <c r="AG139" s="93" t="str">
        <f>IFERROR(VLOOKUP($I139,UoM!$A:$C,2,FALSE),"")</f>
        <v/>
      </c>
      <c r="AH139" s="56" t="str">
        <f>IFERROR(VLOOKUP("Renewed Assets:"&amp;ROW(),'Handover Cost Report'!$A:$U,17,FALSE),"")</f>
        <v/>
      </c>
      <c r="AI139" s="56" t="str">
        <f>IFERROR(VLOOKUP("Renewed Assets:"&amp;ROW(),'Handover Cost Report'!$A:$U,18,FALSE),"")</f>
        <v/>
      </c>
      <c r="AJ139" s="56" t="str">
        <f>IFERROR(VLOOKUP("Renewed Assets:"&amp;ROW(),'Handover Cost Report'!$A:$U,19,FALSE),"")</f>
        <v/>
      </c>
    </row>
    <row r="140" spans="2:36" s="3" customFormat="1" ht="12.75" x14ac:dyDescent="0.2">
      <c r="B140" s="47"/>
      <c r="C140" s="47"/>
      <c r="D140" s="47"/>
      <c r="E140" s="47"/>
      <c r="F140" s="47"/>
      <c r="G140" s="47"/>
      <c r="H140" s="47"/>
      <c r="I140" s="47"/>
      <c r="J140" s="48"/>
      <c r="K140" s="56">
        <f t="shared" si="8"/>
        <v>0</v>
      </c>
      <c r="L140" s="93" t="str">
        <f>IFERROR(VLOOKUP($F140,SC_Component!$B:$C,2,FALSE),"")</f>
        <v/>
      </c>
      <c r="M140" s="58"/>
      <c r="N140" s="59">
        <f t="shared" si="9"/>
        <v>0</v>
      </c>
      <c r="O140" s="59">
        <f t="shared" si="10"/>
        <v>0</v>
      </c>
      <c r="P140" s="47"/>
      <c r="Q140" s="47"/>
      <c r="R140" s="47"/>
      <c r="S140" s="58"/>
      <c r="T140" s="47"/>
      <c r="U140" s="47"/>
      <c r="V140" s="119"/>
      <c r="W140" s="119"/>
      <c r="X140" s="47"/>
      <c r="Y140" s="47"/>
      <c r="Z140" s="47"/>
      <c r="AA140" s="47"/>
      <c r="AB140" s="47"/>
      <c r="AC140" s="47"/>
      <c r="AD140" s="93" t="str">
        <f t="array" ref="AD140">IFERROR(IF($B140="Building","Buildings",INDEX(CoA_Schema[AsseticCategory],MATCH(1,(CoA_Schema[AssetType]=$D140)*(CoA_Schema[AssetClass]=$B140)*(CoA_Schema[AssetSubClass]=$C140)*(CoA_Schema[Title]=$F140),0),0)),"")</f>
        <v/>
      </c>
      <c r="AE140" s="93" t="str">
        <f t="array" ref="AE140">IFERROR(IF($B140="Building","Buildings",INDEX(CoA_Schema[FinancialClass],MATCH(1,(CoA_Schema[AssetType]=$D140)*(CoA_Schema[AssetClass]=$B140)*(CoA_Schema[AssetSubClass]=$C140),0),0)),"")</f>
        <v/>
      </c>
      <c r="AF140" s="93" t="str">
        <f t="array" ref="AF140">IFERROR(IF($B140="Building","Buildings",INDEX(CoA_Schema[FinancialSubClass],MATCH(1,(CoA_Schema[AssetType]=$D140)*(CoA_Schema[AssetClass]=$B140)*(CoA_Schema[AssetSubClass]=$C140),0),0)),"")</f>
        <v/>
      </c>
      <c r="AG140" s="93" t="str">
        <f>IFERROR(VLOOKUP($I140,UoM!$A:$C,2,FALSE),"")</f>
        <v/>
      </c>
      <c r="AH140" s="56" t="str">
        <f>IFERROR(VLOOKUP("Renewed Assets:"&amp;ROW(),'Handover Cost Report'!$A:$U,17,FALSE),"")</f>
        <v/>
      </c>
      <c r="AI140" s="56" t="str">
        <f>IFERROR(VLOOKUP("Renewed Assets:"&amp;ROW(),'Handover Cost Report'!$A:$U,18,FALSE),"")</f>
        <v/>
      </c>
      <c r="AJ140" s="56" t="str">
        <f>IFERROR(VLOOKUP("Renewed Assets:"&amp;ROW(),'Handover Cost Report'!$A:$U,19,FALSE),"")</f>
        <v/>
      </c>
    </row>
    <row r="141" spans="2:36" s="3" customFormat="1" ht="12.75" x14ac:dyDescent="0.2">
      <c r="B141" s="47"/>
      <c r="C141" s="47"/>
      <c r="D141" s="47"/>
      <c r="E141" s="47"/>
      <c r="F141" s="47"/>
      <c r="G141" s="47"/>
      <c r="H141" s="47"/>
      <c r="I141" s="47"/>
      <c r="J141" s="48"/>
      <c r="K141" s="56">
        <f t="shared" si="8"/>
        <v>0</v>
      </c>
      <c r="L141" s="93" t="str">
        <f>IFERROR(VLOOKUP($F141,SC_Component!$B:$C,2,FALSE),"")</f>
        <v/>
      </c>
      <c r="M141" s="58"/>
      <c r="N141" s="59">
        <f t="shared" si="9"/>
        <v>0</v>
      </c>
      <c r="O141" s="59">
        <f t="shared" si="10"/>
        <v>0</v>
      </c>
      <c r="P141" s="47"/>
      <c r="Q141" s="47"/>
      <c r="R141" s="47"/>
      <c r="S141" s="58"/>
      <c r="T141" s="47"/>
      <c r="U141" s="47"/>
      <c r="V141" s="119"/>
      <c r="W141" s="119"/>
      <c r="X141" s="47"/>
      <c r="Y141" s="47"/>
      <c r="Z141" s="47"/>
      <c r="AA141" s="47"/>
      <c r="AB141" s="47"/>
      <c r="AC141" s="47"/>
      <c r="AD141" s="93" t="str">
        <f t="array" ref="AD141">IFERROR(IF($B141="Building","Buildings",INDEX(CoA_Schema[AsseticCategory],MATCH(1,(CoA_Schema[AssetType]=$D141)*(CoA_Schema[AssetClass]=$B141)*(CoA_Schema[AssetSubClass]=$C141)*(CoA_Schema[Title]=$F141),0),0)),"")</f>
        <v/>
      </c>
      <c r="AE141" s="93" t="str">
        <f t="array" ref="AE141">IFERROR(IF($B141="Building","Buildings",INDEX(CoA_Schema[FinancialClass],MATCH(1,(CoA_Schema[AssetType]=$D141)*(CoA_Schema[AssetClass]=$B141)*(CoA_Schema[AssetSubClass]=$C141),0),0)),"")</f>
        <v/>
      </c>
      <c r="AF141" s="93" t="str">
        <f t="array" ref="AF141">IFERROR(IF($B141="Building","Buildings",INDEX(CoA_Schema[FinancialSubClass],MATCH(1,(CoA_Schema[AssetType]=$D141)*(CoA_Schema[AssetClass]=$B141)*(CoA_Schema[AssetSubClass]=$C141),0),0)),"")</f>
        <v/>
      </c>
      <c r="AG141" s="93" t="str">
        <f>IFERROR(VLOOKUP($I141,UoM!$A:$C,2,FALSE),"")</f>
        <v/>
      </c>
      <c r="AH141" s="56" t="str">
        <f>IFERROR(VLOOKUP("Renewed Assets:"&amp;ROW(),'Handover Cost Report'!$A:$U,17,FALSE),"")</f>
        <v/>
      </c>
      <c r="AI141" s="56" t="str">
        <f>IFERROR(VLOOKUP("Renewed Assets:"&amp;ROW(),'Handover Cost Report'!$A:$U,18,FALSE),"")</f>
        <v/>
      </c>
      <c r="AJ141" s="56" t="str">
        <f>IFERROR(VLOOKUP("Renewed Assets:"&amp;ROW(),'Handover Cost Report'!$A:$U,19,FALSE),"")</f>
        <v/>
      </c>
    </row>
    <row r="142" spans="2:36" s="3" customFormat="1" ht="12.75" x14ac:dyDescent="0.2">
      <c r="B142" s="47"/>
      <c r="C142" s="47"/>
      <c r="D142" s="47"/>
      <c r="E142" s="47"/>
      <c r="F142" s="47"/>
      <c r="G142" s="47"/>
      <c r="H142" s="47"/>
      <c r="I142" s="47"/>
      <c r="J142" s="48"/>
      <c r="K142" s="56">
        <f t="shared" si="8"/>
        <v>0</v>
      </c>
      <c r="L142" s="93" t="str">
        <f>IFERROR(VLOOKUP($F142,SC_Component!$B:$C,2,FALSE),"")</f>
        <v/>
      </c>
      <c r="M142" s="58"/>
      <c r="N142" s="59">
        <f t="shared" si="9"/>
        <v>0</v>
      </c>
      <c r="O142" s="59">
        <f t="shared" si="10"/>
        <v>0</v>
      </c>
      <c r="P142" s="47"/>
      <c r="Q142" s="47"/>
      <c r="R142" s="47"/>
      <c r="S142" s="58"/>
      <c r="T142" s="47"/>
      <c r="U142" s="47"/>
      <c r="V142" s="119"/>
      <c r="W142" s="119"/>
      <c r="X142" s="47"/>
      <c r="Y142" s="47"/>
      <c r="Z142" s="47"/>
      <c r="AA142" s="47"/>
      <c r="AB142" s="47"/>
      <c r="AC142" s="47"/>
      <c r="AD142" s="93" t="str">
        <f t="array" ref="AD142">IFERROR(IF($B142="Building","Buildings",INDEX(CoA_Schema[AsseticCategory],MATCH(1,(CoA_Schema[AssetType]=$D142)*(CoA_Schema[AssetClass]=$B142)*(CoA_Schema[AssetSubClass]=$C142)*(CoA_Schema[Title]=$F142),0),0)),"")</f>
        <v/>
      </c>
      <c r="AE142" s="93" t="str">
        <f t="array" ref="AE142">IFERROR(IF($B142="Building","Buildings",INDEX(CoA_Schema[FinancialClass],MATCH(1,(CoA_Schema[AssetType]=$D142)*(CoA_Schema[AssetClass]=$B142)*(CoA_Schema[AssetSubClass]=$C142),0),0)),"")</f>
        <v/>
      </c>
      <c r="AF142" s="93" t="str">
        <f t="array" ref="AF142">IFERROR(IF($B142="Building","Buildings",INDEX(CoA_Schema[FinancialSubClass],MATCH(1,(CoA_Schema[AssetType]=$D142)*(CoA_Schema[AssetClass]=$B142)*(CoA_Schema[AssetSubClass]=$C142),0),0)),"")</f>
        <v/>
      </c>
      <c r="AG142" s="93" t="str">
        <f>IFERROR(VLOOKUP($I142,UoM!$A:$C,2,FALSE),"")</f>
        <v/>
      </c>
      <c r="AH142" s="56" t="str">
        <f>IFERROR(VLOOKUP("Renewed Assets:"&amp;ROW(),'Handover Cost Report'!$A:$U,17,FALSE),"")</f>
        <v/>
      </c>
      <c r="AI142" s="56" t="str">
        <f>IFERROR(VLOOKUP("Renewed Assets:"&amp;ROW(),'Handover Cost Report'!$A:$U,18,FALSE),"")</f>
        <v/>
      </c>
      <c r="AJ142" s="56" t="str">
        <f>IFERROR(VLOOKUP("Renewed Assets:"&amp;ROW(),'Handover Cost Report'!$A:$U,19,FALSE),"")</f>
        <v/>
      </c>
    </row>
    <row r="143" spans="2:36" s="3" customFormat="1" ht="12.75" x14ac:dyDescent="0.2">
      <c r="B143" s="47"/>
      <c r="C143" s="47"/>
      <c r="D143" s="47"/>
      <c r="E143" s="47"/>
      <c r="F143" s="47"/>
      <c r="G143" s="47"/>
      <c r="H143" s="47"/>
      <c r="I143" s="47"/>
      <c r="J143" s="48"/>
      <c r="K143" s="56">
        <f t="shared" si="8"/>
        <v>0</v>
      </c>
      <c r="L143" s="93" t="str">
        <f>IFERROR(VLOOKUP($F143,SC_Component!$B:$C,2,FALSE),"")</f>
        <v/>
      </c>
      <c r="M143" s="58"/>
      <c r="N143" s="59">
        <f t="shared" si="9"/>
        <v>0</v>
      </c>
      <c r="O143" s="59">
        <f t="shared" si="10"/>
        <v>0</v>
      </c>
      <c r="P143" s="47"/>
      <c r="Q143" s="47"/>
      <c r="R143" s="47"/>
      <c r="S143" s="58"/>
      <c r="T143" s="47"/>
      <c r="U143" s="47"/>
      <c r="V143" s="119"/>
      <c r="W143" s="119"/>
      <c r="X143" s="47"/>
      <c r="Y143" s="47"/>
      <c r="Z143" s="47"/>
      <c r="AA143" s="47"/>
      <c r="AB143" s="47"/>
      <c r="AC143" s="47"/>
      <c r="AD143" s="93" t="str">
        <f t="array" ref="AD143">IFERROR(IF($B143="Building","Buildings",INDEX(CoA_Schema[AsseticCategory],MATCH(1,(CoA_Schema[AssetType]=$D143)*(CoA_Schema[AssetClass]=$B143)*(CoA_Schema[AssetSubClass]=$C143)*(CoA_Schema[Title]=$F143),0),0)),"")</f>
        <v/>
      </c>
      <c r="AE143" s="93" t="str">
        <f t="array" ref="AE143">IFERROR(IF($B143="Building","Buildings",INDEX(CoA_Schema[FinancialClass],MATCH(1,(CoA_Schema[AssetType]=$D143)*(CoA_Schema[AssetClass]=$B143)*(CoA_Schema[AssetSubClass]=$C143),0),0)),"")</f>
        <v/>
      </c>
      <c r="AF143" s="93" t="str">
        <f t="array" ref="AF143">IFERROR(IF($B143="Building","Buildings",INDEX(CoA_Schema[FinancialSubClass],MATCH(1,(CoA_Schema[AssetType]=$D143)*(CoA_Schema[AssetClass]=$B143)*(CoA_Schema[AssetSubClass]=$C143),0),0)),"")</f>
        <v/>
      </c>
      <c r="AG143" s="93" t="str">
        <f>IFERROR(VLOOKUP($I143,UoM!$A:$C,2,FALSE),"")</f>
        <v/>
      </c>
      <c r="AH143" s="56" t="str">
        <f>IFERROR(VLOOKUP("Renewed Assets:"&amp;ROW(),'Handover Cost Report'!$A:$U,17,FALSE),"")</f>
        <v/>
      </c>
      <c r="AI143" s="56" t="str">
        <f>IFERROR(VLOOKUP("Renewed Assets:"&amp;ROW(),'Handover Cost Report'!$A:$U,18,FALSE),"")</f>
        <v/>
      </c>
      <c r="AJ143" s="56" t="str">
        <f>IFERROR(VLOOKUP("Renewed Assets:"&amp;ROW(),'Handover Cost Report'!$A:$U,19,FALSE),"")</f>
        <v/>
      </c>
    </row>
    <row r="144" spans="2:36" s="3" customFormat="1" ht="12.75" x14ac:dyDescent="0.2">
      <c r="B144" s="47"/>
      <c r="C144" s="47"/>
      <c r="D144" s="47"/>
      <c r="E144" s="47"/>
      <c r="F144" s="47"/>
      <c r="G144" s="47"/>
      <c r="H144" s="47"/>
      <c r="I144" s="47"/>
      <c r="J144" s="48"/>
      <c r="K144" s="56">
        <f t="shared" si="8"/>
        <v>0</v>
      </c>
      <c r="L144" s="93" t="str">
        <f>IFERROR(VLOOKUP($F144,SC_Component!$B:$C,2,FALSE),"")</f>
        <v/>
      </c>
      <c r="M144" s="58"/>
      <c r="N144" s="59">
        <f t="shared" si="9"/>
        <v>0</v>
      </c>
      <c r="O144" s="59">
        <f t="shared" si="10"/>
        <v>0</v>
      </c>
      <c r="P144" s="47"/>
      <c r="Q144" s="47"/>
      <c r="R144" s="47"/>
      <c r="S144" s="58"/>
      <c r="T144" s="47"/>
      <c r="U144" s="47"/>
      <c r="V144" s="119"/>
      <c r="W144" s="119"/>
      <c r="X144" s="47"/>
      <c r="Y144" s="47"/>
      <c r="Z144" s="47"/>
      <c r="AA144" s="47"/>
      <c r="AB144" s="47"/>
      <c r="AC144" s="47"/>
      <c r="AD144" s="93" t="str">
        <f t="array" ref="AD144">IFERROR(IF($B144="Building","Buildings",INDEX(CoA_Schema[AsseticCategory],MATCH(1,(CoA_Schema[AssetType]=$D144)*(CoA_Schema[AssetClass]=$B144)*(CoA_Schema[AssetSubClass]=$C144)*(CoA_Schema[Title]=$F144),0),0)),"")</f>
        <v/>
      </c>
      <c r="AE144" s="93" t="str">
        <f t="array" ref="AE144">IFERROR(IF($B144="Building","Buildings",INDEX(CoA_Schema[FinancialClass],MATCH(1,(CoA_Schema[AssetType]=$D144)*(CoA_Schema[AssetClass]=$B144)*(CoA_Schema[AssetSubClass]=$C144),0),0)),"")</f>
        <v/>
      </c>
      <c r="AF144" s="93" t="str">
        <f t="array" ref="AF144">IFERROR(IF($B144="Building","Buildings",INDEX(CoA_Schema[FinancialSubClass],MATCH(1,(CoA_Schema[AssetType]=$D144)*(CoA_Schema[AssetClass]=$B144)*(CoA_Schema[AssetSubClass]=$C144),0),0)),"")</f>
        <v/>
      </c>
      <c r="AG144" s="93" t="str">
        <f>IFERROR(VLOOKUP($I144,UoM!$A:$C,2,FALSE),"")</f>
        <v/>
      </c>
      <c r="AH144" s="56" t="str">
        <f>IFERROR(VLOOKUP("Renewed Assets:"&amp;ROW(),'Handover Cost Report'!$A:$U,17,FALSE),"")</f>
        <v/>
      </c>
      <c r="AI144" s="56" t="str">
        <f>IFERROR(VLOOKUP("Renewed Assets:"&amp;ROW(),'Handover Cost Report'!$A:$U,18,FALSE),"")</f>
        <v/>
      </c>
      <c r="AJ144" s="56" t="str">
        <f>IFERROR(VLOOKUP("Renewed Assets:"&amp;ROW(),'Handover Cost Report'!$A:$U,19,FALSE),"")</f>
        <v/>
      </c>
    </row>
    <row r="145" spans="2:36" s="3" customFormat="1" ht="12.75" x14ac:dyDescent="0.2">
      <c r="B145" s="47"/>
      <c r="C145" s="47"/>
      <c r="D145" s="47"/>
      <c r="E145" s="47"/>
      <c r="F145" s="47"/>
      <c r="G145" s="47"/>
      <c r="H145" s="47"/>
      <c r="I145" s="47"/>
      <c r="J145" s="48"/>
      <c r="K145" s="56">
        <f t="shared" si="8"/>
        <v>0</v>
      </c>
      <c r="L145" s="93" t="str">
        <f>IFERROR(VLOOKUP($F145,SC_Component!$B:$C,2,FALSE),"")</f>
        <v/>
      </c>
      <c r="M145" s="58"/>
      <c r="N145" s="59">
        <f t="shared" si="9"/>
        <v>0</v>
      </c>
      <c r="O145" s="59">
        <f t="shared" si="10"/>
        <v>0</v>
      </c>
      <c r="P145" s="47"/>
      <c r="Q145" s="47"/>
      <c r="R145" s="47"/>
      <c r="S145" s="58"/>
      <c r="T145" s="47"/>
      <c r="U145" s="47"/>
      <c r="V145" s="119"/>
      <c r="W145" s="119"/>
      <c r="X145" s="47"/>
      <c r="Y145" s="47"/>
      <c r="Z145" s="47"/>
      <c r="AA145" s="47"/>
      <c r="AB145" s="47"/>
      <c r="AC145" s="47"/>
      <c r="AD145" s="93" t="str">
        <f t="array" ref="AD145">IFERROR(IF($B145="Building","Buildings",INDEX(CoA_Schema[AsseticCategory],MATCH(1,(CoA_Schema[AssetType]=$D145)*(CoA_Schema[AssetClass]=$B145)*(CoA_Schema[AssetSubClass]=$C145)*(CoA_Schema[Title]=$F145),0),0)),"")</f>
        <v/>
      </c>
      <c r="AE145" s="93" t="str">
        <f t="array" ref="AE145">IFERROR(IF($B145="Building","Buildings",INDEX(CoA_Schema[FinancialClass],MATCH(1,(CoA_Schema[AssetType]=$D145)*(CoA_Schema[AssetClass]=$B145)*(CoA_Schema[AssetSubClass]=$C145),0),0)),"")</f>
        <v/>
      </c>
      <c r="AF145" s="93" t="str">
        <f t="array" ref="AF145">IFERROR(IF($B145="Building","Buildings",INDEX(CoA_Schema[FinancialSubClass],MATCH(1,(CoA_Schema[AssetType]=$D145)*(CoA_Schema[AssetClass]=$B145)*(CoA_Schema[AssetSubClass]=$C145),0),0)),"")</f>
        <v/>
      </c>
      <c r="AG145" s="93" t="str">
        <f>IFERROR(VLOOKUP($I145,UoM!$A:$C,2,FALSE),"")</f>
        <v/>
      </c>
      <c r="AH145" s="56" t="str">
        <f>IFERROR(VLOOKUP("Renewed Assets:"&amp;ROW(),'Handover Cost Report'!$A:$U,17,FALSE),"")</f>
        <v/>
      </c>
      <c r="AI145" s="56" t="str">
        <f>IFERROR(VLOOKUP("Renewed Assets:"&amp;ROW(),'Handover Cost Report'!$A:$U,18,FALSE),"")</f>
        <v/>
      </c>
      <c r="AJ145" s="56" t="str">
        <f>IFERROR(VLOOKUP("Renewed Assets:"&amp;ROW(),'Handover Cost Report'!$A:$U,19,FALSE),"")</f>
        <v/>
      </c>
    </row>
    <row r="146" spans="2:36" s="3" customFormat="1" ht="12.75" x14ac:dyDescent="0.2">
      <c r="B146" s="47"/>
      <c r="C146" s="47"/>
      <c r="D146" s="47"/>
      <c r="E146" s="47"/>
      <c r="F146" s="47"/>
      <c r="G146" s="47"/>
      <c r="H146" s="47"/>
      <c r="I146" s="47"/>
      <c r="J146" s="48"/>
      <c r="K146" s="56">
        <f t="shared" si="8"/>
        <v>0</v>
      </c>
      <c r="L146" s="93" t="str">
        <f>IFERROR(VLOOKUP($F146,SC_Component!$B:$C,2,FALSE),"")</f>
        <v/>
      </c>
      <c r="M146" s="58"/>
      <c r="N146" s="59">
        <f t="shared" si="9"/>
        <v>0</v>
      </c>
      <c r="O146" s="59">
        <f t="shared" si="10"/>
        <v>0</v>
      </c>
      <c r="P146" s="47"/>
      <c r="Q146" s="47"/>
      <c r="R146" s="47"/>
      <c r="S146" s="58"/>
      <c r="T146" s="47"/>
      <c r="U146" s="47"/>
      <c r="V146" s="119"/>
      <c r="W146" s="119"/>
      <c r="X146" s="47"/>
      <c r="Y146" s="47"/>
      <c r="Z146" s="47"/>
      <c r="AA146" s="47"/>
      <c r="AB146" s="47"/>
      <c r="AC146" s="47"/>
      <c r="AD146" s="93" t="str">
        <f t="array" ref="AD146">IFERROR(IF($B146="Building","Buildings",INDEX(CoA_Schema[AsseticCategory],MATCH(1,(CoA_Schema[AssetType]=$D146)*(CoA_Schema[AssetClass]=$B146)*(CoA_Schema[AssetSubClass]=$C146)*(CoA_Schema[Title]=$F146),0),0)),"")</f>
        <v/>
      </c>
      <c r="AE146" s="93" t="str">
        <f t="array" ref="AE146">IFERROR(IF($B146="Building","Buildings",INDEX(CoA_Schema[FinancialClass],MATCH(1,(CoA_Schema[AssetType]=$D146)*(CoA_Schema[AssetClass]=$B146)*(CoA_Schema[AssetSubClass]=$C146),0),0)),"")</f>
        <v/>
      </c>
      <c r="AF146" s="93" t="str">
        <f t="array" ref="AF146">IFERROR(IF($B146="Building","Buildings",INDEX(CoA_Schema[FinancialSubClass],MATCH(1,(CoA_Schema[AssetType]=$D146)*(CoA_Schema[AssetClass]=$B146)*(CoA_Schema[AssetSubClass]=$C146),0),0)),"")</f>
        <v/>
      </c>
      <c r="AG146" s="93" t="str">
        <f>IFERROR(VLOOKUP($I146,UoM!$A:$C,2,FALSE),"")</f>
        <v/>
      </c>
      <c r="AH146" s="56" t="str">
        <f>IFERROR(VLOOKUP("Renewed Assets:"&amp;ROW(),'Handover Cost Report'!$A:$U,17,FALSE),"")</f>
        <v/>
      </c>
      <c r="AI146" s="56" t="str">
        <f>IFERROR(VLOOKUP("Renewed Assets:"&amp;ROW(),'Handover Cost Report'!$A:$U,18,FALSE),"")</f>
        <v/>
      </c>
      <c r="AJ146" s="56" t="str">
        <f>IFERROR(VLOOKUP("Renewed Assets:"&amp;ROW(),'Handover Cost Report'!$A:$U,19,FALSE),"")</f>
        <v/>
      </c>
    </row>
    <row r="147" spans="2:36" s="3" customFormat="1" ht="12.75" x14ac:dyDescent="0.2">
      <c r="B147" s="47"/>
      <c r="C147" s="47"/>
      <c r="D147" s="47"/>
      <c r="E147" s="47"/>
      <c r="F147" s="47"/>
      <c r="G147" s="47"/>
      <c r="H147" s="47"/>
      <c r="I147" s="47"/>
      <c r="J147" s="48"/>
      <c r="K147" s="56">
        <f t="shared" si="8"/>
        <v>0</v>
      </c>
      <c r="L147" s="93" t="str">
        <f>IFERROR(VLOOKUP($F147,SC_Component!$B:$C,2,FALSE),"")</f>
        <v/>
      </c>
      <c r="M147" s="58"/>
      <c r="N147" s="59">
        <f t="shared" si="9"/>
        <v>0</v>
      </c>
      <c r="O147" s="59">
        <f t="shared" si="10"/>
        <v>0</v>
      </c>
      <c r="P147" s="47"/>
      <c r="Q147" s="47"/>
      <c r="R147" s="47"/>
      <c r="S147" s="58"/>
      <c r="T147" s="47"/>
      <c r="U147" s="47"/>
      <c r="V147" s="119"/>
      <c r="W147" s="119"/>
      <c r="X147" s="47"/>
      <c r="Y147" s="47"/>
      <c r="Z147" s="47"/>
      <c r="AA147" s="47"/>
      <c r="AB147" s="47"/>
      <c r="AC147" s="47"/>
      <c r="AD147" s="93" t="str">
        <f t="array" ref="AD147">IFERROR(IF($B147="Building","Buildings",INDEX(CoA_Schema[AsseticCategory],MATCH(1,(CoA_Schema[AssetType]=$D147)*(CoA_Schema[AssetClass]=$B147)*(CoA_Schema[AssetSubClass]=$C147)*(CoA_Schema[Title]=$F147),0),0)),"")</f>
        <v/>
      </c>
      <c r="AE147" s="93" t="str">
        <f t="array" ref="AE147">IFERROR(IF($B147="Building","Buildings",INDEX(CoA_Schema[FinancialClass],MATCH(1,(CoA_Schema[AssetType]=$D147)*(CoA_Schema[AssetClass]=$B147)*(CoA_Schema[AssetSubClass]=$C147),0),0)),"")</f>
        <v/>
      </c>
      <c r="AF147" s="93" t="str">
        <f t="array" ref="AF147">IFERROR(IF($B147="Building","Buildings",INDEX(CoA_Schema[FinancialSubClass],MATCH(1,(CoA_Schema[AssetType]=$D147)*(CoA_Schema[AssetClass]=$B147)*(CoA_Schema[AssetSubClass]=$C147),0),0)),"")</f>
        <v/>
      </c>
      <c r="AG147" s="93" t="str">
        <f>IFERROR(VLOOKUP($I147,UoM!$A:$C,2,FALSE),"")</f>
        <v/>
      </c>
      <c r="AH147" s="56" t="str">
        <f>IFERROR(VLOOKUP("Renewed Assets:"&amp;ROW(),'Handover Cost Report'!$A:$U,17,FALSE),"")</f>
        <v/>
      </c>
      <c r="AI147" s="56" t="str">
        <f>IFERROR(VLOOKUP("Renewed Assets:"&amp;ROW(),'Handover Cost Report'!$A:$U,18,FALSE),"")</f>
        <v/>
      </c>
      <c r="AJ147" s="56" t="str">
        <f>IFERROR(VLOOKUP("Renewed Assets:"&amp;ROW(),'Handover Cost Report'!$A:$U,19,FALSE),"")</f>
        <v/>
      </c>
    </row>
    <row r="148" spans="2:36" s="3" customFormat="1" ht="12.75" x14ac:dyDescent="0.2">
      <c r="B148" s="47"/>
      <c r="C148" s="47"/>
      <c r="D148" s="47"/>
      <c r="E148" s="47"/>
      <c r="F148" s="47"/>
      <c r="G148" s="47"/>
      <c r="H148" s="47"/>
      <c r="I148" s="47"/>
      <c r="J148" s="48"/>
      <c r="K148" s="56">
        <f t="shared" si="8"/>
        <v>0</v>
      </c>
      <c r="L148" s="93" t="str">
        <f>IFERROR(VLOOKUP($F148,SC_Component!$B:$C,2,FALSE),"")</f>
        <v/>
      </c>
      <c r="M148" s="58"/>
      <c r="N148" s="59">
        <f t="shared" si="9"/>
        <v>0</v>
      </c>
      <c r="O148" s="59">
        <f t="shared" si="10"/>
        <v>0</v>
      </c>
      <c r="P148" s="47"/>
      <c r="Q148" s="47"/>
      <c r="R148" s="47"/>
      <c r="S148" s="58"/>
      <c r="T148" s="47"/>
      <c r="U148" s="47"/>
      <c r="V148" s="119"/>
      <c r="W148" s="119"/>
      <c r="X148" s="47"/>
      <c r="Y148" s="47"/>
      <c r="Z148" s="47"/>
      <c r="AA148" s="47"/>
      <c r="AB148" s="47"/>
      <c r="AC148" s="47"/>
      <c r="AD148" s="93" t="str">
        <f t="array" ref="AD148">IFERROR(IF($B148="Building","Buildings",INDEX(CoA_Schema[AsseticCategory],MATCH(1,(CoA_Schema[AssetType]=$D148)*(CoA_Schema[AssetClass]=$B148)*(CoA_Schema[AssetSubClass]=$C148)*(CoA_Schema[Title]=$F148),0),0)),"")</f>
        <v/>
      </c>
      <c r="AE148" s="93" t="str">
        <f t="array" ref="AE148">IFERROR(IF($B148="Building","Buildings",INDEX(CoA_Schema[FinancialClass],MATCH(1,(CoA_Schema[AssetType]=$D148)*(CoA_Schema[AssetClass]=$B148)*(CoA_Schema[AssetSubClass]=$C148),0),0)),"")</f>
        <v/>
      </c>
      <c r="AF148" s="93" t="str">
        <f t="array" ref="AF148">IFERROR(IF($B148="Building","Buildings",INDEX(CoA_Schema[FinancialSubClass],MATCH(1,(CoA_Schema[AssetType]=$D148)*(CoA_Schema[AssetClass]=$B148)*(CoA_Schema[AssetSubClass]=$C148),0),0)),"")</f>
        <v/>
      </c>
      <c r="AG148" s="93" t="str">
        <f>IFERROR(VLOOKUP($I148,UoM!$A:$C,2,FALSE),"")</f>
        <v/>
      </c>
      <c r="AH148" s="56" t="str">
        <f>IFERROR(VLOOKUP("Renewed Assets:"&amp;ROW(),'Handover Cost Report'!$A:$U,17,FALSE),"")</f>
        <v/>
      </c>
      <c r="AI148" s="56" t="str">
        <f>IFERROR(VLOOKUP("Renewed Assets:"&amp;ROW(),'Handover Cost Report'!$A:$U,18,FALSE),"")</f>
        <v/>
      </c>
      <c r="AJ148" s="56" t="str">
        <f>IFERROR(VLOOKUP("Renewed Assets:"&amp;ROW(),'Handover Cost Report'!$A:$U,19,FALSE),"")</f>
        <v/>
      </c>
    </row>
    <row r="149" spans="2:36" s="3" customFormat="1" ht="12.75" x14ac:dyDescent="0.2">
      <c r="B149" s="47"/>
      <c r="C149" s="47"/>
      <c r="D149" s="47"/>
      <c r="E149" s="47"/>
      <c r="F149" s="47"/>
      <c r="G149" s="47"/>
      <c r="H149" s="47"/>
      <c r="I149" s="47"/>
      <c r="J149" s="48"/>
      <c r="K149" s="56">
        <f t="shared" si="8"/>
        <v>0</v>
      </c>
      <c r="L149" s="93" t="str">
        <f>IFERROR(VLOOKUP($F149,SC_Component!$B:$C,2,FALSE),"")</f>
        <v/>
      </c>
      <c r="M149" s="58"/>
      <c r="N149" s="59">
        <f t="shared" si="9"/>
        <v>0</v>
      </c>
      <c r="O149" s="59">
        <f t="shared" si="10"/>
        <v>0</v>
      </c>
      <c r="P149" s="47"/>
      <c r="Q149" s="47"/>
      <c r="R149" s="47"/>
      <c r="S149" s="58"/>
      <c r="T149" s="47"/>
      <c r="U149" s="47"/>
      <c r="V149" s="119"/>
      <c r="W149" s="119"/>
      <c r="X149" s="47"/>
      <c r="Y149" s="47"/>
      <c r="Z149" s="47"/>
      <c r="AA149" s="47"/>
      <c r="AB149" s="47"/>
      <c r="AC149" s="47"/>
      <c r="AD149" s="93" t="str">
        <f t="array" ref="AD149">IFERROR(IF($B149="Building","Buildings",INDEX(CoA_Schema[AsseticCategory],MATCH(1,(CoA_Schema[AssetType]=$D149)*(CoA_Schema[AssetClass]=$B149)*(CoA_Schema[AssetSubClass]=$C149)*(CoA_Schema[Title]=$F149),0),0)),"")</f>
        <v/>
      </c>
      <c r="AE149" s="93" t="str">
        <f t="array" ref="AE149">IFERROR(IF($B149="Building","Buildings",INDEX(CoA_Schema[FinancialClass],MATCH(1,(CoA_Schema[AssetType]=$D149)*(CoA_Schema[AssetClass]=$B149)*(CoA_Schema[AssetSubClass]=$C149),0),0)),"")</f>
        <v/>
      </c>
      <c r="AF149" s="93" t="str">
        <f t="array" ref="AF149">IFERROR(IF($B149="Building","Buildings",INDEX(CoA_Schema[FinancialSubClass],MATCH(1,(CoA_Schema[AssetType]=$D149)*(CoA_Schema[AssetClass]=$B149)*(CoA_Schema[AssetSubClass]=$C149),0),0)),"")</f>
        <v/>
      </c>
      <c r="AG149" s="93" t="str">
        <f>IFERROR(VLOOKUP($I149,UoM!$A:$C,2,FALSE),"")</f>
        <v/>
      </c>
      <c r="AH149" s="56" t="str">
        <f>IFERROR(VLOOKUP("Renewed Assets:"&amp;ROW(),'Handover Cost Report'!$A:$U,17,FALSE),"")</f>
        <v/>
      </c>
      <c r="AI149" s="56" t="str">
        <f>IFERROR(VLOOKUP("Renewed Assets:"&amp;ROW(),'Handover Cost Report'!$A:$U,18,FALSE),"")</f>
        <v/>
      </c>
      <c r="AJ149" s="56" t="str">
        <f>IFERROR(VLOOKUP("Renewed Assets:"&amp;ROW(),'Handover Cost Report'!$A:$U,19,FALSE),"")</f>
        <v/>
      </c>
    </row>
    <row r="150" spans="2:36" s="3" customFormat="1" ht="12.75" x14ac:dyDescent="0.2">
      <c r="B150" s="47"/>
      <c r="C150" s="47"/>
      <c r="D150" s="47"/>
      <c r="E150" s="47"/>
      <c r="F150" s="47"/>
      <c r="G150" s="47"/>
      <c r="H150" s="47"/>
      <c r="I150" s="47"/>
      <c r="J150" s="48"/>
      <c r="K150" s="56">
        <f t="shared" si="8"/>
        <v>0</v>
      </c>
      <c r="L150" s="93" t="str">
        <f>IFERROR(VLOOKUP($F150,SC_Component!$B:$C,2,FALSE),"")</f>
        <v/>
      </c>
      <c r="M150" s="58"/>
      <c r="N150" s="59">
        <f t="shared" si="9"/>
        <v>0</v>
      </c>
      <c r="O150" s="59">
        <f t="shared" si="10"/>
        <v>0</v>
      </c>
      <c r="P150" s="47"/>
      <c r="Q150" s="47"/>
      <c r="R150" s="47"/>
      <c r="S150" s="58"/>
      <c r="T150" s="47"/>
      <c r="U150" s="47"/>
      <c r="V150" s="119"/>
      <c r="W150" s="119"/>
      <c r="X150" s="47"/>
      <c r="Y150" s="47"/>
      <c r="Z150" s="47"/>
      <c r="AA150" s="47"/>
      <c r="AB150" s="47"/>
      <c r="AC150" s="47"/>
      <c r="AD150" s="93" t="str">
        <f t="array" ref="AD150">IFERROR(IF($B150="Building","Buildings",INDEX(CoA_Schema[AsseticCategory],MATCH(1,(CoA_Schema[AssetType]=$D150)*(CoA_Schema[AssetClass]=$B150)*(CoA_Schema[AssetSubClass]=$C150)*(CoA_Schema[Title]=$F150),0),0)),"")</f>
        <v/>
      </c>
      <c r="AE150" s="93" t="str">
        <f t="array" ref="AE150">IFERROR(IF($B150="Building","Buildings",INDEX(CoA_Schema[FinancialClass],MATCH(1,(CoA_Schema[AssetType]=$D150)*(CoA_Schema[AssetClass]=$B150)*(CoA_Schema[AssetSubClass]=$C150),0),0)),"")</f>
        <v/>
      </c>
      <c r="AF150" s="93" t="str">
        <f t="array" ref="AF150">IFERROR(IF($B150="Building","Buildings",INDEX(CoA_Schema[FinancialSubClass],MATCH(1,(CoA_Schema[AssetType]=$D150)*(CoA_Schema[AssetClass]=$B150)*(CoA_Schema[AssetSubClass]=$C150),0),0)),"")</f>
        <v/>
      </c>
      <c r="AG150" s="93" t="str">
        <f>IFERROR(VLOOKUP($I150,UoM!$A:$C,2,FALSE),"")</f>
        <v/>
      </c>
      <c r="AH150" s="56" t="str">
        <f>IFERROR(VLOOKUP("Renewed Assets:"&amp;ROW(),'Handover Cost Report'!$A:$U,17,FALSE),"")</f>
        <v/>
      </c>
      <c r="AI150" s="56" t="str">
        <f>IFERROR(VLOOKUP("Renewed Assets:"&amp;ROW(),'Handover Cost Report'!$A:$U,18,FALSE),"")</f>
        <v/>
      </c>
      <c r="AJ150" s="56" t="str">
        <f>IFERROR(VLOOKUP("Renewed Assets:"&amp;ROW(),'Handover Cost Report'!$A:$U,19,FALSE),"")</f>
        <v/>
      </c>
    </row>
    <row r="151" spans="2:36" s="3" customFormat="1" ht="12.75" x14ac:dyDescent="0.2">
      <c r="B151" s="47"/>
      <c r="C151" s="47"/>
      <c r="D151" s="47"/>
      <c r="E151" s="47"/>
      <c r="F151" s="47"/>
      <c r="G151" s="47"/>
      <c r="H151" s="47"/>
      <c r="I151" s="47"/>
      <c r="J151" s="48"/>
      <c r="K151" s="56">
        <f t="shared" si="8"/>
        <v>0</v>
      </c>
      <c r="L151" s="93" t="str">
        <f>IFERROR(VLOOKUP($F151,SC_Component!$B:$C,2,FALSE),"")</f>
        <v/>
      </c>
      <c r="M151" s="58"/>
      <c r="N151" s="59">
        <f t="shared" si="9"/>
        <v>0</v>
      </c>
      <c r="O151" s="59">
        <f t="shared" si="10"/>
        <v>0</v>
      </c>
      <c r="P151" s="47"/>
      <c r="Q151" s="47"/>
      <c r="R151" s="47"/>
      <c r="S151" s="58"/>
      <c r="T151" s="47"/>
      <c r="U151" s="47"/>
      <c r="V151" s="119"/>
      <c r="W151" s="119"/>
      <c r="X151" s="47"/>
      <c r="Y151" s="47"/>
      <c r="Z151" s="47"/>
      <c r="AA151" s="47"/>
      <c r="AB151" s="47"/>
      <c r="AC151" s="47"/>
      <c r="AD151" s="93" t="str">
        <f t="array" ref="AD151">IFERROR(IF($B151="Building","Buildings",INDEX(CoA_Schema[AsseticCategory],MATCH(1,(CoA_Schema[AssetType]=$D151)*(CoA_Schema[AssetClass]=$B151)*(CoA_Schema[AssetSubClass]=$C151)*(CoA_Schema[Title]=$F151),0),0)),"")</f>
        <v/>
      </c>
      <c r="AE151" s="93" t="str">
        <f t="array" ref="AE151">IFERROR(IF($B151="Building","Buildings",INDEX(CoA_Schema[FinancialClass],MATCH(1,(CoA_Schema[AssetType]=$D151)*(CoA_Schema[AssetClass]=$B151)*(CoA_Schema[AssetSubClass]=$C151),0),0)),"")</f>
        <v/>
      </c>
      <c r="AF151" s="93" t="str">
        <f t="array" ref="AF151">IFERROR(IF($B151="Building","Buildings",INDEX(CoA_Schema[FinancialSubClass],MATCH(1,(CoA_Schema[AssetType]=$D151)*(CoA_Schema[AssetClass]=$B151)*(CoA_Schema[AssetSubClass]=$C151),0),0)),"")</f>
        <v/>
      </c>
      <c r="AG151" s="93" t="str">
        <f>IFERROR(VLOOKUP($I151,UoM!$A:$C,2,FALSE),"")</f>
        <v/>
      </c>
      <c r="AH151" s="56" t="str">
        <f>IFERROR(VLOOKUP("Renewed Assets:"&amp;ROW(),'Handover Cost Report'!$A:$U,17,FALSE),"")</f>
        <v/>
      </c>
      <c r="AI151" s="56" t="str">
        <f>IFERROR(VLOOKUP("Renewed Assets:"&amp;ROW(),'Handover Cost Report'!$A:$U,18,FALSE),"")</f>
        <v/>
      </c>
      <c r="AJ151" s="56" t="str">
        <f>IFERROR(VLOOKUP("Renewed Assets:"&amp;ROW(),'Handover Cost Report'!$A:$U,19,FALSE),"")</f>
        <v/>
      </c>
    </row>
    <row r="152" spans="2:36" s="3" customFormat="1" ht="12.75" x14ac:dyDescent="0.2">
      <c r="B152" s="47"/>
      <c r="C152" s="47"/>
      <c r="D152" s="47"/>
      <c r="E152" s="47"/>
      <c r="F152" s="47"/>
      <c r="G152" s="47"/>
      <c r="H152" s="47"/>
      <c r="I152" s="47"/>
      <c r="J152" s="48"/>
      <c r="K152" s="56">
        <f t="shared" si="8"/>
        <v>0</v>
      </c>
      <c r="L152" s="93" t="str">
        <f>IFERROR(VLOOKUP($F152,SC_Component!$B:$C,2,FALSE),"")</f>
        <v/>
      </c>
      <c r="M152" s="58"/>
      <c r="N152" s="59">
        <f t="shared" si="9"/>
        <v>0</v>
      </c>
      <c r="O152" s="59">
        <f t="shared" si="10"/>
        <v>0</v>
      </c>
      <c r="P152" s="47"/>
      <c r="Q152" s="47"/>
      <c r="R152" s="47"/>
      <c r="S152" s="58"/>
      <c r="T152" s="47"/>
      <c r="U152" s="47"/>
      <c r="V152" s="119"/>
      <c r="W152" s="119"/>
      <c r="X152" s="47"/>
      <c r="Y152" s="47"/>
      <c r="Z152" s="47"/>
      <c r="AA152" s="47"/>
      <c r="AB152" s="47"/>
      <c r="AC152" s="47"/>
      <c r="AD152" s="93" t="str">
        <f t="array" ref="AD152">IFERROR(IF($B152="Building","Buildings",INDEX(CoA_Schema[AsseticCategory],MATCH(1,(CoA_Schema[AssetType]=$D152)*(CoA_Schema[AssetClass]=$B152)*(CoA_Schema[AssetSubClass]=$C152)*(CoA_Schema[Title]=$F152),0),0)),"")</f>
        <v/>
      </c>
      <c r="AE152" s="93" t="str">
        <f t="array" ref="AE152">IFERROR(IF($B152="Building","Buildings",INDEX(CoA_Schema[FinancialClass],MATCH(1,(CoA_Schema[AssetType]=$D152)*(CoA_Schema[AssetClass]=$B152)*(CoA_Schema[AssetSubClass]=$C152),0),0)),"")</f>
        <v/>
      </c>
      <c r="AF152" s="93" t="str">
        <f t="array" ref="AF152">IFERROR(IF($B152="Building","Buildings",INDEX(CoA_Schema[FinancialSubClass],MATCH(1,(CoA_Schema[AssetType]=$D152)*(CoA_Schema[AssetClass]=$B152)*(CoA_Schema[AssetSubClass]=$C152),0),0)),"")</f>
        <v/>
      </c>
      <c r="AG152" s="93" t="str">
        <f>IFERROR(VLOOKUP($I152,UoM!$A:$C,2,FALSE),"")</f>
        <v/>
      </c>
      <c r="AH152" s="56" t="str">
        <f>IFERROR(VLOOKUP("Renewed Assets:"&amp;ROW(),'Handover Cost Report'!$A:$U,17,FALSE),"")</f>
        <v/>
      </c>
      <c r="AI152" s="56" t="str">
        <f>IFERROR(VLOOKUP("Renewed Assets:"&amp;ROW(),'Handover Cost Report'!$A:$U,18,FALSE),"")</f>
        <v/>
      </c>
      <c r="AJ152" s="56" t="str">
        <f>IFERROR(VLOOKUP("Renewed Assets:"&amp;ROW(),'Handover Cost Report'!$A:$U,19,FALSE),"")</f>
        <v/>
      </c>
    </row>
    <row r="153" spans="2:36" s="3" customFormat="1" ht="12.75" x14ac:dyDescent="0.2">
      <c r="B153" s="47"/>
      <c r="C153" s="47"/>
      <c r="D153" s="47"/>
      <c r="E153" s="47"/>
      <c r="F153" s="47"/>
      <c r="G153" s="47"/>
      <c r="H153" s="47"/>
      <c r="I153" s="47"/>
      <c r="J153" s="48"/>
      <c r="K153" s="56">
        <f t="shared" si="8"/>
        <v>0</v>
      </c>
      <c r="L153" s="93" t="str">
        <f>IFERROR(VLOOKUP($F153,SC_Component!$B:$C,2,FALSE),"")</f>
        <v/>
      </c>
      <c r="M153" s="58"/>
      <c r="N153" s="59">
        <f t="shared" si="9"/>
        <v>0</v>
      </c>
      <c r="O153" s="59">
        <f t="shared" si="10"/>
        <v>0</v>
      </c>
      <c r="P153" s="47"/>
      <c r="Q153" s="47"/>
      <c r="R153" s="47"/>
      <c r="S153" s="58"/>
      <c r="T153" s="47"/>
      <c r="U153" s="47"/>
      <c r="V153" s="119"/>
      <c r="W153" s="119"/>
      <c r="X153" s="47"/>
      <c r="Y153" s="47"/>
      <c r="Z153" s="47"/>
      <c r="AA153" s="47"/>
      <c r="AB153" s="47"/>
      <c r="AC153" s="47"/>
      <c r="AD153" s="93" t="str">
        <f t="array" ref="AD153">IFERROR(IF($B153="Building","Buildings",INDEX(CoA_Schema[AsseticCategory],MATCH(1,(CoA_Schema[AssetType]=$D153)*(CoA_Schema[AssetClass]=$B153)*(CoA_Schema[AssetSubClass]=$C153)*(CoA_Schema[Title]=$F153),0),0)),"")</f>
        <v/>
      </c>
      <c r="AE153" s="93" t="str">
        <f t="array" ref="AE153">IFERROR(IF($B153="Building","Buildings",INDEX(CoA_Schema[FinancialClass],MATCH(1,(CoA_Schema[AssetType]=$D153)*(CoA_Schema[AssetClass]=$B153)*(CoA_Schema[AssetSubClass]=$C153),0),0)),"")</f>
        <v/>
      </c>
      <c r="AF153" s="93" t="str">
        <f t="array" ref="AF153">IFERROR(IF($B153="Building","Buildings",INDEX(CoA_Schema[FinancialSubClass],MATCH(1,(CoA_Schema[AssetType]=$D153)*(CoA_Schema[AssetClass]=$B153)*(CoA_Schema[AssetSubClass]=$C153),0),0)),"")</f>
        <v/>
      </c>
      <c r="AG153" s="93" t="str">
        <f>IFERROR(VLOOKUP($I153,UoM!$A:$C,2,FALSE),"")</f>
        <v/>
      </c>
      <c r="AH153" s="56" t="str">
        <f>IFERROR(VLOOKUP("Renewed Assets:"&amp;ROW(),'Handover Cost Report'!$A:$U,17,FALSE),"")</f>
        <v/>
      </c>
      <c r="AI153" s="56" t="str">
        <f>IFERROR(VLOOKUP("Renewed Assets:"&amp;ROW(),'Handover Cost Report'!$A:$U,18,FALSE),"")</f>
        <v/>
      </c>
      <c r="AJ153" s="56" t="str">
        <f>IFERROR(VLOOKUP("Renewed Assets:"&amp;ROW(),'Handover Cost Report'!$A:$U,19,FALSE),"")</f>
        <v/>
      </c>
    </row>
    <row r="154" spans="2:36" s="3" customFormat="1" ht="12.75" x14ac:dyDescent="0.2">
      <c r="B154" s="47"/>
      <c r="C154" s="47"/>
      <c r="D154" s="47"/>
      <c r="E154" s="47"/>
      <c r="F154" s="47"/>
      <c r="G154" s="47"/>
      <c r="H154" s="47"/>
      <c r="I154" s="47"/>
      <c r="J154" s="48"/>
      <c r="K154" s="56">
        <f t="shared" si="8"/>
        <v>0</v>
      </c>
      <c r="L154" s="93" t="str">
        <f>IFERROR(VLOOKUP($F154,SC_Component!$B:$C,2,FALSE),"")</f>
        <v/>
      </c>
      <c r="M154" s="58"/>
      <c r="N154" s="59">
        <f t="shared" si="9"/>
        <v>0</v>
      </c>
      <c r="O154" s="59">
        <f t="shared" si="10"/>
        <v>0</v>
      </c>
      <c r="P154" s="47"/>
      <c r="Q154" s="47"/>
      <c r="R154" s="47"/>
      <c r="S154" s="58"/>
      <c r="T154" s="47"/>
      <c r="U154" s="47"/>
      <c r="V154" s="119"/>
      <c r="W154" s="119"/>
      <c r="X154" s="47"/>
      <c r="Y154" s="47"/>
      <c r="Z154" s="47"/>
      <c r="AA154" s="47"/>
      <c r="AB154" s="47"/>
      <c r="AC154" s="47"/>
      <c r="AD154" s="93" t="str">
        <f t="array" ref="AD154">IFERROR(IF($B154="Building","Buildings",INDEX(CoA_Schema[AsseticCategory],MATCH(1,(CoA_Schema[AssetType]=$D154)*(CoA_Schema[AssetClass]=$B154)*(CoA_Schema[AssetSubClass]=$C154)*(CoA_Schema[Title]=$F154),0),0)),"")</f>
        <v/>
      </c>
      <c r="AE154" s="93" t="str">
        <f t="array" ref="AE154">IFERROR(IF($B154="Building","Buildings",INDEX(CoA_Schema[FinancialClass],MATCH(1,(CoA_Schema[AssetType]=$D154)*(CoA_Schema[AssetClass]=$B154)*(CoA_Schema[AssetSubClass]=$C154),0),0)),"")</f>
        <v/>
      </c>
      <c r="AF154" s="93" t="str">
        <f t="array" ref="AF154">IFERROR(IF($B154="Building","Buildings",INDEX(CoA_Schema[FinancialSubClass],MATCH(1,(CoA_Schema[AssetType]=$D154)*(CoA_Schema[AssetClass]=$B154)*(CoA_Schema[AssetSubClass]=$C154),0),0)),"")</f>
        <v/>
      </c>
      <c r="AG154" s="93" t="str">
        <f>IFERROR(VLOOKUP($I154,UoM!$A:$C,2,FALSE),"")</f>
        <v/>
      </c>
      <c r="AH154" s="56" t="str">
        <f>IFERROR(VLOOKUP("Renewed Assets:"&amp;ROW(),'Handover Cost Report'!$A:$U,17,FALSE),"")</f>
        <v/>
      </c>
      <c r="AI154" s="56" t="str">
        <f>IFERROR(VLOOKUP("Renewed Assets:"&amp;ROW(),'Handover Cost Report'!$A:$U,18,FALSE),"")</f>
        <v/>
      </c>
      <c r="AJ154" s="56" t="str">
        <f>IFERROR(VLOOKUP("Renewed Assets:"&amp;ROW(),'Handover Cost Report'!$A:$U,19,FALSE),"")</f>
        <v/>
      </c>
    </row>
    <row r="155" spans="2:36" s="3" customFormat="1" ht="12.75" x14ac:dyDescent="0.2">
      <c r="B155" s="47"/>
      <c r="C155" s="47"/>
      <c r="D155" s="47"/>
      <c r="E155" s="47"/>
      <c r="F155" s="47"/>
      <c r="G155" s="47"/>
      <c r="H155" s="47"/>
      <c r="I155" s="47"/>
      <c r="J155" s="48"/>
      <c r="K155" s="56">
        <f t="shared" si="8"/>
        <v>0</v>
      </c>
      <c r="L155" s="93" t="str">
        <f>IFERROR(VLOOKUP($F155,SC_Component!$B:$C,2,FALSE),"")</f>
        <v/>
      </c>
      <c r="M155" s="58"/>
      <c r="N155" s="59">
        <f t="shared" si="9"/>
        <v>0</v>
      </c>
      <c r="O155" s="59">
        <f t="shared" si="10"/>
        <v>0</v>
      </c>
      <c r="P155" s="47"/>
      <c r="Q155" s="47"/>
      <c r="R155" s="47"/>
      <c r="S155" s="58"/>
      <c r="T155" s="47"/>
      <c r="U155" s="47"/>
      <c r="V155" s="119"/>
      <c r="W155" s="119"/>
      <c r="X155" s="47"/>
      <c r="Y155" s="47"/>
      <c r="Z155" s="47"/>
      <c r="AA155" s="47"/>
      <c r="AB155" s="47"/>
      <c r="AC155" s="47"/>
      <c r="AD155" s="93" t="str">
        <f t="array" ref="AD155">IFERROR(IF($B155="Building","Buildings",INDEX(CoA_Schema[AsseticCategory],MATCH(1,(CoA_Schema[AssetType]=$D155)*(CoA_Schema[AssetClass]=$B155)*(CoA_Schema[AssetSubClass]=$C155)*(CoA_Schema[Title]=$F155),0),0)),"")</f>
        <v/>
      </c>
      <c r="AE155" s="93" t="str">
        <f t="array" ref="AE155">IFERROR(IF($B155="Building","Buildings",INDEX(CoA_Schema[FinancialClass],MATCH(1,(CoA_Schema[AssetType]=$D155)*(CoA_Schema[AssetClass]=$B155)*(CoA_Schema[AssetSubClass]=$C155),0),0)),"")</f>
        <v/>
      </c>
      <c r="AF155" s="93" t="str">
        <f t="array" ref="AF155">IFERROR(IF($B155="Building","Buildings",INDEX(CoA_Schema[FinancialSubClass],MATCH(1,(CoA_Schema[AssetType]=$D155)*(CoA_Schema[AssetClass]=$B155)*(CoA_Schema[AssetSubClass]=$C155),0),0)),"")</f>
        <v/>
      </c>
      <c r="AG155" s="93" t="str">
        <f>IFERROR(VLOOKUP($I155,UoM!$A:$C,2,FALSE),"")</f>
        <v/>
      </c>
      <c r="AH155" s="56" t="str">
        <f>IFERROR(VLOOKUP("Renewed Assets:"&amp;ROW(),'Handover Cost Report'!$A:$U,17,FALSE),"")</f>
        <v/>
      </c>
      <c r="AI155" s="56" t="str">
        <f>IFERROR(VLOOKUP("Renewed Assets:"&amp;ROW(),'Handover Cost Report'!$A:$U,18,FALSE),"")</f>
        <v/>
      </c>
      <c r="AJ155" s="56" t="str">
        <f>IFERROR(VLOOKUP("Renewed Assets:"&amp;ROW(),'Handover Cost Report'!$A:$U,19,FALSE),"")</f>
        <v/>
      </c>
    </row>
    <row r="156" spans="2:36" s="3" customFormat="1" ht="12.75" x14ac:dyDescent="0.2">
      <c r="B156" s="47"/>
      <c r="C156" s="47"/>
      <c r="D156" s="47"/>
      <c r="E156" s="47"/>
      <c r="F156" s="47"/>
      <c r="G156" s="47"/>
      <c r="H156" s="47"/>
      <c r="I156" s="47"/>
      <c r="J156" s="48"/>
      <c r="K156" s="56">
        <f t="shared" si="8"/>
        <v>0</v>
      </c>
      <c r="L156" s="93" t="str">
        <f>IFERROR(VLOOKUP($F156,SC_Component!$B:$C,2,FALSE),"")</f>
        <v/>
      </c>
      <c r="M156" s="58"/>
      <c r="N156" s="59">
        <f t="shared" si="9"/>
        <v>0</v>
      </c>
      <c r="O156" s="59">
        <f t="shared" si="10"/>
        <v>0</v>
      </c>
      <c r="P156" s="47"/>
      <c r="Q156" s="47"/>
      <c r="R156" s="47"/>
      <c r="S156" s="58"/>
      <c r="T156" s="47"/>
      <c r="U156" s="47"/>
      <c r="V156" s="119"/>
      <c r="W156" s="119"/>
      <c r="X156" s="47"/>
      <c r="Y156" s="47"/>
      <c r="Z156" s="47"/>
      <c r="AA156" s="47"/>
      <c r="AB156" s="47"/>
      <c r="AC156" s="47"/>
      <c r="AD156" s="93" t="str">
        <f t="array" ref="AD156">IFERROR(IF($B156="Building","Buildings",INDEX(CoA_Schema[AsseticCategory],MATCH(1,(CoA_Schema[AssetType]=$D156)*(CoA_Schema[AssetClass]=$B156)*(CoA_Schema[AssetSubClass]=$C156)*(CoA_Schema[Title]=$F156),0),0)),"")</f>
        <v/>
      </c>
      <c r="AE156" s="93" t="str">
        <f t="array" ref="AE156">IFERROR(IF($B156="Building","Buildings",INDEX(CoA_Schema[FinancialClass],MATCH(1,(CoA_Schema[AssetType]=$D156)*(CoA_Schema[AssetClass]=$B156)*(CoA_Schema[AssetSubClass]=$C156),0),0)),"")</f>
        <v/>
      </c>
      <c r="AF156" s="93" t="str">
        <f t="array" ref="AF156">IFERROR(IF($B156="Building","Buildings",INDEX(CoA_Schema[FinancialSubClass],MATCH(1,(CoA_Schema[AssetType]=$D156)*(CoA_Schema[AssetClass]=$B156)*(CoA_Schema[AssetSubClass]=$C156),0),0)),"")</f>
        <v/>
      </c>
      <c r="AG156" s="93" t="str">
        <f>IFERROR(VLOOKUP($I156,UoM!$A:$C,2,FALSE),"")</f>
        <v/>
      </c>
      <c r="AH156" s="56" t="str">
        <f>IFERROR(VLOOKUP("Renewed Assets:"&amp;ROW(),'Handover Cost Report'!$A:$U,17,FALSE),"")</f>
        <v/>
      </c>
      <c r="AI156" s="56" t="str">
        <f>IFERROR(VLOOKUP("Renewed Assets:"&amp;ROW(),'Handover Cost Report'!$A:$U,18,FALSE),"")</f>
        <v/>
      </c>
      <c r="AJ156" s="56" t="str">
        <f>IFERROR(VLOOKUP("Renewed Assets:"&amp;ROW(),'Handover Cost Report'!$A:$U,19,FALSE),"")</f>
        <v/>
      </c>
    </row>
    <row r="157" spans="2:36" s="3" customFormat="1" ht="12.75" x14ac:dyDescent="0.2">
      <c r="B157" s="47"/>
      <c r="C157" s="47"/>
      <c r="D157" s="47"/>
      <c r="E157" s="47"/>
      <c r="F157" s="47"/>
      <c r="G157" s="47"/>
      <c r="H157" s="47"/>
      <c r="I157" s="47"/>
      <c r="J157" s="48"/>
      <c r="K157" s="56">
        <f t="shared" si="8"/>
        <v>0</v>
      </c>
      <c r="L157" s="93" t="str">
        <f>IFERROR(VLOOKUP($F157,SC_Component!$B:$C,2,FALSE),"")</f>
        <v/>
      </c>
      <c r="M157" s="58"/>
      <c r="N157" s="59">
        <f t="shared" si="9"/>
        <v>0</v>
      </c>
      <c r="O157" s="59">
        <f t="shared" si="10"/>
        <v>0</v>
      </c>
      <c r="P157" s="47"/>
      <c r="Q157" s="47"/>
      <c r="R157" s="47"/>
      <c r="S157" s="58"/>
      <c r="T157" s="47"/>
      <c r="U157" s="47"/>
      <c r="V157" s="119"/>
      <c r="W157" s="119"/>
      <c r="X157" s="47"/>
      <c r="Y157" s="47"/>
      <c r="Z157" s="47"/>
      <c r="AA157" s="47"/>
      <c r="AB157" s="47"/>
      <c r="AC157" s="47"/>
      <c r="AD157" s="93" t="str">
        <f t="array" ref="AD157">IFERROR(IF($B157="Building","Buildings",INDEX(CoA_Schema[AsseticCategory],MATCH(1,(CoA_Schema[AssetType]=$D157)*(CoA_Schema[AssetClass]=$B157)*(CoA_Schema[AssetSubClass]=$C157)*(CoA_Schema[Title]=$F157),0),0)),"")</f>
        <v/>
      </c>
      <c r="AE157" s="93" t="str">
        <f t="array" ref="AE157">IFERROR(IF($B157="Building","Buildings",INDEX(CoA_Schema[FinancialClass],MATCH(1,(CoA_Schema[AssetType]=$D157)*(CoA_Schema[AssetClass]=$B157)*(CoA_Schema[AssetSubClass]=$C157),0),0)),"")</f>
        <v/>
      </c>
      <c r="AF157" s="93" t="str">
        <f t="array" ref="AF157">IFERROR(IF($B157="Building","Buildings",INDEX(CoA_Schema[FinancialSubClass],MATCH(1,(CoA_Schema[AssetType]=$D157)*(CoA_Schema[AssetClass]=$B157)*(CoA_Schema[AssetSubClass]=$C157),0),0)),"")</f>
        <v/>
      </c>
      <c r="AG157" s="93" t="str">
        <f>IFERROR(VLOOKUP($I157,UoM!$A:$C,2,FALSE),"")</f>
        <v/>
      </c>
      <c r="AH157" s="56" t="str">
        <f>IFERROR(VLOOKUP("Renewed Assets:"&amp;ROW(),'Handover Cost Report'!$A:$U,17,FALSE),"")</f>
        <v/>
      </c>
      <c r="AI157" s="56" t="str">
        <f>IFERROR(VLOOKUP("Renewed Assets:"&amp;ROW(),'Handover Cost Report'!$A:$U,18,FALSE),"")</f>
        <v/>
      </c>
      <c r="AJ157" s="56" t="str">
        <f>IFERROR(VLOOKUP("Renewed Assets:"&amp;ROW(),'Handover Cost Report'!$A:$U,19,FALSE),"")</f>
        <v/>
      </c>
    </row>
    <row r="158" spans="2:36" s="3" customFormat="1" ht="12.75" x14ac:dyDescent="0.2">
      <c r="B158" s="47"/>
      <c r="C158" s="47"/>
      <c r="D158" s="47"/>
      <c r="E158" s="47"/>
      <c r="F158" s="47"/>
      <c r="G158" s="47"/>
      <c r="H158" s="47"/>
      <c r="I158" s="47"/>
      <c r="J158" s="48"/>
      <c r="K158" s="56">
        <f t="shared" si="8"/>
        <v>0</v>
      </c>
      <c r="L158" s="93" t="str">
        <f>IFERROR(VLOOKUP($F158,SC_Component!$B:$C,2,FALSE),"")</f>
        <v/>
      </c>
      <c r="M158" s="58"/>
      <c r="N158" s="59">
        <f t="shared" si="9"/>
        <v>0</v>
      </c>
      <c r="O158" s="59">
        <f t="shared" si="10"/>
        <v>0</v>
      </c>
      <c r="P158" s="47"/>
      <c r="Q158" s="47"/>
      <c r="R158" s="47"/>
      <c r="S158" s="58"/>
      <c r="T158" s="47"/>
      <c r="U158" s="47"/>
      <c r="V158" s="119"/>
      <c r="W158" s="119"/>
      <c r="X158" s="47"/>
      <c r="Y158" s="47"/>
      <c r="Z158" s="47"/>
      <c r="AA158" s="47"/>
      <c r="AB158" s="47"/>
      <c r="AC158" s="47"/>
      <c r="AD158" s="93" t="str">
        <f t="array" ref="AD158">IFERROR(IF($B158="Building","Buildings",INDEX(CoA_Schema[AsseticCategory],MATCH(1,(CoA_Schema[AssetType]=$D158)*(CoA_Schema[AssetClass]=$B158)*(CoA_Schema[AssetSubClass]=$C158)*(CoA_Schema[Title]=$F158),0),0)),"")</f>
        <v/>
      </c>
      <c r="AE158" s="93" t="str">
        <f t="array" ref="AE158">IFERROR(IF($B158="Building","Buildings",INDEX(CoA_Schema[FinancialClass],MATCH(1,(CoA_Schema[AssetType]=$D158)*(CoA_Schema[AssetClass]=$B158)*(CoA_Schema[AssetSubClass]=$C158),0),0)),"")</f>
        <v/>
      </c>
      <c r="AF158" s="93" t="str">
        <f t="array" ref="AF158">IFERROR(IF($B158="Building","Buildings",INDEX(CoA_Schema[FinancialSubClass],MATCH(1,(CoA_Schema[AssetType]=$D158)*(CoA_Schema[AssetClass]=$B158)*(CoA_Schema[AssetSubClass]=$C158),0),0)),"")</f>
        <v/>
      </c>
      <c r="AG158" s="93" t="str">
        <f>IFERROR(VLOOKUP($I158,UoM!$A:$C,2,FALSE),"")</f>
        <v/>
      </c>
      <c r="AH158" s="56" t="str">
        <f>IFERROR(VLOOKUP("Renewed Assets:"&amp;ROW(),'Handover Cost Report'!$A:$U,17,FALSE),"")</f>
        <v/>
      </c>
      <c r="AI158" s="56" t="str">
        <f>IFERROR(VLOOKUP("Renewed Assets:"&amp;ROW(),'Handover Cost Report'!$A:$U,18,FALSE),"")</f>
        <v/>
      </c>
      <c r="AJ158" s="56" t="str">
        <f>IFERROR(VLOOKUP("Renewed Assets:"&amp;ROW(),'Handover Cost Report'!$A:$U,19,FALSE),"")</f>
        <v/>
      </c>
    </row>
    <row r="159" spans="2:36" s="3" customFormat="1" ht="12.75" x14ac:dyDescent="0.2">
      <c r="B159" s="47"/>
      <c r="C159" s="47"/>
      <c r="D159" s="47"/>
      <c r="E159" s="47"/>
      <c r="F159" s="47"/>
      <c r="G159" s="47"/>
      <c r="H159" s="47"/>
      <c r="I159" s="47"/>
      <c r="J159" s="48"/>
      <c r="K159" s="56">
        <f t="shared" ref="K159:K211" si="11">H159*J159</f>
        <v>0</v>
      </c>
      <c r="L159" s="93" t="str">
        <f>IFERROR(VLOOKUP($F159,SC_Component!$B:$C,2,FALSE),"")</f>
        <v/>
      </c>
      <c r="M159" s="58"/>
      <c r="N159" s="59">
        <f t="shared" si="9"/>
        <v>0</v>
      </c>
      <c r="O159" s="59">
        <f t="shared" si="10"/>
        <v>0</v>
      </c>
      <c r="P159" s="47"/>
      <c r="Q159" s="47"/>
      <c r="R159" s="47"/>
      <c r="S159" s="58"/>
      <c r="T159" s="47"/>
      <c r="U159" s="47"/>
      <c r="V159" s="119"/>
      <c r="W159" s="119"/>
      <c r="X159" s="47"/>
      <c r="Y159" s="47"/>
      <c r="Z159" s="47"/>
      <c r="AA159" s="47"/>
      <c r="AB159" s="47"/>
      <c r="AC159" s="47"/>
      <c r="AD159" s="93" t="str">
        <f t="array" ref="AD159">IFERROR(IF($B159="Building","Buildings",INDEX(CoA_Schema[AsseticCategory],MATCH(1,(CoA_Schema[AssetType]=$D159)*(CoA_Schema[AssetClass]=$B159)*(CoA_Schema[AssetSubClass]=$C159)*(CoA_Schema[Title]=$F159),0),0)),"")</f>
        <v/>
      </c>
      <c r="AE159" s="93" t="str">
        <f t="array" ref="AE159">IFERROR(IF($B159="Building","Buildings",INDEX(CoA_Schema[FinancialClass],MATCH(1,(CoA_Schema[AssetType]=$D159)*(CoA_Schema[AssetClass]=$B159)*(CoA_Schema[AssetSubClass]=$C159),0),0)),"")</f>
        <v/>
      </c>
      <c r="AF159" s="93" t="str">
        <f t="array" ref="AF159">IFERROR(IF($B159="Building","Buildings",INDEX(CoA_Schema[FinancialSubClass],MATCH(1,(CoA_Schema[AssetType]=$D159)*(CoA_Schema[AssetClass]=$B159)*(CoA_Schema[AssetSubClass]=$C159),0),0)),"")</f>
        <v/>
      </c>
      <c r="AG159" s="93" t="str">
        <f>IFERROR(VLOOKUP($I159,UoM!$A:$C,2,FALSE),"")</f>
        <v/>
      </c>
      <c r="AH159" s="56" t="str">
        <f>IFERROR(VLOOKUP("Renewed Assets:"&amp;ROW(),'Handover Cost Report'!$A:$U,17,FALSE),"")</f>
        <v/>
      </c>
      <c r="AI159" s="56" t="str">
        <f>IFERROR(VLOOKUP("Renewed Assets:"&amp;ROW(),'Handover Cost Report'!$A:$U,18,FALSE),"")</f>
        <v/>
      </c>
      <c r="AJ159" s="56" t="str">
        <f>IFERROR(VLOOKUP("Renewed Assets:"&amp;ROW(),'Handover Cost Report'!$A:$U,19,FALSE),"")</f>
        <v/>
      </c>
    </row>
    <row r="160" spans="2:36" s="3" customFormat="1" ht="12.75" x14ac:dyDescent="0.2">
      <c r="B160" s="47"/>
      <c r="C160" s="47"/>
      <c r="D160" s="47"/>
      <c r="E160" s="47"/>
      <c r="F160" s="47"/>
      <c r="G160" s="47"/>
      <c r="H160" s="47"/>
      <c r="I160" s="47"/>
      <c r="J160" s="48"/>
      <c r="K160" s="56">
        <f t="shared" si="11"/>
        <v>0</v>
      </c>
      <c r="L160" s="93" t="str">
        <f>IFERROR(VLOOKUP($F160,SC_Component!$B:$C,2,FALSE),"")</f>
        <v/>
      </c>
      <c r="M160" s="58"/>
      <c r="N160" s="59">
        <f t="shared" ref="N160:N211" si="12">K160*M160</f>
        <v>0</v>
      </c>
      <c r="O160" s="59">
        <f t="shared" ref="O160:O211" si="13">K160*(1-M160)</f>
        <v>0</v>
      </c>
      <c r="P160" s="47"/>
      <c r="Q160" s="47"/>
      <c r="R160" s="47"/>
      <c r="S160" s="58"/>
      <c r="T160" s="47"/>
      <c r="U160" s="47"/>
      <c r="V160" s="119"/>
      <c r="W160" s="119"/>
      <c r="X160" s="47"/>
      <c r="Y160" s="47"/>
      <c r="Z160" s="47"/>
      <c r="AA160" s="47"/>
      <c r="AB160" s="47"/>
      <c r="AC160" s="47"/>
      <c r="AD160" s="93" t="str">
        <f t="array" ref="AD160">IFERROR(IF($B160="Building","Buildings",INDEX(CoA_Schema[AsseticCategory],MATCH(1,(CoA_Schema[AssetType]=$D160)*(CoA_Schema[AssetClass]=$B160)*(CoA_Schema[AssetSubClass]=$C160)*(CoA_Schema[Title]=$F160),0),0)),"")</f>
        <v/>
      </c>
      <c r="AE160" s="93" t="str">
        <f t="array" ref="AE160">IFERROR(IF($B160="Building","Buildings",INDEX(CoA_Schema[FinancialClass],MATCH(1,(CoA_Schema[AssetType]=$D160)*(CoA_Schema[AssetClass]=$B160)*(CoA_Schema[AssetSubClass]=$C160),0),0)),"")</f>
        <v/>
      </c>
      <c r="AF160" s="93" t="str">
        <f t="array" ref="AF160">IFERROR(IF($B160="Building","Buildings",INDEX(CoA_Schema[FinancialSubClass],MATCH(1,(CoA_Schema[AssetType]=$D160)*(CoA_Schema[AssetClass]=$B160)*(CoA_Schema[AssetSubClass]=$C160),0),0)),"")</f>
        <v/>
      </c>
      <c r="AG160" s="93" t="str">
        <f>IFERROR(VLOOKUP($I160,UoM!$A:$C,2,FALSE),"")</f>
        <v/>
      </c>
      <c r="AH160" s="56" t="str">
        <f>IFERROR(VLOOKUP("Renewed Assets:"&amp;ROW(),'Handover Cost Report'!$A:$U,17,FALSE),"")</f>
        <v/>
      </c>
      <c r="AI160" s="56" t="str">
        <f>IFERROR(VLOOKUP("Renewed Assets:"&amp;ROW(),'Handover Cost Report'!$A:$U,18,FALSE),"")</f>
        <v/>
      </c>
      <c r="AJ160" s="56" t="str">
        <f>IFERROR(VLOOKUP("Renewed Assets:"&amp;ROW(),'Handover Cost Report'!$A:$U,19,FALSE),"")</f>
        <v/>
      </c>
    </row>
    <row r="161" spans="2:36" s="3" customFormat="1" ht="12.75" x14ac:dyDescent="0.2">
      <c r="B161" s="47"/>
      <c r="C161" s="47"/>
      <c r="D161" s="47"/>
      <c r="E161" s="47"/>
      <c r="F161" s="47"/>
      <c r="G161" s="47"/>
      <c r="H161" s="47"/>
      <c r="I161" s="47"/>
      <c r="J161" s="48"/>
      <c r="K161" s="56">
        <f t="shared" si="11"/>
        <v>0</v>
      </c>
      <c r="L161" s="93" t="str">
        <f>IFERROR(VLOOKUP($F161,SC_Component!$B:$C,2,FALSE),"")</f>
        <v/>
      </c>
      <c r="M161" s="58"/>
      <c r="N161" s="59">
        <f t="shared" si="12"/>
        <v>0</v>
      </c>
      <c r="O161" s="59">
        <f t="shared" si="13"/>
        <v>0</v>
      </c>
      <c r="P161" s="47"/>
      <c r="Q161" s="47"/>
      <c r="R161" s="47"/>
      <c r="S161" s="58"/>
      <c r="T161" s="47"/>
      <c r="U161" s="47"/>
      <c r="V161" s="119"/>
      <c r="W161" s="119"/>
      <c r="X161" s="47"/>
      <c r="Y161" s="47"/>
      <c r="Z161" s="47"/>
      <c r="AA161" s="47"/>
      <c r="AB161" s="47"/>
      <c r="AC161" s="47"/>
      <c r="AD161" s="93" t="str">
        <f t="array" ref="AD161">IFERROR(IF($B161="Building","Buildings",INDEX(CoA_Schema[AsseticCategory],MATCH(1,(CoA_Schema[AssetType]=$D161)*(CoA_Schema[AssetClass]=$B161)*(CoA_Schema[AssetSubClass]=$C161)*(CoA_Schema[Title]=$F161),0),0)),"")</f>
        <v/>
      </c>
      <c r="AE161" s="93" t="str">
        <f t="array" ref="AE161">IFERROR(IF($B161="Building","Buildings",INDEX(CoA_Schema[FinancialClass],MATCH(1,(CoA_Schema[AssetType]=$D161)*(CoA_Schema[AssetClass]=$B161)*(CoA_Schema[AssetSubClass]=$C161),0),0)),"")</f>
        <v/>
      </c>
      <c r="AF161" s="93" t="str">
        <f t="array" ref="AF161">IFERROR(IF($B161="Building","Buildings",INDEX(CoA_Schema[FinancialSubClass],MATCH(1,(CoA_Schema[AssetType]=$D161)*(CoA_Schema[AssetClass]=$B161)*(CoA_Schema[AssetSubClass]=$C161),0),0)),"")</f>
        <v/>
      </c>
      <c r="AG161" s="93" t="str">
        <f>IFERROR(VLOOKUP($I161,UoM!$A:$C,2,FALSE),"")</f>
        <v/>
      </c>
      <c r="AH161" s="56" t="str">
        <f>IFERROR(VLOOKUP("Renewed Assets:"&amp;ROW(),'Handover Cost Report'!$A:$U,17,FALSE),"")</f>
        <v/>
      </c>
      <c r="AI161" s="56" t="str">
        <f>IFERROR(VLOOKUP("Renewed Assets:"&amp;ROW(),'Handover Cost Report'!$A:$U,18,FALSE),"")</f>
        <v/>
      </c>
      <c r="AJ161" s="56" t="str">
        <f>IFERROR(VLOOKUP("Renewed Assets:"&amp;ROW(),'Handover Cost Report'!$A:$U,19,FALSE),"")</f>
        <v/>
      </c>
    </row>
    <row r="162" spans="2:36" s="3" customFormat="1" ht="12.75" x14ac:dyDescent="0.2">
      <c r="B162" s="47"/>
      <c r="C162" s="47"/>
      <c r="D162" s="47"/>
      <c r="E162" s="47"/>
      <c r="F162" s="47"/>
      <c r="G162" s="47"/>
      <c r="H162" s="47"/>
      <c r="I162" s="47"/>
      <c r="J162" s="48"/>
      <c r="K162" s="56">
        <f t="shared" si="11"/>
        <v>0</v>
      </c>
      <c r="L162" s="93" t="str">
        <f>IFERROR(VLOOKUP($F162,SC_Component!$B:$C,2,FALSE),"")</f>
        <v/>
      </c>
      <c r="M162" s="58"/>
      <c r="N162" s="59">
        <f t="shared" si="12"/>
        <v>0</v>
      </c>
      <c r="O162" s="59">
        <f t="shared" si="13"/>
        <v>0</v>
      </c>
      <c r="P162" s="47"/>
      <c r="Q162" s="47"/>
      <c r="R162" s="47"/>
      <c r="S162" s="58"/>
      <c r="T162" s="47"/>
      <c r="U162" s="47"/>
      <c r="V162" s="119"/>
      <c r="W162" s="119"/>
      <c r="X162" s="47"/>
      <c r="Y162" s="47"/>
      <c r="Z162" s="47"/>
      <c r="AA162" s="47"/>
      <c r="AB162" s="47"/>
      <c r="AC162" s="47"/>
      <c r="AD162" s="93" t="str">
        <f t="array" ref="AD162">IFERROR(IF($B162="Building","Buildings",INDEX(CoA_Schema[AsseticCategory],MATCH(1,(CoA_Schema[AssetType]=$D162)*(CoA_Schema[AssetClass]=$B162)*(CoA_Schema[AssetSubClass]=$C162)*(CoA_Schema[Title]=$F162),0),0)),"")</f>
        <v/>
      </c>
      <c r="AE162" s="93" t="str">
        <f t="array" ref="AE162">IFERROR(IF($B162="Building","Buildings",INDEX(CoA_Schema[FinancialClass],MATCH(1,(CoA_Schema[AssetType]=$D162)*(CoA_Schema[AssetClass]=$B162)*(CoA_Schema[AssetSubClass]=$C162),0),0)),"")</f>
        <v/>
      </c>
      <c r="AF162" s="93" t="str">
        <f t="array" ref="AF162">IFERROR(IF($B162="Building","Buildings",INDEX(CoA_Schema[FinancialSubClass],MATCH(1,(CoA_Schema[AssetType]=$D162)*(CoA_Schema[AssetClass]=$B162)*(CoA_Schema[AssetSubClass]=$C162),0),0)),"")</f>
        <v/>
      </c>
      <c r="AG162" s="93" t="str">
        <f>IFERROR(VLOOKUP($I162,UoM!$A:$C,2,FALSE),"")</f>
        <v/>
      </c>
      <c r="AH162" s="56" t="str">
        <f>IFERROR(VLOOKUP("Renewed Assets:"&amp;ROW(),'Handover Cost Report'!$A:$U,17,FALSE),"")</f>
        <v/>
      </c>
      <c r="AI162" s="56" t="str">
        <f>IFERROR(VLOOKUP("Renewed Assets:"&amp;ROW(),'Handover Cost Report'!$A:$U,18,FALSE),"")</f>
        <v/>
      </c>
      <c r="AJ162" s="56" t="str">
        <f>IFERROR(VLOOKUP("Renewed Assets:"&amp;ROW(),'Handover Cost Report'!$A:$U,19,FALSE),"")</f>
        <v/>
      </c>
    </row>
    <row r="163" spans="2:36" s="3" customFormat="1" ht="12.75" x14ac:dyDescent="0.2">
      <c r="B163" s="47"/>
      <c r="C163" s="47"/>
      <c r="D163" s="47"/>
      <c r="E163" s="47"/>
      <c r="F163" s="47"/>
      <c r="G163" s="47"/>
      <c r="H163" s="47"/>
      <c r="I163" s="47"/>
      <c r="J163" s="48"/>
      <c r="K163" s="56">
        <f t="shared" si="11"/>
        <v>0</v>
      </c>
      <c r="L163" s="93" t="str">
        <f>IFERROR(VLOOKUP($F163,SC_Component!$B:$C,2,FALSE),"")</f>
        <v/>
      </c>
      <c r="M163" s="58"/>
      <c r="N163" s="59">
        <f t="shared" si="12"/>
        <v>0</v>
      </c>
      <c r="O163" s="59">
        <f t="shared" si="13"/>
        <v>0</v>
      </c>
      <c r="P163" s="47"/>
      <c r="Q163" s="47"/>
      <c r="R163" s="47"/>
      <c r="S163" s="58"/>
      <c r="T163" s="47"/>
      <c r="U163" s="47"/>
      <c r="V163" s="119"/>
      <c r="W163" s="119"/>
      <c r="X163" s="47"/>
      <c r="Y163" s="47"/>
      <c r="Z163" s="47"/>
      <c r="AA163" s="47"/>
      <c r="AB163" s="47"/>
      <c r="AC163" s="47"/>
      <c r="AD163" s="93" t="str">
        <f t="array" ref="AD163">IFERROR(IF($B163="Building","Buildings",INDEX(CoA_Schema[AsseticCategory],MATCH(1,(CoA_Schema[AssetType]=$D163)*(CoA_Schema[AssetClass]=$B163)*(CoA_Schema[AssetSubClass]=$C163)*(CoA_Schema[Title]=$F163),0),0)),"")</f>
        <v/>
      </c>
      <c r="AE163" s="93" t="str">
        <f t="array" ref="AE163">IFERROR(IF($B163="Building","Buildings",INDEX(CoA_Schema[FinancialClass],MATCH(1,(CoA_Schema[AssetType]=$D163)*(CoA_Schema[AssetClass]=$B163)*(CoA_Schema[AssetSubClass]=$C163),0),0)),"")</f>
        <v/>
      </c>
      <c r="AF163" s="93" t="str">
        <f t="array" ref="AF163">IFERROR(IF($B163="Building","Buildings",INDEX(CoA_Schema[FinancialSubClass],MATCH(1,(CoA_Schema[AssetType]=$D163)*(CoA_Schema[AssetClass]=$B163)*(CoA_Schema[AssetSubClass]=$C163),0),0)),"")</f>
        <v/>
      </c>
      <c r="AG163" s="93" t="str">
        <f>IFERROR(VLOOKUP($I163,UoM!$A:$C,2,FALSE),"")</f>
        <v/>
      </c>
      <c r="AH163" s="56" t="str">
        <f>IFERROR(VLOOKUP("Renewed Assets:"&amp;ROW(),'Handover Cost Report'!$A:$U,17,FALSE),"")</f>
        <v/>
      </c>
      <c r="AI163" s="56" t="str">
        <f>IFERROR(VLOOKUP("Renewed Assets:"&amp;ROW(),'Handover Cost Report'!$A:$U,18,FALSE),"")</f>
        <v/>
      </c>
      <c r="AJ163" s="56" t="str">
        <f>IFERROR(VLOOKUP("Renewed Assets:"&amp;ROW(),'Handover Cost Report'!$A:$U,19,FALSE),"")</f>
        <v/>
      </c>
    </row>
    <row r="164" spans="2:36" s="3" customFormat="1" ht="12.75" x14ac:dyDescent="0.2">
      <c r="B164" s="47"/>
      <c r="C164" s="47"/>
      <c r="D164" s="47"/>
      <c r="E164" s="47"/>
      <c r="F164" s="47"/>
      <c r="G164" s="47"/>
      <c r="H164" s="47"/>
      <c r="I164" s="47"/>
      <c r="J164" s="48"/>
      <c r="K164" s="56">
        <f t="shared" si="11"/>
        <v>0</v>
      </c>
      <c r="L164" s="93" t="str">
        <f>IFERROR(VLOOKUP($F164,SC_Component!$B:$C,2,FALSE),"")</f>
        <v/>
      </c>
      <c r="M164" s="58"/>
      <c r="N164" s="59">
        <f t="shared" si="12"/>
        <v>0</v>
      </c>
      <c r="O164" s="59">
        <f t="shared" si="13"/>
        <v>0</v>
      </c>
      <c r="P164" s="47"/>
      <c r="Q164" s="47"/>
      <c r="R164" s="47"/>
      <c r="S164" s="58"/>
      <c r="T164" s="47"/>
      <c r="U164" s="47"/>
      <c r="V164" s="119"/>
      <c r="W164" s="119"/>
      <c r="X164" s="47"/>
      <c r="Y164" s="47"/>
      <c r="Z164" s="47"/>
      <c r="AA164" s="47"/>
      <c r="AB164" s="47"/>
      <c r="AC164" s="47"/>
      <c r="AD164" s="93" t="str">
        <f t="array" ref="AD164">IFERROR(IF($B164="Building","Buildings",INDEX(CoA_Schema[AsseticCategory],MATCH(1,(CoA_Schema[AssetType]=$D164)*(CoA_Schema[AssetClass]=$B164)*(CoA_Schema[AssetSubClass]=$C164)*(CoA_Schema[Title]=$F164),0),0)),"")</f>
        <v/>
      </c>
      <c r="AE164" s="93" t="str">
        <f t="array" ref="AE164">IFERROR(IF($B164="Building","Buildings",INDEX(CoA_Schema[FinancialClass],MATCH(1,(CoA_Schema[AssetType]=$D164)*(CoA_Schema[AssetClass]=$B164)*(CoA_Schema[AssetSubClass]=$C164),0),0)),"")</f>
        <v/>
      </c>
      <c r="AF164" s="93" t="str">
        <f t="array" ref="AF164">IFERROR(IF($B164="Building","Buildings",INDEX(CoA_Schema[FinancialSubClass],MATCH(1,(CoA_Schema[AssetType]=$D164)*(CoA_Schema[AssetClass]=$B164)*(CoA_Schema[AssetSubClass]=$C164),0),0)),"")</f>
        <v/>
      </c>
      <c r="AG164" s="93" t="str">
        <f>IFERROR(VLOOKUP($I164,UoM!$A:$C,2,FALSE),"")</f>
        <v/>
      </c>
      <c r="AH164" s="56" t="str">
        <f>IFERROR(VLOOKUP("Renewed Assets:"&amp;ROW(),'Handover Cost Report'!$A:$U,17,FALSE),"")</f>
        <v/>
      </c>
      <c r="AI164" s="56" t="str">
        <f>IFERROR(VLOOKUP("Renewed Assets:"&amp;ROW(),'Handover Cost Report'!$A:$U,18,FALSE),"")</f>
        <v/>
      </c>
      <c r="AJ164" s="56" t="str">
        <f>IFERROR(VLOOKUP("Renewed Assets:"&amp;ROW(),'Handover Cost Report'!$A:$U,19,FALSE),"")</f>
        <v/>
      </c>
    </row>
    <row r="165" spans="2:36" s="3" customFormat="1" ht="12.75" x14ac:dyDescent="0.2">
      <c r="B165" s="47"/>
      <c r="C165" s="47"/>
      <c r="D165" s="47"/>
      <c r="E165" s="47"/>
      <c r="F165" s="47"/>
      <c r="G165" s="47"/>
      <c r="H165" s="47"/>
      <c r="I165" s="47"/>
      <c r="J165" s="48"/>
      <c r="K165" s="56">
        <f t="shared" si="11"/>
        <v>0</v>
      </c>
      <c r="L165" s="93" t="str">
        <f>IFERROR(VLOOKUP($F165,SC_Component!$B:$C,2,FALSE),"")</f>
        <v/>
      </c>
      <c r="M165" s="58"/>
      <c r="N165" s="59">
        <f t="shared" si="12"/>
        <v>0</v>
      </c>
      <c r="O165" s="59">
        <f t="shared" si="13"/>
        <v>0</v>
      </c>
      <c r="P165" s="47"/>
      <c r="Q165" s="47"/>
      <c r="R165" s="47"/>
      <c r="S165" s="58"/>
      <c r="T165" s="47"/>
      <c r="U165" s="47"/>
      <c r="V165" s="119"/>
      <c r="W165" s="119"/>
      <c r="X165" s="47"/>
      <c r="Y165" s="47"/>
      <c r="Z165" s="47"/>
      <c r="AA165" s="47"/>
      <c r="AB165" s="47"/>
      <c r="AC165" s="47"/>
      <c r="AD165" s="93" t="str">
        <f t="array" ref="AD165">IFERROR(IF($B165="Building","Buildings",INDEX(CoA_Schema[AsseticCategory],MATCH(1,(CoA_Schema[AssetType]=$D165)*(CoA_Schema[AssetClass]=$B165)*(CoA_Schema[AssetSubClass]=$C165)*(CoA_Schema[Title]=$F165),0),0)),"")</f>
        <v/>
      </c>
      <c r="AE165" s="93" t="str">
        <f t="array" ref="AE165">IFERROR(IF($B165="Building","Buildings",INDEX(CoA_Schema[FinancialClass],MATCH(1,(CoA_Schema[AssetType]=$D165)*(CoA_Schema[AssetClass]=$B165)*(CoA_Schema[AssetSubClass]=$C165),0),0)),"")</f>
        <v/>
      </c>
      <c r="AF165" s="93" t="str">
        <f t="array" ref="AF165">IFERROR(IF($B165="Building","Buildings",INDEX(CoA_Schema[FinancialSubClass],MATCH(1,(CoA_Schema[AssetType]=$D165)*(CoA_Schema[AssetClass]=$B165)*(CoA_Schema[AssetSubClass]=$C165),0),0)),"")</f>
        <v/>
      </c>
      <c r="AG165" s="93" t="str">
        <f>IFERROR(VLOOKUP($I165,UoM!$A:$C,2,FALSE),"")</f>
        <v/>
      </c>
      <c r="AH165" s="56" t="str">
        <f>IFERROR(VLOOKUP("Renewed Assets:"&amp;ROW(),'Handover Cost Report'!$A:$U,17,FALSE),"")</f>
        <v/>
      </c>
      <c r="AI165" s="56" t="str">
        <f>IFERROR(VLOOKUP("Renewed Assets:"&amp;ROW(),'Handover Cost Report'!$A:$U,18,FALSE),"")</f>
        <v/>
      </c>
      <c r="AJ165" s="56" t="str">
        <f>IFERROR(VLOOKUP("Renewed Assets:"&amp;ROW(),'Handover Cost Report'!$A:$U,19,FALSE),"")</f>
        <v/>
      </c>
    </row>
    <row r="166" spans="2:36" s="3" customFormat="1" ht="12.75" x14ac:dyDescent="0.2">
      <c r="B166" s="47"/>
      <c r="C166" s="47"/>
      <c r="D166" s="47"/>
      <c r="E166" s="47"/>
      <c r="F166" s="47"/>
      <c r="G166" s="47"/>
      <c r="H166" s="47"/>
      <c r="I166" s="47"/>
      <c r="J166" s="48"/>
      <c r="K166" s="56">
        <f t="shared" si="11"/>
        <v>0</v>
      </c>
      <c r="L166" s="93" t="str">
        <f>IFERROR(VLOOKUP($F166,SC_Component!$B:$C,2,FALSE),"")</f>
        <v/>
      </c>
      <c r="M166" s="58"/>
      <c r="N166" s="59">
        <f t="shared" si="12"/>
        <v>0</v>
      </c>
      <c r="O166" s="59">
        <f t="shared" si="13"/>
        <v>0</v>
      </c>
      <c r="P166" s="47"/>
      <c r="Q166" s="47"/>
      <c r="R166" s="47"/>
      <c r="S166" s="58"/>
      <c r="T166" s="47"/>
      <c r="U166" s="47"/>
      <c r="V166" s="119"/>
      <c r="W166" s="119"/>
      <c r="X166" s="47"/>
      <c r="Y166" s="47"/>
      <c r="Z166" s="47"/>
      <c r="AA166" s="47"/>
      <c r="AB166" s="47"/>
      <c r="AC166" s="47"/>
      <c r="AD166" s="93" t="str">
        <f t="array" ref="AD166">IFERROR(IF($B166="Building","Buildings",INDEX(CoA_Schema[AsseticCategory],MATCH(1,(CoA_Schema[AssetType]=$D166)*(CoA_Schema[AssetClass]=$B166)*(CoA_Schema[AssetSubClass]=$C166)*(CoA_Schema[Title]=$F166),0),0)),"")</f>
        <v/>
      </c>
      <c r="AE166" s="93" t="str">
        <f t="array" ref="AE166">IFERROR(IF($B166="Building","Buildings",INDEX(CoA_Schema[FinancialClass],MATCH(1,(CoA_Schema[AssetType]=$D166)*(CoA_Schema[AssetClass]=$B166)*(CoA_Schema[AssetSubClass]=$C166),0),0)),"")</f>
        <v/>
      </c>
      <c r="AF166" s="93" t="str">
        <f t="array" ref="AF166">IFERROR(IF($B166="Building","Buildings",INDEX(CoA_Schema[FinancialSubClass],MATCH(1,(CoA_Schema[AssetType]=$D166)*(CoA_Schema[AssetClass]=$B166)*(CoA_Schema[AssetSubClass]=$C166),0),0)),"")</f>
        <v/>
      </c>
      <c r="AG166" s="93" t="str">
        <f>IFERROR(VLOOKUP($I166,UoM!$A:$C,2,FALSE),"")</f>
        <v/>
      </c>
      <c r="AH166" s="56" t="str">
        <f>IFERROR(VLOOKUP("Renewed Assets:"&amp;ROW(),'Handover Cost Report'!$A:$U,17,FALSE),"")</f>
        <v/>
      </c>
      <c r="AI166" s="56" t="str">
        <f>IFERROR(VLOOKUP("Renewed Assets:"&amp;ROW(),'Handover Cost Report'!$A:$U,18,FALSE),"")</f>
        <v/>
      </c>
      <c r="AJ166" s="56" t="str">
        <f>IFERROR(VLOOKUP("Renewed Assets:"&amp;ROW(),'Handover Cost Report'!$A:$U,19,FALSE),"")</f>
        <v/>
      </c>
    </row>
    <row r="167" spans="2:36" s="3" customFormat="1" ht="12.75" x14ac:dyDescent="0.2">
      <c r="B167" s="47"/>
      <c r="C167" s="47"/>
      <c r="D167" s="47"/>
      <c r="E167" s="47"/>
      <c r="F167" s="47"/>
      <c r="G167" s="47"/>
      <c r="H167" s="47"/>
      <c r="I167" s="47"/>
      <c r="J167" s="48"/>
      <c r="K167" s="56">
        <f t="shared" si="11"/>
        <v>0</v>
      </c>
      <c r="L167" s="93" t="str">
        <f>IFERROR(VLOOKUP($F167,SC_Component!$B:$C,2,FALSE),"")</f>
        <v/>
      </c>
      <c r="M167" s="58"/>
      <c r="N167" s="59">
        <f t="shared" si="12"/>
        <v>0</v>
      </c>
      <c r="O167" s="59">
        <f t="shared" si="13"/>
        <v>0</v>
      </c>
      <c r="P167" s="47"/>
      <c r="Q167" s="47"/>
      <c r="R167" s="47"/>
      <c r="S167" s="58"/>
      <c r="T167" s="47"/>
      <c r="U167" s="47"/>
      <c r="V167" s="119"/>
      <c r="W167" s="119"/>
      <c r="X167" s="47"/>
      <c r="Y167" s="47"/>
      <c r="Z167" s="47"/>
      <c r="AA167" s="47"/>
      <c r="AB167" s="47"/>
      <c r="AC167" s="47"/>
      <c r="AD167" s="93" t="str">
        <f t="array" ref="AD167">IFERROR(IF($B167="Building","Buildings",INDEX(CoA_Schema[AsseticCategory],MATCH(1,(CoA_Schema[AssetType]=$D167)*(CoA_Schema[AssetClass]=$B167)*(CoA_Schema[AssetSubClass]=$C167)*(CoA_Schema[Title]=$F167),0),0)),"")</f>
        <v/>
      </c>
      <c r="AE167" s="93" t="str">
        <f t="array" ref="AE167">IFERROR(IF($B167="Building","Buildings",INDEX(CoA_Schema[FinancialClass],MATCH(1,(CoA_Schema[AssetType]=$D167)*(CoA_Schema[AssetClass]=$B167)*(CoA_Schema[AssetSubClass]=$C167),0),0)),"")</f>
        <v/>
      </c>
      <c r="AF167" s="93" t="str">
        <f t="array" ref="AF167">IFERROR(IF($B167="Building","Buildings",INDEX(CoA_Schema[FinancialSubClass],MATCH(1,(CoA_Schema[AssetType]=$D167)*(CoA_Schema[AssetClass]=$B167)*(CoA_Schema[AssetSubClass]=$C167),0),0)),"")</f>
        <v/>
      </c>
      <c r="AG167" s="93" t="str">
        <f>IFERROR(VLOOKUP($I167,UoM!$A:$C,2,FALSE),"")</f>
        <v/>
      </c>
      <c r="AH167" s="56" t="str">
        <f>IFERROR(VLOOKUP("Renewed Assets:"&amp;ROW(),'Handover Cost Report'!$A:$U,17,FALSE),"")</f>
        <v/>
      </c>
      <c r="AI167" s="56" t="str">
        <f>IFERROR(VLOOKUP("Renewed Assets:"&amp;ROW(),'Handover Cost Report'!$A:$U,18,FALSE),"")</f>
        <v/>
      </c>
      <c r="AJ167" s="56" t="str">
        <f>IFERROR(VLOOKUP("Renewed Assets:"&amp;ROW(),'Handover Cost Report'!$A:$U,19,FALSE),"")</f>
        <v/>
      </c>
    </row>
    <row r="168" spans="2:36" s="3" customFormat="1" ht="12.75" x14ac:dyDescent="0.2">
      <c r="B168" s="47"/>
      <c r="C168" s="47"/>
      <c r="D168" s="47"/>
      <c r="E168" s="47"/>
      <c r="F168" s="47"/>
      <c r="G168" s="47"/>
      <c r="H168" s="47"/>
      <c r="I168" s="47"/>
      <c r="J168" s="48"/>
      <c r="K168" s="56">
        <f t="shared" si="11"/>
        <v>0</v>
      </c>
      <c r="L168" s="93" t="str">
        <f>IFERROR(VLOOKUP($F168,SC_Component!$B:$C,2,FALSE),"")</f>
        <v/>
      </c>
      <c r="M168" s="58"/>
      <c r="N168" s="59">
        <f t="shared" si="12"/>
        <v>0</v>
      </c>
      <c r="O168" s="59">
        <f t="shared" si="13"/>
        <v>0</v>
      </c>
      <c r="P168" s="47"/>
      <c r="Q168" s="47"/>
      <c r="R168" s="47"/>
      <c r="S168" s="58"/>
      <c r="T168" s="47"/>
      <c r="U168" s="47"/>
      <c r="V168" s="119"/>
      <c r="W168" s="119"/>
      <c r="X168" s="47"/>
      <c r="Y168" s="47"/>
      <c r="Z168" s="47"/>
      <c r="AA168" s="47"/>
      <c r="AB168" s="47"/>
      <c r="AC168" s="47"/>
      <c r="AD168" s="93" t="str">
        <f t="array" ref="AD168">IFERROR(IF($B168="Building","Buildings",INDEX(CoA_Schema[AsseticCategory],MATCH(1,(CoA_Schema[AssetType]=$D168)*(CoA_Schema[AssetClass]=$B168)*(CoA_Schema[AssetSubClass]=$C168)*(CoA_Schema[Title]=$F168),0),0)),"")</f>
        <v/>
      </c>
      <c r="AE168" s="93" t="str">
        <f t="array" ref="AE168">IFERROR(IF($B168="Building","Buildings",INDEX(CoA_Schema[FinancialClass],MATCH(1,(CoA_Schema[AssetType]=$D168)*(CoA_Schema[AssetClass]=$B168)*(CoA_Schema[AssetSubClass]=$C168),0),0)),"")</f>
        <v/>
      </c>
      <c r="AF168" s="93" t="str">
        <f t="array" ref="AF168">IFERROR(IF($B168="Building","Buildings",INDEX(CoA_Schema[FinancialSubClass],MATCH(1,(CoA_Schema[AssetType]=$D168)*(CoA_Schema[AssetClass]=$B168)*(CoA_Schema[AssetSubClass]=$C168),0),0)),"")</f>
        <v/>
      </c>
      <c r="AG168" s="93" t="str">
        <f>IFERROR(VLOOKUP($I168,UoM!$A:$C,2,FALSE),"")</f>
        <v/>
      </c>
      <c r="AH168" s="56" t="str">
        <f>IFERROR(VLOOKUP("Renewed Assets:"&amp;ROW(),'Handover Cost Report'!$A:$U,17,FALSE),"")</f>
        <v/>
      </c>
      <c r="AI168" s="56" t="str">
        <f>IFERROR(VLOOKUP("Renewed Assets:"&amp;ROW(),'Handover Cost Report'!$A:$U,18,FALSE),"")</f>
        <v/>
      </c>
      <c r="AJ168" s="56" t="str">
        <f>IFERROR(VLOOKUP("Renewed Assets:"&amp;ROW(),'Handover Cost Report'!$A:$U,19,FALSE),"")</f>
        <v/>
      </c>
    </row>
    <row r="169" spans="2:36" s="3" customFormat="1" ht="12.75" x14ac:dyDescent="0.2">
      <c r="B169" s="47"/>
      <c r="C169" s="47"/>
      <c r="D169" s="47"/>
      <c r="E169" s="47"/>
      <c r="F169" s="47"/>
      <c r="G169" s="47"/>
      <c r="H169" s="47"/>
      <c r="I169" s="47"/>
      <c r="J169" s="48"/>
      <c r="K169" s="56">
        <f t="shared" si="11"/>
        <v>0</v>
      </c>
      <c r="L169" s="93" t="str">
        <f>IFERROR(VLOOKUP($F169,SC_Component!$B:$C,2,FALSE),"")</f>
        <v/>
      </c>
      <c r="M169" s="58"/>
      <c r="N169" s="59">
        <f t="shared" si="12"/>
        <v>0</v>
      </c>
      <c r="O169" s="59">
        <f t="shared" si="13"/>
        <v>0</v>
      </c>
      <c r="P169" s="47"/>
      <c r="Q169" s="47"/>
      <c r="R169" s="47"/>
      <c r="S169" s="58"/>
      <c r="T169" s="47"/>
      <c r="U169" s="47"/>
      <c r="V169" s="119"/>
      <c r="W169" s="119"/>
      <c r="X169" s="47"/>
      <c r="Y169" s="47"/>
      <c r="Z169" s="47"/>
      <c r="AA169" s="47"/>
      <c r="AB169" s="47"/>
      <c r="AC169" s="47"/>
      <c r="AD169" s="93" t="str">
        <f t="array" ref="AD169">IFERROR(IF($B169="Building","Buildings",INDEX(CoA_Schema[AsseticCategory],MATCH(1,(CoA_Schema[AssetType]=$D169)*(CoA_Schema[AssetClass]=$B169)*(CoA_Schema[AssetSubClass]=$C169)*(CoA_Schema[Title]=$F169),0),0)),"")</f>
        <v/>
      </c>
      <c r="AE169" s="93" t="str">
        <f t="array" ref="AE169">IFERROR(IF($B169="Building","Buildings",INDEX(CoA_Schema[FinancialClass],MATCH(1,(CoA_Schema[AssetType]=$D169)*(CoA_Schema[AssetClass]=$B169)*(CoA_Schema[AssetSubClass]=$C169),0),0)),"")</f>
        <v/>
      </c>
      <c r="AF169" s="93" t="str">
        <f t="array" ref="AF169">IFERROR(IF($B169="Building","Buildings",INDEX(CoA_Schema[FinancialSubClass],MATCH(1,(CoA_Schema[AssetType]=$D169)*(CoA_Schema[AssetClass]=$B169)*(CoA_Schema[AssetSubClass]=$C169),0),0)),"")</f>
        <v/>
      </c>
      <c r="AG169" s="93" t="str">
        <f>IFERROR(VLOOKUP($I169,UoM!$A:$C,2,FALSE),"")</f>
        <v/>
      </c>
      <c r="AH169" s="56" t="str">
        <f>IFERROR(VLOOKUP("Renewed Assets:"&amp;ROW(),'Handover Cost Report'!$A:$U,17,FALSE),"")</f>
        <v/>
      </c>
      <c r="AI169" s="56" t="str">
        <f>IFERROR(VLOOKUP("Renewed Assets:"&amp;ROW(),'Handover Cost Report'!$A:$U,18,FALSE),"")</f>
        <v/>
      </c>
      <c r="AJ169" s="56" t="str">
        <f>IFERROR(VLOOKUP("Renewed Assets:"&amp;ROW(),'Handover Cost Report'!$A:$U,19,FALSE),"")</f>
        <v/>
      </c>
    </row>
    <row r="170" spans="2:36" s="3" customFormat="1" ht="12.75" x14ac:dyDescent="0.2">
      <c r="B170" s="47"/>
      <c r="C170" s="47"/>
      <c r="D170" s="47"/>
      <c r="E170" s="47"/>
      <c r="F170" s="47"/>
      <c r="G170" s="47"/>
      <c r="H170" s="47"/>
      <c r="I170" s="47"/>
      <c r="J170" s="48"/>
      <c r="K170" s="56">
        <f t="shared" si="11"/>
        <v>0</v>
      </c>
      <c r="L170" s="93" t="str">
        <f>IFERROR(VLOOKUP($F170,SC_Component!$B:$C,2,FALSE),"")</f>
        <v/>
      </c>
      <c r="M170" s="58"/>
      <c r="N170" s="59">
        <f t="shared" si="12"/>
        <v>0</v>
      </c>
      <c r="O170" s="59">
        <f t="shared" si="13"/>
        <v>0</v>
      </c>
      <c r="P170" s="47"/>
      <c r="Q170" s="47"/>
      <c r="R170" s="47"/>
      <c r="S170" s="58"/>
      <c r="T170" s="47"/>
      <c r="U170" s="47"/>
      <c r="V170" s="119"/>
      <c r="W170" s="119"/>
      <c r="X170" s="47"/>
      <c r="Y170" s="47"/>
      <c r="Z170" s="47"/>
      <c r="AA170" s="47"/>
      <c r="AB170" s="47"/>
      <c r="AC170" s="47"/>
      <c r="AD170" s="93" t="str">
        <f t="array" ref="AD170">IFERROR(IF($B170="Building","Buildings",INDEX(CoA_Schema[AsseticCategory],MATCH(1,(CoA_Schema[AssetType]=$D170)*(CoA_Schema[AssetClass]=$B170)*(CoA_Schema[AssetSubClass]=$C170)*(CoA_Schema[Title]=$F170),0),0)),"")</f>
        <v/>
      </c>
      <c r="AE170" s="93" t="str">
        <f t="array" ref="AE170">IFERROR(IF($B170="Building","Buildings",INDEX(CoA_Schema[FinancialClass],MATCH(1,(CoA_Schema[AssetType]=$D170)*(CoA_Schema[AssetClass]=$B170)*(CoA_Schema[AssetSubClass]=$C170),0),0)),"")</f>
        <v/>
      </c>
      <c r="AF170" s="93" t="str">
        <f t="array" ref="AF170">IFERROR(IF($B170="Building","Buildings",INDEX(CoA_Schema[FinancialSubClass],MATCH(1,(CoA_Schema[AssetType]=$D170)*(CoA_Schema[AssetClass]=$B170)*(CoA_Schema[AssetSubClass]=$C170),0),0)),"")</f>
        <v/>
      </c>
      <c r="AG170" s="93" t="str">
        <f>IFERROR(VLOOKUP($I170,UoM!$A:$C,2,FALSE),"")</f>
        <v/>
      </c>
      <c r="AH170" s="56" t="str">
        <f>IFERROR(VLOOKUP("Renewed Assets:"&amp;ROW(),'Handover Cost Report'!$A:$U,17,FALSE),"")</f>
        <v/>
      </c>
      <c r="AI170" s="56" t="str">
        <f>IFERROR(VLOOKUP("Renewed Assets:"&amp;ROW(),'Handover Cost Report'!$A:$U,18,FALSE),"")</f>
        <v/>
      </c>
      <c r="AJ170" s="56" t="str">
        <f>IFERROR(VLOOKUP("Renewed Assets:"&amp;ROW(),'Handover Cost Report'!$A:$U,19,FALSE),"")</f>
        <v/>
      </c>
    </row>
    <row r="171" spans="2:36" s="3" customFormat="1" ht="12.75" x14ac:dyDescent="0.2">
      <c r="B171" s="47"/>
      <c r="C171" s="47"/>
      <c r="D171" s="47"/>
      <c r="E171" s="47"/>
      <c r="F171" s="47"/>
      <c r="G171" s="47"/>
      <c r="H171" s="47"/>
      <c r="I171" s="47"/>
      <c r="J171" s="48"/>
      <c r="K171" s="56">
        <f t="shared" si="11"/>
        <v>0</v>
      </c>
      <c r="L171" s="93" t="str">
        <f>IFERROR(VLOOKUP($F171,SC_Component!$B:$C,2,FALSE),"")</f>
        <v/>
      </c>
      <c r="M171" s="58"/>
      <c r="N171" s="59">
        <f t="shared" si="12"/>
        <v>0</v>
      </c>
      <c r="O171" s="59">
        <f t="shared" si="13"/>
        <v>0</v>
      </c>
      <c r="P171" s="47"/>
      <c r="Q171" s="47"/>
      <c r="R171" s="47"/>
      <c r="S171" s="58"/>
      <c r="T171" s="47"/>
      <c r="U171" s="47"/>
      <c r="V171" s="119"/>
      <c r="W171" s="119"/>
      <c r="X171" s="47"/>
      <c r="Y171" s="47"/>
      <c r="Z171" s="47"/>
      <c r="AA171" s="47"/>
      <c r="AB171" s="47"/>
      <c r="AC171" s="47"/>
      <c r="AD171" s="93" t="str">
        <f t="array" ref="AD171">IFERROR(IF($B171="Building","Buildings",INDEX(CoA_Schema[AsseticCategory],MATCH(1,(CoA_Schema[AssetType]=$D171)*(CoA_Schema[AssetClass]=$B171)*(CoA_Schema[AssetSubClass]=$C171)*(CoA_Schema[Title]=$F171),0),0)),"")</f>
        <v/>
      </c>
      <c r="AE171" s="93" t="str">
        <f t="array" ref="AE171">IFERROR(IF($B171="Building","Buildings",INDEX(CoA_Schema[FinancialClass],MATCH(1,(CoA_Schema[AssetType]=$D171)*(CoA_Schema[AssetClass]=$B171)*(CoA_Schema[AssetSubClass]=$C171),0),0)),"")</f>
        <v/>
      </c>
      <c r="AF171" s="93" t="str">
        <f t="array" ref="AF171">IFERROR(IF($B171="Building","Buildings",INDEX(CoA_Schema[FinancialSubClass],MATCH(1,(CoA_Schema[AssetType]=$D171)*(CoA_Schema[AssetClass]=$B171)*(CoA_Schema[AssetSubClass]=$C171),0),0)),"")</f>
        <v/>
      </c>
      <c r="AG171" s="93" t="str">
        <f>IFERROR(VLOOKUP($I171,UoM!$A:$C,2,FALSE),"")</f>
        <v/>
      </c>
      <c r="AH171" s="56" t="str">
        <f>IFERROR(VLOOKUP("Renewed Assets:"&amp;ROW(),'Handover Cost Report'!$A:$U,17,FALSE),"")</f>
        <v/>
      </c>
      <c r="AI171" s="56" t="str">
        <f>IFERROR(VLOOKUP("Renewed Assets:"&amp;ROW(),'Handover Cost Report'!$A:$U,18,FALSE),"")</f>
        <v/>
      </c>
      <c r="AJ171" s="56" t="str">
        <f>IFERROR(VLOOKUP("Renewed Assets:"&amp;ROW(),'Handover Cost Report'!$A:$U,19,FALSE),"")</f>
        <v/>
      </c>
    </row>
    <row r="172" spans="2:36" s="3" customFormat="1" ht="12.75" x14ac:dyDescent="0.2">
      <c r="B172" s="47"/>
      <c r="C172" s="47"/>
      <c r="D172" s="47"/>
      <c r="E172" s="47"/>
      <c r="F172" s="47"/>
      <c r="G172" s="47"/>
      <c r="H172" s="47"/>
      <c r="I172" s="47"/>
      <c r="J172" s="48"/>
      <c r="K172" s="56">
        <f t="shared" si="11"/>
        <v>0</v>
      </c>
      <c r="L172" s="93" t="str">
        <f>IFERROR(VLOOKUP($F172,SC_Component!$B:$C,2,FALSE),"")</f>
        <v/>
      </c>
      <c r="M172" s="58"/>
      <c r="N172" s="59">
        <f t="shared" si="12"/>
        <v>0</v>
      </c>
      <c r="O172" s="59">
        <f t="shared" si="13"/>
        <v>0</v>
      </c>
      <c r="P172" s="47"/>
      <c r="Q172" s="47"/>
      <c r="R172" s="47"/>
      <c r="S172" s="58"/>
      <c r="T172" s="47"/>
      <c r="U172" s="47"/>
      <c r="V172" s="119"/>
      <c r="W172" s="119"/>
      <c r="X172" s="47"/>
      <c r="Y172" s="47"/>
      <c r="Z172" s="47"/>
      <c r="AA172" s="47"/>
      <c r="AB172" s="47"/>
      <c r="AC172" s="47"/>
      <c r="AD172" s="93" t="str">
        <f t="array" ref="AD172">IFERROR(IF($B172="Building","Buildings",INDEX(CoA_Schema[AsseticCategory],MATCH(1,(CoA_Schema[AssetType]=$D172)*(CoA_Schema[AssetClass]=$B172)*(CoA_Schema[AssetSubClass]=$C172)*(CoA_Schema[Title]=$F172),0),0)),"")</f>
        <v/>
      </c>
      <c r="AE172" s="93" t="str">
        <f t="array" ref="AE172">IFERROR(IF($B172="Building","Buildings",INDEX(CoA_Schema[FinancialClass],MATCH(1,(CoA_Schema[AssetType]=$D172)*(CoA_Schema[AssetClass]=$B172)*(CoA_Schema[AssetSubClass]=$C172),0),0)),"")</f>
        <v/>
      </c>
      <c r="AF172" s="93" t="str">
        <f t="array" ref="AF172">IFERROR(IF($B172="Building","Buildings",INDEX(CoA_Schema[FinancialSubClass],MATCH(1,(CoA_Schema[AssetType]=$D172)*(CoA_Schema[AssetClass]=$B172)*(CoA_Schema[AssetSubClass]=$C172),0),0)),"")</f>
        <v/>
      </c>
      <c r="AG172" s="93" t="str">
        <f>IFERROR(VLOOKUP($I172,UoM!$A:$C,2,FALSE),"")</f>
        <v/>
      </c>
      <c r="AH172" s="56" t="str">
        <f>IFERROR(VLOOKUP("Renewed Assets:"&amp;ROW(),'Handover Cost Report'!$A:$U,17,FALSE),"")</f>
        <v/>
      </c>
      <c r="AI172" s="56" t="str">
        <f>IFERROR(VLOOKUP("Renewed Assets:"&amp;ROW(),'Handover Cost Report'!$A:$U,18,FALSE),"")</f>
        <v/>
      </c>
      <c r="AJ172" s="56" t="str">
        <f>IFERROR(VLOOKUP("Renewed Assets:"&amp;ROW(),'Handover Cost Report'!$A:$U,19,FALSE),"")</f>
        <v/>
      </c>
    </row>
    <row r="173" spans="2:36" s="3" customFormat="1" ht="12.75" x14ac:dyDescent="0.2">
      <c r="B173" s="47"/>
      <c r="C173" s="47"/>
      <c r="D173" s="47"/>
      <c r="E173" s="47"/>
      <c r="F173" s="47"/>
      <c r="G173" s="47"/>
      <c r="H173" s="47"/>
      <c r="I173" s="47"/>
      <c r="J173" s="48"/>
      <c r="K173" s="56">
        <f t="shared" si="11"/>
        <v>0</v>
      </c>
      <c r="L173" s="93" t="str">
        <f>IFERROR(VLOOKUP($F173,SC_Component!$B:$C,2,FALSE),"")</f>
        <v/>
      </c>
      <c r="M173" s="58"/>
      <c r="N173" s="59">
        <f t="shared" si="12"/>
        <v>0</v>
      </c>
      <c r="O173" s="59">
        <f t="shared" si="13"/>
        <v>0</v>
      </c>
      <c r="P173" s="47"/>
      <c r="Q173" s="47"/>
      <c r="R173" s="47"/>
      <c r="S173" s="58"/>
      <c r="T173" s="47"/>
      <c r="U173" s="47"/>
      <c r="V173" s="119"/>
      <c r="W173" s="119"/>
      <c r="X173" s="47"/>
      <c r="Y173" s="47"/>
      <c r="Z173" s="47"/>
      <c r="AA173" s="47"/>
      <c r="AB173" s="47"/>
      <c r="AC173" s="47"/>
      <c r="AD173" s="93" t="str">
        <f t="array" ref="AD173">IFERROR(IF($B173="Building","Buildings",INDEX(CoA_Schema[AsseticCategory],MATCH(1,(CoA_Schema[AssetType]=$D173)*(CoA_Schema[AssetClass]=$B173)*(CoA_Schema[AssetSubClass]=$C173)*(CoA_Schema[Title]=$F173),0),0)),"")</f>
        <v/>
      </c>
      <c r="AE173" s="93" t="str">
        <f t="array" ref="AE173">IFERROR(IF($B173="Building","Buildings",INDEX(CoA_Schema[FinancialClass],MATCH(1,(CoA_Schema[AssetType]=$D173)*(CoA_Schema[AssetClass]=$B173)*(CoA_Schema[AssetSubClass]=$C173),0),0)),"")</f>
        <v/>
      </c>
      <c r="AF173" s="93" t="str">
        <f t="array" ref="AF173">IFERROR(IF($B173="Building","Buildings",INDEX(CoA_Schema[FinancialSubClass],MATCH(1,(CoA_Schema[AssetType]=$D173)*(CoA_Schema[AssetClass]=$B173)*(CoA_Schema[AssetSubClass]=$C173),0),0)),"")</f>
        <v/>
      </c>
      <c r="AG173" s="93" t="str">
        <f>IFERROR(VLOOKUP($I173,UoM!$A:$C,2,FALSE),"")</f>
        <v/>
      </c>
      <c r="AH173" s="56" t="str">
        <f>IFERROR(VLOOKUP("Renewed Assets:"&amp;ROW(),'Handover Cost Report'!$A:$U,17,FALSE),"")</f>
        <v/>
      </c>
      <c r="AI173" s="56" t="str">
        <f>IFERROR(VLOOKUP("Renewed Assets:"&amp;ROW(),'Handover Cost Report'!$A:$U,18,FALSE),"")</f>
        <v/>
      </c>
      <c r="AJ173" s="56" t="str">
        <f>IFERROR(VLOOKUP("Renewed Assets:"&amp;ROW(),'Handover Cost Report'!$A:$U,19,FALSE),"")</f>
        <v/>
      </c>
    </row>
    <row r="174" spans="2:36" s="3" customFormat="1" ht="12.75" x14ac:dyDescent="0.2">
      <c r="B174" s="47"/>
      <c r="C174" s="47"/>
      <c r="D174" s="47"/>
      <c r="E174" s="47"/>
      <c r="F174" s="47"/>
      <c r="G174" s="47"/>
      <c r="H174" s="47"/>
      <c r="I174" s="47"/>
      <c r="J174" s="48"/>
      <c r="K174" s="56">
        <f t="shared" si="11"/>
        <v>0</v>
      </c>
      <c r="L174" s="93" t="str">
        <f>IFERROR(VLOOKUP($F174,SC_Component!$B:$C,2,FALSE),"")</f>
        <v/>
      </c>
      <c r="M174" s="58"/>
      <c r="N174" s="59">
        <f t="shared" si="12"/>
        <v>0</v>
      </c>
      <c r="O174" s="59">
        <f t="shared" si="13"/>
        <v>0</v>
      </c>
      <c r="P174" s="47"/>
      <c r="Q174" s="47"/>
      <c r="R174" s="47"/>
      <c r="S174" s="58"/>
      <c r="T174" s="47"/>
      <c r="U174" s="47"/>
      <c r="V174" s="119"/>
      <c r="W174" s="119"/>
      <c r="X174" s="47"/>
      <c r="Y174" s="47"/>
      <c r="Z174" s="47"/>
      <c r="AA174" s="47"/>
      <c r="AB174" s="47"/>
      <c r="AC174" s="47"/>
      <c r="AD174" s="93" t="str">
        <f t="array" ref="AD174">IFERROR(IF($B174="Building","Buildings",INDEX(CoA_Schema[AsseticCategory],MATCH(1,(CoA_Schema[AssetType]=$D174)*(CoA_Schema[AssetClass]=$B174)*(CoA_Schema[AssetSubClass]=$C174)*(CoA_Schema[Title]=$F174),0),0)),"")</f>
        <v/>
      </c>
      <c r="AE174" s="93" t="str">
        <f t="array" ref="AE174">IFERROR(IF($B174="Building","Buildings",INDEX(CoA_Schema[FinancialClass],MATCH(1,(CoA_Schema[AssetType]=$D174)*(CoA_Schema[AssetClass]=$B174)*(CoA_Schema[AssetSubClass]=$C174),0),0)),"")</f>
        <v/>
      </c>
      <c r="AF174" s="93" t="str">
        <f t="array" ref="AF174">IFERROR(IF($B174="Building","Buildings",INDEX(CoA_Schema[FinancialSubClass],MATCH(1,(CoA_Schema[AssetType]=$D174)*(CoA_Schema[AssetClass]=$B174)*(CoA_Schema[AssetSubClass]=$C174),0),0)),"")</f>
        <v/>
      </c>
      <c r="AG174" s="93" t="str">
        <f>IFERROR(VLOOKUP($I174,UoM!$A:$C,2,FALSE),"")</f>
        <v/>
      </c>
      <c r="AH174" s="56" t="str">
        <f>IFERROR(VLOOKUP("Renewed Assets:"&amp;ROW(),'Handover Cost Report'!$A:$U,17,FALSE),"")</f>
        <v/>
      </c>
      <c r="AI174" s="56" t="str">
        <f>IFERROR(VLOOKUP("Renewed Assets:"&amp;ROW(),'Handover Cost Report'!$A:$U,18,FALSE),"")</f>
        <v/>
      </c>
      <c r="AJ174" s="56" t="str">
        <f>IFERROR(VLOOKUP("Renewed Assets:"&amp;ROW(),'Handover Cost Report'!$A:$U,19,FALSE),"")</f>
        <v/>
      </c>
    </row>
    <row r="175" spans="2:36" s="3" customFormat="1" ht="12.75" x14ac:dyDescent="0.2">
      <c r="B175" s="47"/>
      <c r="C175" s="47"/>
      <c r="D175" s="47"/>
      <c r="E175" s="47"/>
      <c r="F175" s="47"/>
      <c r="G175" s="47"/>
      <c r="H175" s="47"/>
      <c r="I175" s="47"/>
      <c r="J175" s="48"/>
      <c r="K175" s="56">
        <f t="shared" si="11"/>
        <v>0</v>
      </c>
      <c r="L175" s="93" t="str">
        <f>IFERROR(VLOOKUP($F175,SC_Component!$B:$C,2,FALSE),"")</f>
        <v/>
      </c>
      <c r="M175" s="58"/>
      <c r="N175" s="59">
        <f t="shared" si="12"/>
        <v>0</v>
      </c>
      <c r="O175" s="59">
        <f t="shared" si="13"/>
        <v>0</v>
      </c>
      <c r="P175" s="47"/>
      <c r="Q175" s="47"/>
      <c r="R175" s="47"/>
      <c r="S175" s="58"/>
      <c r="T175" s="47"/>
      <c r="U175" s="47"/>
      <c r="V175" s="119"/>
      <c r="W175" s="119"/>
      <c r="X175" s="47"/>
      <c r="Y175" s="47"/>
      <c r="Z175" s="47"/>
      <c r="AA175" s="47"/>
      <c r="AB175" s="47"/>
      <c r="AC175" s="47"/>
      <c r="AD175" s="93" t="str">
        <f t="array" ref="AD175">IFERROR(IF($B175="Building","Buildings",INDEX(CoA_Schema[AsseticCategory],MATCH(1,(CoA_Schema[AssetType]=$D175)*(CoA_Schema[AssetClass]=$B175)*(CoA_Schema[AssetSubClass]=$C175)*(CoA_Schema[Title]=$F175),0),0)),"")</f>
        <v/>
      </c>
      <c r="AE175" s="93" t="str">
        <f t="array" ref="AE175">IFERROR(IF($B175="Building","Buildings",INDEX(CoA_Schema[FinancialClass],MATCH(1,(CoA_Schema[AssetType]=$D175)*(CoA_Schema[AssetClass]=$B175)*(CoA_Schema[AssetSubClass]=$C175),0),0)),"")</f>
        <v/>
      </c>
      <c r="AF175" s="93" t="str">
        <f t="array" ref="AF175">IFERROR(IF($B175="Building","Buildings",INDEX(CoA_Schema[FinancialSubClass],MATCH(1,(CoA_Schema[AssetType]=$D175)*(CoA_Schema[AssetClass]=$B175)*(CoA_Schema[AssetSubClass]=$C175),0),0)),"")</f>
        <v/>
      </c>
      <c r="AG175" s="93" t="str">
        <f>IFERROR(VLOOKUP($I175,UoM!$A:$C,2,FALSE),"")</f>
        <v/>
      </c>
      <c r="AH175" s="56" t="str">
        <f>IFERROR(VLOOKUP("Renewed Assets:"&amp;ROW(),'Handover Cost Report'!$A:$U,17,FALSE),"")</f>
        <v/>
      </c>
      <c r="AI175" s="56" t="str">
        <f>IFERROR(VLOOKUP("Renewed Assets:"&amp;ROW(),'Handover Cost Report'!$A:$U,18,FALSE),"")</f>
        <v/>
      </c>
      <c r="AJ175" s="56" t="str">
        <f>IFERROR(VLOOKUP("Renewed Assets:"&amp;ROW(),'Handover Cost Report'!$A:$U,19,FALSE),"")</f>
        <v/>
      </c>
    </row>
    <row r="176" spans="2:36" s="3" customFormat="1" ht="12.75" x14ac:dyDescent="0.2">
      <c r="B176" s="47"/>
      <c r="C176" s="47"/>
      <c r="D176" s="47"/>
      <c r="E176" s="47"/>
      <c r="F176" s="47"/>
      <c r="G176" s="47"/>
      <c r="H176" s="47"/>
      <c r="I176" s="47"/>
      <c r="J176" s="48"/>
      <c r="K176" s="56">
        <f t="shared" si="11"/>
        <v>0</v>
      </c>
      <c r="L176" s="93" t="str">
        <f>IFERROR(VLOOKUP($F176,SC_Component!$B:$C,2,FALSE),"")</f>
        <v/>
      </c>
      <c r="M176" s="58"/>
      <c r="N176" s="59">
        <f t="shared" si="12"/>
        <v>0</v>
      </c>
      <c r="O176" s="59">
        <f t="shared" si="13"/>
        <v>0</v>
      </c>
      <c r="P176" s="47"/>
      <c r="Q176" s="47"/>
      <c r="R176" s="47"/>
      <c r="S176" s="58"/>
      <c r="T176" s="47"/>
      <c r="U176" s="47"/>
      <c r="V176" s="119"/>
      <c r="W176" s="119"/>
      <c r="X176" s="47"/>
      <c r="Y176" s="47"/>
      <c r="Z176" s="47"/>
      <c r="AA176" s="47"/>
      <c r="AB176" s="47"/>
      <c r="AC176" s="47"/>
      <c r="AD176" s="93" t="str">
        <f t="array" ref="AD176">IFERROR(IF($B176="Building","Buildings",INDEX(CoA_Schema[AsseticCategory],MATCH(1,(CoA_Schema[AssetType]=$D176)*(CoA_Schema[AssetClass]=$B176)*(CoA_Schema[AssetSubClass]=$C176)*(CoA_Schema[Title]=$F176),0),0)),"")</f>
        <v/>
      </c>
      <c r="AE176" s="93" t="str">
        <f t="array" ref="AE176">IFERROR(IF($B176="Building","Buildings",INDEX(CoA_Schema[FinancialClass],MATCH(1,(CoA_Schema[AssetType]=$D176)*(CoA_Schema[AssetClass]=$B176)*(CoA_Schema[AssetSubClass]=$C176),0),0)),"")</f>
        <v/>
      </c>
      <c r="AF176" s="93" t="str">
        <f t="array" ref="AF176">IFERROR(IF($B176="Building","Buildings",INDEX(CoA_Schema[FinancialSubClass],MATCH(1,(CoA_Schema[AssetType]=$D176)*(CoA_Schema[AssetClass]=$B176)*(CoA_Schema[AssetSubClass]=$C176),0),0)),"")</f>
        <v/>
      </c>
      <c r="AG176" s="93" t="str">
        <f>IFERROR(VLOOKUP($I176,UoM!$A:$C,2,FALSE),"")</f>
        <v/>
      </c>
      <c r="AH176" s="56" t="str">
        <f>IFERROR(VLOOKUP("Renewed Assets:"&amp;ROW(),'Handover Cost Report'!$A:$U,17,FALSE),"")</f>
        <v/>
      </c>
      <c r="AI176" s="56" t="str">
        <f>IFERROR(VLOOKUP("Renewed Assets:"&amp;ROW(),'Handover Cost Report'!$A:$U,18,FALSE),"")</f>
        <v/>
      </c>
      <c r="AJ176" s="56" t="str">
        <f>IFERROR(VLOOKUP("Renewed Assets:"&amp;ROW(),'Handover Cost Report'!$A:$U,19,FALSE),"")</f>
        <v/>
      </c>
    </row>
    <row r="177" spans="2:36" s="3" customFormat="1" ht="12.75" x14ac:dyDescent="0.2">
      <c r="B177" s="47"/>
      <c r="C177" s="47"/>
      <c r="D177" s="47"/>
      <c r="E177" s="47"/>
      <c r="F177" s="47"/>
      <c r="G177" s="47"/>
      <c r="H177" s="47"/>
      <c r="I177" s="47"/>
      <c r="J177" s="48"/>
      <c r="K177" s="56">
        <f t="shared" si="11"/>
        <v>0</v>
      </c>
      <c r="L177" s="93" t="str">
        <f>IFERROR(VLOOKUP($F177,SC_Component!$B:$C,2,FALSE),"")</f>
        <v/>
      </c>
      <c r="M177" s="58"/>
      <c r="N177" s="59">
        <f t="shared" si="12"/>
        <v>0</v>
      </c>
      <c r="O177" s="59">
        <f t="shared" si="13"/>
        <v>0</v>
      </c>
      <c r="P177" s="47"/>
      <c r="Q177" s="47"/>
      <c r="R177" s="47"/>
      <c r="S177" s="58"/>
      <c r="T177" s="47"/>
      <c r="U177" s="47"/>
      <c r="V177" s="119"/>
      <c r="W177" s="119"/>
      <c r="X177" s="47"/>
      <c r="Y177" s="47"/>
      <c r="Z177" s="47"/>
      <c r="AA177" s="47"/>
      <c r="AB177" s="47"/>
      <c r="AC177" s="47"/>
      <c r="AD177" s="93" t="str">
        <f t="array" ref="AD177">IFERROR(IF($B177="Building","Buildings",INDEX(CoA_Schema[AsseticCategory],MATCH(1,(CoA_Schema[AssetType]=$D177)*(CoA_Schema[AssetClass]=$B177)*(CoA_Schema[AssetSubClass]=$C177)*(CoA_Schema[Title]=$F177),0),0)),"")</f>
        <v/>
      </c>
      <c r="AE177" s="93" t="str">
        <f t="array" ref="AE177">IFERROR(IF($B177="Building","Buildings",INDEX(CoA_Schema[FinancialClass],MATCH(1,(CoA_Schema[AssetType]=$D177)*(CoA_Schema[AssetClass]=$B177)*(CoA_Schema[AssetSubClass]=$C177),0),0)),"")</f>
        <v/>
      </c>
      <c r="AF177" s="93" t="str">
        <f t="array" ref="AF177">IFERROR(IF($B177="Building","Buildings",INDEX(CoA_Schema[FinancialSubClass],MATCH(1,(CoA_Schema[AssetType]=$D177)*(CoA_Schema[AssetClass]=$B177)*(CoA_Schema[AssetSubClass]=$C177),0),0)),"")</f>
        <v/>
      </c>
      <c r="AG177" s="93" t="str">
        <f>IFERROR(VLOOKUP($I177,UoM!$A:$C,2,FALSE),"")</f>
        <v/>
      </c>
      <c r="AH177" s="56" t="str">
        <f>IFERROR(VLOOKUP("Renewed Assets:"&amp;ROW(),'Handover Cost Report'!$A:$U,17,FALSE),"")</f>
        <v/>
      </c>
      <c r="AI177" s="56" t="str">
        <f>IFERROR(VLOOKUP("Renewed Assets:"&amp;ROW(),'Handover Cost Report'!$A:$U,18,FALSE),"")</f>
        <v/>
      </c>
      <c r="AJ177" s="56" t="str">
        <f>IFERROR(VLOOKUP("Renewed Assets:"&amp;ROW(),'Handover Cost Report'!$A:$U,19,FALSE),"")</f>
        <v/>
      </c>
    </row>
    <row r="178" spans="2:36" s="3" customFormat="1" ht="12.75" x14ac:dyDescent="0.2">
      <c r="B178" s="47"/>
      <c r="C178" s="47"/>
      <c r="D178" s="47"/>
      <c r="E178" s="47"/>
      <c r="F178" s="47"/>
      <c r="G178" s="47"/>
      <c r="H178" s="47"/>
      <c r="I178" s="47"/>
      <c r="J178" s="48"/>
      <c r="K178" s="56">
        <f t="shared" si="11"/>
        <v>0</v>
      </c>
      <c r="L178" s="93" t="str">
        <f>IFERROR(VLOOKUP($F178,SC_Component!$B:$C,2,FALSE),"")</f>
        <v/>
      </c>
      <c r="M178" s="58"/>
      <c r="N178" s="59">
        <f t="shared" si="12"/>
        <v>0</v>
      </c>
      <c r="O178" s="59">
        <f t="shared" si="13"/>
        <v>0</v>
      </c>
      <c r="P178" s="47"/>
      <c r="Q178" s="47"/>
      <c r="R178" s="47"/>
      <c r="S178" s="58"/>
      <c r="T178" s="47"/>
      <c r="U178" s="47"/>
      <c r="V178" s="119"/>
      <c r="W178" s="119"/>
      <c r="X178" s="47"/>
      <c r="Y178" s="47"/>
      <c r="Z178" s="47"/>
      <c r="AA178" s="47"/>
      <c r="AB178" s="47"/>
      <c r="AC178" s="47"/>
      <c r="AD178" s="93" t="str">
        <f t="array" ref="AD178">IFERROR(IF($B178="Building","Buildings",INDEX(CoA_Schema[AsseticCategory],MATCH(1,(CoA_Schema[AssetType]=$D178)*(CoA_Schema[AssetClass]=$B178)*(CoA_Schema[AssetSubClass]=$C178)*(CoA_Schema[Title]=$F178),0),0)),"")</f>
        <v/>
      </c>
      <c r="AE178" s="93" t="str">
        <f t="array" ref="AE178">IFERROR(IF($B178="Building","Buildings",INDEX(CoA_Schema[FinancialClass],MATCH(1,(CoA_Schema[AssetType]=$D178)*(CoA_Schema[AssetClass]=$B178)*(CoA_Schema[AssetSubClass]=$C178),0),0)),"")</f>
        <v/>
      </c>
      <c r="AF178" s="93" t="str">
        <f t="array" ref="AF178">IFERROR(IF($B178="Building","Buildings",INDEX(CoA_Schema[FinancialSubClass],MATCH(1,(CoA_Schema[AssetType]=$D178)*(CoA_Schema[AssetClass]=$B178)*(CoA_Schema[AssetSubClass]=$C178),0),0)),"")</f>
        <v/>
      </c>
      <c r="AG178" s="93" t="str">
        <f>IFERROR(VLOOKUP($I178,UoM!$A:$C,2,FALSE),"")</f>
        <v/>
      </c>
      <c r="AH178" s="56" t="str">
        <f>IFERROR(VLOOKUP("Renewed Assets:"&amp;ROW(),'Handover Cost Report'!$A:$U,17,FALSE),"")</f>
        <v/>
      </c>
      <c r="AI178" s="56" t="str">
        <f>IFERROR(VLOOKUP("Renewed Assets:"&amp;ROW(),'Handover Cost Report'!$A:$U,18,FALSE),"")</f>
        <v/>
      </c>
      <c r="AJ178" s="56" t="str">
        <f>IFERROR(VLOOKUP("Renewed Assets:"&amp;ROW(),'Handover Cost Report'!$A:$U,19,FALSE),"")</f>
        <v/>
      </c>
    </row>
    <row r="179" spans="2:36" s="3" customFormat="1" ht="12.75" x14ac:dyDescent="0.2">
      <c r="B179" s="47"/>
      <c r="C179" s="47"/>
      <c r="D179" s="47"/>
      <c r="E179" s="47"/>
      <c r="F179" s="47"/>
      <c r="G179" s="47"/>
      <c r="H179" s="47"/>
      <c r="I179" s="47"/>
      <c r="J179" s="48"/>
      <c r="K179" s="56">
        <f t="shared" si="11"/>
        <v>0</v>
      </c>
      <c r="L179" s="93" t="str">
        <f>IFERROR(VLOOKUP($F179,SC_Component!$B:$C,2,FALSE),"")</f>
        <v/>
      </c>
      <c r="M179" s="58"/>
      <c r="N179" s="59">
        <f t="shared" si="12"/>
        <v>0</v>
      </c>
      <c r="O179" s="59">
        <f t="shared" si="13"/>
        <v>0</v>
      </c>
      <c r="P179" s="47"/>
      <c r="Q179" s="47"/>
      <c r="R179" s="47"/>
      <c r="S179" s="58"/>
      <c r="T179" s="47"/>
      <c r="U179" s="47"/>
      <c r="V179" s="119"/>
      <c r="W179" s="119"/>
      <c r="X179" s="47"/>
      <c r="Y179" s="47"/>
      <c r="Z179" s="47"/>
      <c r="AA179" s="47"/>
      <c r="AB179" s="47"/>
      <c r="AC179" s="47"/>
      <c r="AD179" s="93" t="str">
        <f t="array" ref="AD179">IFERROR(IF($B179="Building","Buildings",INDEX(CoA_Schema[AsseticCategory],MATCH(1,(CoA_Schema[AssetType]=$D179)*(CoA_Schema[AssetClass]=$B179)*(CoA_Schema[AssetSubClass]=$C179)*(CoA_Schema[Title]=$F179),0),0)),"")</f>
        <v/>
      </c>
      <c r="AE179" s="93" t="str">
        <f t="array" ref="AE179">IFERROR(IF($B179="Building","Buildings",INDEX(CoA_Schema[FinancialClass],MATCH(1,(CoA_Schema[AssetType]=$D179)*(CoA_Schema[AssetClass]=$B179)*(CoA_Schema[AssetSubClass]=$C179),0),0)),"")</f>
        <v/>
      </c>
      <c r="AF179" s="93" t="str">
        <f t="array" ref="AF179">IFERROR(IF($B179="Building","Buildings",INDEX(CoA_Schema[FinancialSubClass],MATCH(1,(CoA_Schema[AssetType]=$D179)*(CoA_Schema[AssetClass]=$B179)*(CoA_Schema[AssetSubClass]=$C179),0),0)),"")</f>
        <v/>
      </c>
      <c r="AG179" s="93" t="str">
        <f>IFERROR(VLOOKUP($I179,UoM!$A:$C,2,FALSE),"")</f>
        <v/>
      </c>
      <c r="AH179" s="56" t="str">
        <f>IFERROR(VLOOKUP("Renewed Assets:"&amp;ROW(),'Handover Cost Report'!$A:$U,17,FALSE),"")</f>
        <v/>
      </c>
      <c r="AI179" s="56" t="str">
        <f>IFERROR(VLOOKUP("Renewed Assets:"&amp;ROW(),'Handover Cost Report'!$A:$U,18,FALSE),"")</f>
        <v/>
      </c>
      <c r="AJ179" s="56" t="str">
        <f>IFERROR(VLOOKUP("Renewed Assets:"&amp;ROW(),'Handover Cost Report'!$A:$U,19,FALSE),"")</f>
        <v/>
      </c>
    </row>
    <row r="180" spans="2:36" s="3" customFormat="1" ht="12.75" x14ac:dyDescent="0.2">
      <c r="B180" s="47"/>
      <c r="C180" s="47"/>
      <c r="D180" s="47"/>
      <c r="E180" s="47"/>
      <c r="F180" s="47"/>
      <c r="G180" s="47"/>
      <c r="H180" s="47"/>
      <c r="I180" s="47"/>
      <c r="J180" s="48"/>
      <c r="K180" s="56">
        <f t="shared" si="11"/>
        <v>0</v>
      </c>
      <c r="L180" s="93" t="str">
        <f>IFERROR(VLOOKUP($F180,SC_Component!$B:$C,2,FALSE),"")</f>
        <v/>
      </c>
      <c r="M180" s="58"/>
      <c r="N180" s="59">
        <f t="shared" si="12"/>
        <v>0</v>
      </c>
      <c r="O180" s="59">
        <f t="shared" si="13"/>
        <v>0</v>
      </c>
      <c r="P180" s="47"/>
      <c r="Q180" s="47"/>
      <c r="R180" s="47"/>
      <c r="S180" s="58"/>
      <c r="T180" s="47"/>
      <c r="U180" s="47"/>
      <c r="V180" s="119"/>
      <c r="W180" s="119"/>
      <c r="X180" s="47"/>
      <c r="Y180" s="47"/>
      <c r="Z180" s="47"/>
      <c r="AA180" s="47"/>
      <c r="AB180" s="47"/>
      <c r="AC180" s="47"/>
      <c r="AD180" s="93" t="str">
        <f t="array" ref="AD180">IFERROR(IF($B180="Building","Buildings",INDEX(CoA_Schema[AsseticCategory],MATCH(1,(CoA_Schema[AssetType]=$D180)*(CoA_Schema[AssetClass]=$B180)*(CoA_Schema[AssetSubClass]=$C180)*(CoA_Schema[Title]=$F180),0),0)),"")</f>
        <v/>
      </c>
      <c r="AE180" s="93" t="str">
        <f t="array" ref="AE180">IFERROR(IF($B180="Building","Buildings",INDEX(CoA_Schema[FinancialClass],MATCH(1,(CoA_Schema[AssetType]=$D180)*(CoA_Schema[AssetClass]=$B180)*(CoA_Schema[AssetSubClass]=$C180),0),0)),"")</f>
        <v/>
      </c>
      <c r="AF180" s="93" t="str">
        <f t="array" ref="AF180">IFERROR(IF($B180="Building","Buildings",INDEX(CoA_Schema[FinancialSubClass],MATCH(1,(CoA_Schema[AssetType]=$D180)*(CoA_Schema[AssetClass]=$B180)*(CoA_Schema[AssetSubClass]=$C180),0),0)),"")</f>
        <v/>
      </c>
      <c r="AG180" s="93" t="str">
        <f>IFERROR(VLOOKUP($I180,UoM!$A:$C,2,FALSE),"")</f>
        <v/>
      </c>
      <c r="AH180" s="56" t="str">
        <f>IFERROR(VLOOKUP("Renewed Assets:"&amp;ROW(),'Handover Cost Report'!$A:$U,17,FALSE),"")</f>
        <v/>
      </c>
      <c r="AI180" s="56" t="str">
        <f>IFERROR(VLOOKUP("Renewed Assets:"&amp;ROW(),'Handover Cost Report'!$A:$U,18,FALSE),"")</f>
        <v/>
      </c>
      <c r="AJ180" s="56" t="str">
        <f>IFERROR(VLOOKUP("Renewed Assets:"&amp;ROW(),'Handover Cost Report'!$A:$U,19,FALSE),"")</f>
        <v/>
      </c>
    </row>
    <row r="181" spans="2:36" s="3" customFormat="1" ht="12.75" x14ac:dyDescent="0.2">
      <c r="B181" s="47"/>
      <c r="C181" s="47"/>
      <c r="D181" s="47"/>
      <c r="E181" s="47"/>
      <c r="F181" s="47"/>
      <c r="G181" s="47"/>
      <c r="H181" s="47"/>
      <c r="I181" s="47"/>
      <c r="J181" s="48"/>
      <c r="K181" s="56">
        <f t="shared" si="11"/>
        <v>0</v>
      </c>
      <c r="L181" s="93" t="str">
        <f>IFERROR(VLOOKUP($F181,SC_Component!$B:$C,2,FALSE),"")</f>
        <v/>
      </c>
      <c r="M181" s="58"/>
      <c r="N181" s="59">
        <f t="shared" si="12"/>
        <v>0</v>
      </c>
      <c r="O181" s="59">
        <f t="shared" si="13"/>
        <v>0</v>
      </c>
      <c r="P181" s="47"/>
      <c r="Q181" s="47"/>
      <c r="R181" s="47"/>
      <c r="S181" s="58"/>
      <c r="T181" s="47"/>
      <c r="U181" s="47"/>
      <c r="V181" s="119"/>
      <c r="W181" s="119"/>
      <c r="X181" s="47"/>
      <c r="Y181" s="47"/>
      <c r="Z181" s="47"/>
      <c r="AA181" s="47"/>
      <c r="AB181" s="47"/>
      <c r="AC181" s="47"/>
      <c r="AD181" s="93" t="str">
        <f t="array" ref="AD181">IFERROR(IF($B181="Building","Buildings",INDEX(CoA_Schema[AsseticCategory],MATCH(1,(CoA_Schema[AssetType]=$D181)*(CoA_Schema[AssetClass]=$B181)*(CoA_Schema[AssetSubClass]=$C181)*(CoA_Schema[Title]=$F181),0),0)),"")</f>
        <v/>
      </c>
      <c r="AE181" s="93" t="str">
        <f t="array" ref="AE181">IFERROR(IF($B181="Building","Buildings",INDEX(CoA_Schema[FinancialClass],MATCH(1,(CoA_Schema[AssetType]=$D181)*(CoA_Schema[AssetClass]=$B181)*(CoA_Schema[AssetSubClass]=$C181),0),0)),"")</f>
        <v/>
      </c>
      <c r="AF181" s="93" t="str">
        <f t="array" ref="AF181">IFERROR(IF($B181="Building","Buildings",INDEX(CoA_Schema[FinancialSubClass],MATCH(1,(CoA_Schema[AssetType]=$D181)*(CoA_Schema[AssetClass]=$B181)*(CoA_Schema[AssetSubClass]=$C181),0),0)),"")</f>
        <v/>
      </c>
      <c r="AG181" s="93" t="str">
        <f>IFERROR(VLOOKUP($I181,UoM!$A:$C,2,FALSE),"")</f>
        <v/>
      </c>
      <c r="AH181" s="56" t="str">
        <f>IFERROR(VLOOKUP("Renewed Assets:"&amp;ROW(),'Handover Cost Report'!$A:$U,17,FALSE),"")</f>
        <v/>
      </c>
      <c r="AI181" s="56" t="str">
        <f>IFERROR(VLOOKUP("Renewed Assets:"&amp;ROW(),'Handover Cost Report'!$A:$U,18,FALSE),"")</f>
        <v/>
      </c>
      <c r="AJ181" s="56" t="str">
        <f>IFERROR(VLOOKUP("Renewed Assets:"&amp;ROW(),'Handover Cost Report'!$A:$U,19,FALSE),"")</f>
        <v/>
      </c>
    </row>
    <row r="182" spans="2:36" s="3" customFormat="1" ht="12.75" x14ac:dyDescent="0.2">
      <c r="B182" s="47"/>
      <c r="C182" s="47"/>
      <c r="D182" s="47"/>
      <c r="E182" s="47"/>
      <c r="F182" s="47"/>
      <c r="G182" s="47"/>
      <c r="H182" s="47"/>
      <c r="I182" s="47"/>
      <c r="J182" s="48"/>
      <c r="K182" s="56">
        <f t="shared" si="11"/>
        <v>0</v>
      </c>
      <c r="L182" s="93" t="str">
        <f>IFERROR(VLOOKUP($F182,SC_Component!$B:$C,2,FALSE),"")</f>
        <v/>
      </c>
      <c r="M182" s="58"/>
      <c r="N182" s="59">
        <f t="shared" si="12"/>
        <v>0</v>
      </c>
      <c r="O182" s="59">
        <f t="shared" si="13"/>
        <v>0</v>
      </c>
      <c r="P182" s="47"/>
      <c r="Q182" s="47"/>
      <c r="R182" s="47"/>
      <c r="S182" s="58"/>
      <c r="T182" s="47"/>
      <c r="U182" s="47"/>
      <c r="V182" s="119"/>
      <c r="W182" s="119"/>
      <c r="X182" s="47"/>
      <c r="Y182" s="47"/>
      <c r="Z182" s="47"/>
      <c r="AA182" s="47"/>
      <c r="AB182" s="47"/>
      <c r="AC182" s="47"/>
      <c r="AD182" s="93" t="str">
        <f t="array" ref="AD182">IFERROR(IF($B182="Building","Buildings",INDEX(CoA_Schema[AsseticCategory],MATCH(1,(CoA_Schema[AssetType]=$D182)*(CoA_Schema[AssetClass]=$B182)*(CoA_Schema[AssetSubClass]=$C182)*(CoA_Schema[Title]=$F182),0),0)),"")</f>
        <v/>
      </c>
      <c r="AE182" s="93" t="str">
        <f t="array" ref="AE182">IFERROR(IF($B182="Building","Buildings",INDEX(CoA_Schema[FinancialClass],MATCH(1,(CoA_Schema[AssetType]=$D182)*(CoA_Schema[AssetClass]=$B182)*(CoA_Schema[AssetSubClass]=$C182),0),0)),"")</f>
        <v/>
      </c>
      <c r="AF182" s="93" t="str">
        <f t="array" ref="AF182">IFERROR(IF($B182="Building","Buildings",INDEX(CoA_Schema[FinancialSubClass],MATCH(1,(CoA_Schema[AssetType]=$D182)*(CoA_Schema[AssetClass]=$B182)*(CoA_Schema[AssetSubClass]=$C182),0),0)),"")</f>
        <v/>
      </c>
      <c r="AG182" s="93" t="str">
        <f>IFERROR(VLOOKUP($I182,UoM!$A:$C,2,FALSE),"")</f>
        <v/>
      </c>
      <c r="AH182" s="56" t="str">
        <f>IFERROR(VLOOKUP("Renewed Assets:"&amp;ROW(),'Handover Cost Report'!$A:$U,17,FALSE),"")</f>
        <v/>
      </c>
      <c r="AI182" s="56" t="str">
        <f>IFERROR(VLOOKUP("Renewed Assets:"&amp;ROW(),'Handover Cost Report'!$A:$U,18,FALSE),"")</f>
        <v/>
      </c>
      <c r="AJ182" s="56" t="str">
        <f>IFERROR(VLOOKUP("Renewed Assets:"&amp;ROW(),'Handover Cost Report'!$A:$U,19,FALSE),"")</f>
        <v/>
      </c>
    </row>
    <row r="183" spans="2:36" s="3" customFormat="1" ht="12.75" x14ac:dyDescent="0.2">
      <c r="B183" s="47"/>
      <c r="C183" s="47"/>
      <c r="D183" s="47"/>
      <c r="E183" s="47"/>
      <c r="F183" s="47"/>
      <c r="G183" s="47"/>
      <c r="H183" s="47"/>
      <c r="I183" s="47"/>
      <c r="J183" s="48"/>
      <c r="K183" s="56">
        <f t="shared" si="11"/>
        <v>0</v>
      </c>
      <c r="L183" s="93" t="str">
        <f>IFERROR(VLOOKUP($F183,SC_Component!$B:$C,2,FALSE),"")</f>
        <v/>
      </c>
      <c r="M183" s="58"/>
      <c r="N183" s="59">
        <f t="shared" si="12"/>
        <v>0</v>
      </c>
      <c r="O183" s="59">
        <f t="shared" si="13"/>
        <v>0</v>
      </c>
      <c r="P183" s="47"/>
      <c r="Q183" s="47"/>
      <c r="R183" s="47"/>
      <c r="S183" s="58"/>
      <c r="T183" s="47"/>
      <c r="U183" s="47"/>
      <c r="V183" s="119"/>
      <c r="W183" s="119"/>
      <c r="X183" s="47"/>
      <c r="Y183" s="47"/>
      <c r="Z183" s="47"/>
      <c r="AA183" s="47"/>
      <c r="AB183" s="47"/>
      <c r="AC183" s="47"/>
      <c r="AD183" s="93" t="str">
        <f t="array" ref="AD183">IFERROR(IF($B183="Building","Buildings",INDEX(CoA_Schema[AsseticCategory],MATCH(1,(CoA_Schema[AssetType]=$D183)*(CoA_Schema[AssetClass]=$B183)*(CoA_Schema[AssetSubClass]=$C183)*(CoA_Schema[Title]=$F183),0),0)),"")</f>
        <v/>
      </c>
      <c r="AE183" s="93" t="str">
        <f t="array" ref="AE183">IFERROR(IF($B183="Building","Buildings",INDEX(CoA_Schema[FinancialClass],MATCH(1,(CoA_Schema[AssetType]=$D183)*(CoA_Schema[AssetClass]=$B183)*(CoA_Schema[AssetSubClass]=$C183),0),0)),"")</f>
        <v/>
      </c>
      <c r="AF183" s="93" t="str">
        <f t="array" ref="AF183">IFERROR(IF($B183="Building","Buildings",INDEX(CoA_Schema[FinancialSubClass],MATCH(1,(CoA_Schema[AssetType]=$D183)*(CoA_Schema[AssetClass]=$B183)*(CoA_Schema[AssetSubClass]=$C183),0),0)),"")</f>
        <v/>
      </c>
      <c r="AG183" s="93" t="str">
        <f>IFERROR(VLOOKUP($I183,UoM!$A:$C,2,FALSE),"")</f>
        <v/>
      </c>
      <c r="AH183" s="56" t="str">
        <f>IFERROR(VLOOKUP("Renewed Assets:"&amp;ROW(),'Handover Cost Report'!$A:$U,17,FALSE),"")</f>
        <v/>
      </c>
      <c r="AI183" s="56" t="str">
        <f>IFERROR(VLOOKUP("Renewed Assets:"&amp;ROW(),'Handover Cost Report'!$A:$U,18,FALSE),"")</f>
        <v/>
      </c>
      <c r="AJ183" s="56" t="str">
        <f>IFERROR(VLOOKUP("Renewed Assets:"&amp;ROW(),'Handover Cost Report'!$A:$U,19,FALSE),"")</f>
        <v/>
      </c>
    </row>
    <row r="184" spans="2:36" s="3" customFormat="1" ht="12.75" x14ac:dyDescent="0.2">
      <c r="B184" s="47"/>
      <c r="C184" s="47"/>
      <c r="D184" s="47"/>
      <c r="E184" s="47"/>
      <c r="F184" s="47"/>
      <c r="G184" s="47"/>
      <c r="H184" s="47"/>
      <c r="I184" s="47"/>
      <c r="J184" s="48"/>
      <c r="K184" s="56">
        <f t="shared" si="11"/>
        <v>0</v>
      </c>
      <c r="L184" s="93" t="str">
        <f>IFERROR(VLOOKUP($F184,SC_Component!$B:$C,2,FALSE),"")</f>
        <v/>
      </c>
      <c r="M184" s="58"/>
      <c r="N184" s="59">
        <f t="shared" si="12"/>
        <v>0</v>
      </c>
      <c r="O184" s="59">
        <f t="shared" si="13"/>
        <v>0</v>
      </c>
      <c r="P184" s="47"/>
      <c r="Q184" s="47"/>
      <c r="R184" s="47"/>
      <c r="S184" s="58"/>
      <c r="T184" s="47"/>
      <c r="U184" s="47"/>
      <c r="V184" s="119"/>
      <c r="W184" s="119"/>
      <c r="X184" s="47"/>
      <c r="Y184" s="47"/>
      <c r="Z184" s="47"/>
      <c r="AA184" s="47"/>
      <c r="AB184" s="47"/>
      <c r="AC184" s="47"/>
      <c r="AD184" s="93" t="str">
        <f t="array" ref="AD184">IFERROR(IF($B184="Building","Buildings",INDEX(CoA_Schema[AsseticCategory],MATCH(1,(CoA_Schema[AssetType]=$D184)*(CoA_Schema[AssetClass]=$B184)*(CoA_Schema[AssetSubClass]=$C184)*(CoA_Schema[Title]=$F184),0),0)),"")</f>
        <v/>
      </c>
      <c r="AE184" s="93" t="str">
        <f t="array" ref="AE184">IFERROR(IF($B184="Building","Buildings",INDEX(CoA_Schema[FinancialClass],MATCH(1,(CoA_Schema[AssetType]=$D184)*(CoA_Schema[AssetClass]=$B184)*(CoA_Schema[AssetSubClass]=$C184),0),0)),"")</f>
        <v/>
      </c>
      <c r="AF184" s="93" t="str">
        <f t="array" ref="AF184">IFERROR(IF($B184="Building","Buildings",INDEX(CoA_Schema[FinancialSubClass],MATCH(1,(CoA_Schema[AssetType]=$D184)*(CoA_Schema[AssetClass]=$B184)*(CoA_Schema[AssetSubClass]=$C184),0),0)),"")</f>
        <v/>
      </c>
      <c r="AG184" s="93" t="str">
        <f>IFERROR(VLOOKUP($I184,UoM!$A:$C,2,FALSE),"")</f>
        <v/>
      </c>
      <c r="AH184" s="56" t="str">
        <f>IFERROR(VLOOKUP("Renewed Assets:"&amp;ROW(),'Handover Cost Report'!$A:$U,17,FALSE),"")</f>
        <v/>
      </c>
      <c r="AI184" s="56" t="str">
        <f>IFERROR(VLOOKUP("Renewed Assets:"&amp;ROW(),'Handover Cost Report'!$A:$U,18,FALSE),"")</f>
        <v/>
      </c>
      <c r="AJ184" s="56" t="str">
        <f>IFERROR(VLOOKUP("Renewed Assets:"&amp;ROW(),'Handover Cost Report'!$A:$U,19,FALSE),"")</f>
        <v/>
      </c>
    </row>
    <row r="185" spans="2:36" s="3" customFormat="1" ht="12.75" x14ac:dyDescent="0.2">
      <c r="B185" s="47"/>
      <c r="C185" s="47"/>
      <c r="D185" s="47"/>
      <c r="E185" s="47"/>
      <c r="F185" s="47"/>
      <c r="G185" s="47"/>
      <c r="H185" s="47"/>
      <c r="I185" s="47"/>
      <c r="J185" s="48"/>
      <c r="K185" s="56">
        <f t="shared" si="11"/>
        <v>0</v>
      </c>
      <c r="L185" s="93" t="str">
        <f>IFERROR(VLOOKUP($F185,SC_Component!$B:$C,2,FALSE),"")</f>
        <v/>
      </c>
      <c r="M185" s="58"/>
      <c r="N185" s="59">
        <f t="shared" si="12"/>
        <v>0</v>
      </c>
      <c r="O185" s="59">
        <f t="shared" si="13"/>
        <v>0</v>
      </c>
      <c r="P185" s="47"/>
      <c r="Q185" s="47"/>
      <c r="R185" s="47"/>
      <c r="S185" s="58"/>
      <c r="T185" s="47"/>
      <c r="U185" s="47"/>
      <c r="V185" s="119"/>
      <c r="W185" s="119"/>
      <c r="X185" s="47"/>
      <c r="Y185" s="47"/>
      <c r="Z185" s="47"/>
      <c r="AA185" s="47"/>
      <c r="AB185" s="47"/>
      <c r="AC185" s="47"/>
      <c r="AD185" s="93" t="str">
        <f t="array" ref="AD185">IFERROR(IF($B185="Building","Buildings",INDEX(CoA_Schema[AsseticCategory],MATCH(1,(CoA_Schema[AssetType]=$D185)*(CoA_Schema[AssetClass]=$B185)*(CoA_Schema[AssetSubClass]=$C185)*(CoA_Schema[Title]=$F185),0),0)),"")</f>
        <v/>
      </c>
      <c r="AE185" s="93" t="str">
        <f t="array" ref="AE185">IFERROR(IF($B185="Building","Buildings",INDEX(CoA_Schema[FinancialClass],MATCH(1,(CoA_Schema[AssetType]=$D185)*(CoA_Schema[AssetClass]=$B185)*(CoA_Schema[AssetSubClass]=$C185),0),0)),"")</f>
        <v/>
      </c>
      <c r="AF185" s="93" t="str">
        <f t="array" ref="AF185">IFERROR(IF($B185="Building","Buildings",INDEX(CoA_Schema[FinancialSubClass],MATCH(1,(CoA_Schema[AssetType]=$D185)*(CoA_Schema[AssetClass]=$B185)*(CoA_Schema[AssetSubClass]=$C185),0),0)),"")</f>
        <v/>
      </c>
      <c r="AG185" s="93" t="str">
        <f>IFERROR(VLOOKUP($I185,UoM!$A:$C,2,FALSE),"")</f>
        <v/>
      </c>
      <c r="AH185" s="56" t="str">
        <f>IFERROR(VLOOKUP("Renewed Assets:"&amp;ROW(),'Handover Cost Report'!$A:$U,17,FALSE),"")</f>
        <v/>
      </c>
      <c r="AI185" s="56" t="str">
        <f>IFERROR(VLOOKUP("Renewed Assets:"&amp;ROW(),'Handover Cost Report'!$A:$U,18,FALSE),"")</f>
        <v/>
      </c>
      <c r="AJ185" s="56" t="str">
        <f>IFERROR(VLOOKUP("Renewed Assets:"&amp;ROW(),'Handover Cost Report'!$A:$U,19,FALSE),"")</f>
        <v/>
      </c>
    </row>
    <row r="186" spans="2:36" s="3" customFormat="1" ht="12.75" x14ac:dyDescent="0.2">
      <c r="B186" s="47"/>
      <c r="C186" s="47"/>
      <c r="D186" s="47"/>
      <c r="E186" s="47"/>
      <c r="F186" s="47"/>
      <c r="G186" s="47"/>
      <c r="H186" s="47"/>
      <c r="I186" s="47"/>
      <c r="J186" s="48"/>
      <c r="K186" s="56">
        <f t="shared" si="11"/>
        <v>0</v>
      </c>
      <c r="L186" s="93" t="str">
        <f>IFERROR(VLOOKUP($F186,SC_Component!$B:$C,2,FALSE),"")</f>
        <v/>
      </c>
      <c r="M186" s="58"/>
      <c r="N186" s="59">
        <f t="shared" si="12"/>
        <v>0</v>
      </c>
      <c r="O186" s="59">
        <f t="shared" si="13"/>
        <v>0</v>
      </c>
      <c r="P186" s="47"/>
      <c r="Q186" s="47"/>
      <c r="R186" s="47"/>
      <c r="S186" s="58"/>
      <c r="T186" s="47"/>
      <c r="U186" s="47"/>
      <c r="V186" s="119"/>
      <c r="W186" s="119"/>
      <c r="X186" s="47"/>
      <c r="Y186" s="47"/>
      <c r="Z186" s="47"/>
      <c r="AA186" s="47"/>
      <c r="AB186" s="47"/>
      <c r="AC186" s="47"/>
      <c r="AD186" s="93" t="str">
        <f t="array" ref="AD186">IFERROR(IF($B186="Building","Buildings",INDEX(CoA_Schema[AsseticCategory],MATCH(1,(CoA_Schema[AssetType]=$D186)*(CoA_Schema[AssetClass]=$B186)*(CoA_Schema[AssetSubClass]=$C186)*(CoA_Schema[Title]=$F186),0),0)),"")</f>
        <v/>
      </c>
      <c r="AE186" s="93" t="str">
        <f t="array" ref="AE186">IFERROR(IF($B186="Building","Buildings",INDEX(CoA_Schema[FinancialClass],MATCH(1,(CoA_Schema[AssetType]=$D186)*(CoA_Schema[AssetClass]=$B186)*(CoA_Schema[AssetSubClass]=$C186),0),0)),"")</f>
        <v/>
      </c>
      <c r="AF186" s="93" t="str">
        <f t="array" ref="AF186">IFERROR(IF($B186="Building","Buildings",INDEX(CoA_Schema[FinancialSubClass],MATCH(1,(CoA_Schema[AssetType]=$D186)*(CoA_Schema[AssetClass]=$B186)*(CoA_Schema[AssetSubClass]=$C186),0),0)),"")</f>
        <v/>
      </c>
      <c r="AG186" s="93" t="str">
        <f>IFERROR(VLOOKUP($I186,UoM!$A:$C,2,FALSE),"")</f>
        <v/>
      </c>
      <c r="AH186" s="56" t="str">
        <f>IFERROR(VLOOKUP("Renewed Assets:"&amp;ROW(),'Handover Cost Report'!$A:$U,17,FALSE),"")</f>
        <v/>
      </c>
      <c r="AI186" s="56" t="str">
        <f>IFERROR(VLOOKUP("Renewed Assets:"&amp;ROW(),'Handover Cost Report'!$A:$U,18,FALSE),"")</f>
        <v/>
      </c>
      <c r="AJ186" s="56" t="str">
        <f>IFERROR(VLOOKUP("Renewed Assets:"&amp;ROW(),'Handover Cost Report'!$A:$U,19,FALSE),"")</f>
        <v/>
      </c>
    </row>
    <row r="187" spans="2:36" s="3" customFormat="1" ht="12.75" x14ac:dyDescent="0.2">
      <c r="B187" s="47"/>
      <c r="C187" s="47"/>
      <c r="D187" s="47"/>
      <c r="E187" s="47"/>
      <c r="F187" s="47"/>
      <c r="G187" s="47"/>
      <c r="H187" s="47"/>
      <c r="I187" s="47"/>
      <c r="J187" s="48"/>
      <c r="K187" s="56">
        <f t="shared" si="11"/>
        <v>0</v>
      </c>
      <c r="L187" s="93" t="str">
        <f>IFERROR(VLOOKUP($F187,SC_Component!$B:$C,2,FALSE),"")</f>
        <v/>
      </c>
      <c r="M187" s="58"/>
      <c r="N187" s="59">
        <f t="shared" si="12"/>
        <v>0</v>
      </c>
      <c r="O187" s="59">
        <f t="shared" si="13"/>
        <v>0</v>
      </c>
      <c r="P187" s="47"/>
      <c r="Q187" s="47"/>
      <c r="R187" s="47"/>
      <c r="S187" s="58"/>
      <c r="T187" s="47"/>
      <c r="U187" s="47"/>
      <c r="V187" s="119"/>
      <c r="W187" s="119"/>
      <c r="X187" s="47"/>
      <c r="Y187" s="47"/>
      <c r="Z187" s="47"/>
      <c r="AA187" s="47"/>
      <c r="AB187" s="47"/>
      <c r="AC187" s="47"/>
      <c r="AD187" s="93" t="str">
        <f t="array" ref="AD187">IFERROR(IF($B187="Building","Buildings",INDEX(CoA_Schema[AsseticCategory],MATCH(1,(CoA_Schema[AssetType]=$D187)*(CoA_Schema[AssetClass]=$B187)*(CoA_Schema[AssetSubClass]=$C187)*(CoA_Schema[Title]=$F187),0),0)),"")</f>
        <v/>
      </c>
      <c r="AE187" s="93" t="str">
        <f t="array" ref="AE187">IFERROR(IF($B187="Building","Buildings",INDEX(CoA_Schema[FinancialClass],MATCH(1,(CoA_Schema[AssetType]=$D187)*(CoA_Schema[AssetClass]=$B187)*(CoA_Schema[AssetSubClass]=$C187),0),0)),"")</f>
        <v/>
      </c>
      <c r="AF187" s="93" t="str">
        <f t="array" ref="AF187">IFERROR(IF($B187="Building","Buildings",INDEX(CoA_Schema[FinancialSubClass],MATCH(1,(CoA_Schema[AssetType]=$D187)*(CoA_Schema[AssetClass]=$B187)*(CoA_Schema[AssetSubClass]=$C187),0),0)),"")</f>
        <v/>
      </c>
      <c r="AG187" s="93" t="str">
        <f>IFERROR(VLOOKUP($I187,UoM!$A:$C,2,FALSE),"")</f>
        <v/>
      </c>
      <c r="AH187" s="56" t="str">
        <f>IFERROR(VLOOKUP("Renewed Assets:"&amp;ROW(),'Handover Cost Report'!$A:$U,17,FALSE),"")</f>
        <v/>
      </c>
      <c r="AI187" s="56" t="str">
        <f>IFERROR(VLOOKUP("Renewed Assets:"&amp;ROW(),'Handover Cost Report'!$A:$U,18,FALSE),"")</f>
        <v/>
      </c>
      <c r="AJ187" s="56" t="str">
        <f>IFERROR(VLOOKUP("Renewed Assets:"&amp;ROW(),'Handover Cost Report'!$A:$U,19,FALSE),"")</f>
        <v/>
      </c>
    </row>
    <row r="188" spans="2:36" s="3" customFormat="1" ht="12.75" x14ac:dyDescent="0.2">
      <c r="B188" s="47"/>
      <c r="C188" s="47"/>
      <c r="D188" s="47"/>
      <c r="E188" s="47"/>
      <c r="F188" s="47"/>
      <c r="G188" s="47"/>
      <c r="H188" s="47"/>
      <c r="I188" s="47"/>
      <c r="J188" s="48"/>
      <c r="K188" s="56">
        <f t="shared" si="11"/>
        <v>0</v>
      </c>
      <c r="L188" s="93" t="str">
        <f>IFERROR(VLOOKUP($F188,SC_Component!$B:$C,2,FALSE),"")</f>
        <v/>
      </c>
      <c r="M188" s="58"/>
      <c r="N188" s="59">
        <f t="shared" si="12"/>
        <v>0</v>
      </c>
      <c r="O188" s="59">
        <f t="shared" si="13"/>
        <v>0</v>
      </c>
      <c r="P188" s="47"/>
      <c r="Q188" s="47"/>
      <c r="R188" s="47"/>
      <c r="S188" s="58"/>
      <c r="T188" s="47"/>
      <c r="U188" s="47"/>
      <c r="V188" s="119"/>
      <c r="W188" s="119"/>
      <c r="X188" s="47"/>
      <c r="Y188" s="47"/>
      <c r="Z188" s="47"/>
      <c r="AA188" s="47"/>
      <c r="AB188" s="47"/>
      <c r="AC188" s="47"/>
      <c r="AD188" s="93" t="str">
        <f t="array" ref="AD188">IFERROR(IF($B188="Building","Buildings",INDEX(CoA_Schema[AsseticCategory],MATCH(1,(CoA_Schema[AssetType]=$D188)*(CoA_Schema[AssetClass]=$B188)*(CoA_Schema[AssetSubClass]=$C188)*(CoA_Schema[Title]=$F188),0),0)),"")</f>
        <v/>
      </c>
      <c r="AE188" s="93" t="str">
        <f t="array" ref="AE188">IFERROR(IF($B188="Building","Buildings",INDEX(CoA_Schema[FinancialClass],MATCH(1,(CoA_Schema[AssetType]=$D188)*(CoA_Schema[AssetClass]=$B188)*(CoA_Schema[AssetSubClass]=$C188),0),0)),"")</f>
        <v/>
      </c>
      <c r="AF188" s="93" t="str">
        <f t="array" ref="AF188">IFERROR(IF($B188="Building","Buildings",INDEX(CoA_Schema[FinancialSubClass],MATCH(1,(CoA_Schema[AssetType]=$D188)*(CoA_Schema[AssetClass]=$B188)*(CoA_Schema[AssetSubClass]=$C188),0),0)),"")</f>
        <v/>
      </c>
      <c r="AG188" s="93" t="str">
        <f>IFERROR(VLOOKUP($I188,UoM!$A:$C,2,FALSE),"")</f>
        <v/>
      </c>
      <c r="AH188" s="56" t="str">
        <f>IFERROR(VLOOKUP("Renewed Assets:"&amp;ROW(),'Handover Cost Report'!$A:$U,17,FALSE),"")</f>
        <v/>
      </c>
      <c r="AI188" s="56" t="str">
        <f>IFERROR(VLOOKUP("Renewed Assets:"&amp;ROW(),'Handover Cost Report'!$A:$U,18,FALSE),"")</f>
        <v/>
      </c>
      <c r="AJ188" s="56" t="str">
        <f>IFERROR(VLOOKUP("Renewed Assets:"&amp;ROW(),'Handover Cost Report'!$A:$U,19,FALSE),"")</f>
        <v/>
      </c>
    </row>
    <row r="189" spans="2:36" s="3" customFormat="1" ht="12.75" x14ac:dyDescent="0.2">
      <c r="B189" s="47"/>
      <c r="C189" s="47"/>
      <c r="D189" s="47"/>
      <c r="E189" s="47"/>
      <c r="F189" s="47"/>
      <c r="G189" s="47"/>
      <c r="H189" s="47"/>
      <c r="I189" s="47"/>
      <c r="J189" s="48"/>
      <c r="K189" s="56">
        <f t="shared" si="11"/>
        <v>0</v>
      </c>
      <c r="L189" s="93" t="str">
        <f>IFERROR(VLOOKUP($F189,SC_Component!$B:$C,2,FALSE),"")</f>
        <v/>
      </c>
      <c r="M189" s="58"/>
      <c r="N189" s="59">
        <f t="shared" si="12"/>
        <v>0</v>
      </c>
      <c r="O189" s="59">
        <f t="shared" si="13"/>
        <v>0</v>
      </c>
      <c r="P189" s="47"/>
      <c r="Q189" s="47"/>
      <c r="R189" s="47"/>
      <c r="S189" s="58"/>
      <c r="T189" s="47"/>
      <c r="U189" s="47"/>
      <c r="V189" s="119"/>
      <c r="W189" s="119"/>
      <c r="X189" s="47"/>
      <c r="Y189" s="47"/>
      <c r="Z189" s="47"/>
      <c r="AA189" s="47"/>
      <c r="AB189" s="47"/>
      <c r="AC189" s="47"/>
      <c r="AD189" s="93" t="str">
        <f t="array" ref="AD189">IFERROR(IF($B189="Building","Buildings",INDEX(CoA_Schema[AsseticCategory],MATCH(1,(CoA_Schema[AssetType]=$D189)*(CoA_Schema[AssetClass]=$B189)*(CoA_Schema[AssetSubClass]=$C189)*(CoA_Schema[Title]=$F189),0),0)),"")</f>
        <v/>
      </c>
      <c r="AE189" s="93" t="str">
        <f t="array" ref="AE189">IFERROR(IF($B189="Building","Buildings",INDEX(CoA_Schema[FinancialClass],MATCH(1,(CoA_Schema[AssetType]=$D189)*(CoA_Schema[AssetClass]=$B189)*(CoA_Schema[AssetSubClass]=$C189),0),0)),"")</f>
        <v/>
      </c>
      <c r="AF189" s="93" t="str">
        <f t="array" ref="AF189">IFERROR(IF($B189="Building","Buildings",INDEX(CoA_Schema[FinancialSubClass],MATCH(1,(CoA_Schema[AssetType]=$D189)*(CoA_Schema[AssetClass]=$B189)*(CoA_Schema[AssetSubClass]=$C189),0),0)),"")</f>
        <v/>
      </c>
      <c r="AG189" s="93" t="str">
        <f>IFERROR(VLOOKUP($I189,UoM!$A:$C,2,FALSE),"")</f>
        <v/>
      </c>
      <c r="AH189" s="56" t="str">
        <f>IFERROR(VLOOKUP("Renewed Assets:"&amp;ROW(),'Handover Cost Report'!$A:$U,17,FALSE),"")</f>
        <v/>
      </c>
      <c r="AI189" s="56" t="str">
        <f>IFERROR(VLOOKUP("Renewed Assets:"&amp;ROW(),'Handover Cost Report'!$A:$U,18,FALSE),"")</f>
        <v/>
      </c>
      <c r="AJ189" s="56" t="str">
        <f>IFERROR(VLOOKUP("Renewed Assets:"&amp;ROW(),'Handover Cost Report'!$A:$U,19,FALSE),"")</f>
        <v/>
      </c>
    </row>
    <row r="190" spans="2:36" s="3" customFormat="1" ht="12.75" x14ac:dyDescent="0.2">
      <c r="B190" s="47"/>
      <c r="C190" s="47"/>
      <c r="D190" s="47"/>
      <c r="E190" s="47"/>
      <c r="F190" s="47"/>
      <c r="G190" s="47"/>
      <c r="H190" s="47"/>
      <c r="I190" s="47"/>
      <c r="J190" s="48"/>
      <c r="K190" s="56">
        <f t="shared" si="11"/>
        <v>0</v>
      </c>
      <c r="L190" s="93" t="str">
        <f>IFERROR(VLOOKUP($F190,SC_Component!$B:$C,2,FALSE),"")</f>
        <v/>
      </c>
      <c r="M190" s="58"/>
      <c r="N190" s="59">
        <f t="shared" si="12"/>
        <v>0</v>
      </c>
      <c r="O190" s="59">
        <f t="shared" si="13"/>
        <v>0</v>
      </c>
      <c r="P190" s="47"/>
      <c r="Q190" s="47"/>
      <c r="R190" s="47"/>
      <c r="S190" s="58"/>
      <c r="T190" s="47"/>
      <c r="U190" s="47"/>
      <c r="V190" s="119"/>
      <c r="W190" s="119"/>
      <c r="X190" s="47"/>
      <c r="Y190" s="47"/>
      <c r="Z190" s="47"/>
      <c r="AA190" s="47"/>
      <c r="AB190" s="47"/>
      <c r="AC190" s="47"/>
      <c r="AD190" s="93" t="str">
        <f t="array" ref="AD190">IFERROR(IF($B190="Building","Buildings",INDEX(CoA_Schema[AsseticCategory],MATCH(1,(CoA_Schema[AssetType]=$D190)*(CoA_Schema[AssetClass]=$B190)*(CoA_Schema[AssetSubClass]=$C190)*(CoA_Schema[Title]=$F190),0),0)),"")</f>
        <v/>
      </c>
      <c r="AE190" s="93" t="str">
        <f t="array" ref="AE190">IFERROR(IF($B190="Building","Buildings",INDEX(CoA_Schema[FinancialClass],MATCH(1,(CoA_Schema[AssetType]=$D190)*(CoA_Schema[AssetClass]=$B190)*(CoA_Schema[AssetSubClass]=$C190),0),0)),"")</f>
        <v/>
      </c>
      <c r="AF190" s="93" t="str">
        <f t="array" ref="AF190">IFERROR(IF($B190="Building","Buildings",INDEX(CoA_Schema[FinancialSubClass],MATCH(1,(CoA_Schema[AssetType]=$D190)*(CoA_Schema[AssetClass]=$B190)*(CoA_Schema[AssetSubClass]=$C190),0),0)),"")</f>
        <v/>
      </c>
      <c r="AG190" s="93" t="str">
        <f>IFERROR(VLOOKUP($I190,UoM!$A:$C,2,FALSE),"")</f>
        <v/>
      </c>
      <c r="AH190" s="56" t="str">
        <f>IFERROR(VLOOKUP("Renewed Assets:"&amp;ROW(),'Handover Cost Report'!$A:$U,17,FALSE),"")</f>
        <v/>
      </c>
      <c r="AI190" s="56" t="str">
        <f>IFERROR(VLOOKUP("Renewed Assets:"&amp;ROW(),'Handover Cost Report'!$A:$U,18,FALSE),"")</f>
        <v/>
      </c>
      <c r="AJ190" s="56" t="str">
        <f>IFERROR(VLOOKUP("Renewed Assets:"&amp;ROW(),'Handover Cost Report'!$A:$U,19,FALSE),"")</f>
        <v/>
      </c>
    </row>
    <row r="191" spans="2:36" s="3" customFormat="1" ht="12.75" x14ac:dyDescent="0.2">
      <c r="B191" s="47"/>
      <c r="C191" s="47"/>
      <c r="D191" s="47"/>
      <c r="E191" s="47"/>
      <c r="F191" s="47"/>
      <c r="G191" s="47"/>
      <c r="H191" s="47"/>
      <c r="I191" s="47"/>
      <c r="J191" s="48"/>
      <c r="K191" s="56">
        <f t="shared" si="11"/>
        <v>0</v>
      </c>
      <c r="L191" s="93" t="str">
        <f>IFERROR(VLOOKUP($F191,SC_Component!$B:$C,2,FALSE),"")</f>
        <v/>
      </c>
      <c r="M191" s="58"/>
      <c r="N191" s="59">
        <f t="shared" si="12"/>
        <v>0</v>
      </c>
      <c r="O191" s="59">
        <f t="shared" si="13"/>
        <v>0</v>
      </c>
      <c r="P191" s="47"/>
      <c r="Q191" s="47"/>
      <c r="R191" s="47"/>
      <c r="S191" s="58"/>
      <c r="T191" s="47"/>
      <c r="U191" s="47"/>
      <c r="V191" s="119"/>
      <c r="W191" s="119"/>
      <c r="X191" s="47"/>
      <c r="Y191" s="47"/>
      <c r="Z191" s="47"/>
      <c r="AA191" s="47"/>
      <c r="AB191" s="47"/>
      <c r="AC191" s="47"/>
      <c r="AD191" s="93" t="str">
        <f t="array" ref="AD191">IFERROR(IF($B191="Building","Buildings",INDEX(CoA_Schema[AsseticCategory],MATCH(1,(CoA_Schema[AssetType]=$D191)*(CoA_Schema[AssetClass]=$B191)*(CoA_Schema[AssetSubClass]=$C191)*(CoA_Schema[Title]=$F191),0),0)),"")</f>
        <v/>
      </c>
      <c r="AE191" s="93" t="str">
        <f t="array" ref="AE191">IFERROR(IF($B191="Building","Buildings",INDEX(CoA_Schema[FinancialClass],MATCH(1,(CoA_Schema[AssetType]=$D191)*(CoA_Schema[AssetClass]=$B191)*(CoA_Schema[AssetSubClass]=$C191),0),0)),"")</f>
        <v/>
      </c>
      <c r="AF191" s="93" t="str">
        <f t="array" ref="AF191">IFERROR(IF($B191="Building","Buildings",INDEX(CoA_Schema[FinancialSubClass],MATCH(1,(CoA_Schema[AssetType]=$D191)*(CoA_Schema[AssetClass]=$B191)*(CoA_Schema[AssetSubClass]=$C191),0),0)),"")</f>
        <v/>
      </c>
      <c r="AG191" s="93" t="str">
        <f>IFERROR(VLOOKUP($I191,UoM!$A:$C,2,FALSE),"")</f>
        <v/>
      </c>
      <c r="AH191" s="56" t="str">
        <f>IFERROR(VLOOKUP("Renewed Assets:"&amp;ROW(),'Handover Cost Report'!$A:$U,17,FALSE),"")</f>
        <v/>
      </c>
      <c r="AI191" s="56" t="str">
        <f>IFERROR(VLOOKUP("Renewed Assets:"&amp;ROW(),'Handover Cost Report'!$A:$U,18,FALSE),"")</f>
        <v/>
      </c>
      <c r="AJ191" s="56" t="str">
        <f>IFERROR(VLOOKUP("Renewed Assets:"&amp;ROW(),'Handover Cost Report'!$A:$U,19,FALSE),"")</f>
        <v/>
      </c>
    </row>
    <row r="192" spans="2:36" s="3" customFormat="1" ht="12.75" x14ac:dyDescent="0.2">
      <c r="B192" s="47"/>
      <c r="C192" s="47"/>
      <c r="D192" s="47"/>
      <c r="E192" s="47"/>
      <c r="F192" s="47"/>
      <c r="G192" s="47"/>
      <c r="H192" s="47"/>
      <c r="I192" s="47"/>
      <c r="J192" s="48"/>
      <c r="K192" s="56">
        <f t="shared" si="11"/>
        <v>0</v>
      </c>
      <c r="L192" s="93" t="str">
        <f>IFERROR(VLOOKUP($F192,SC_Component!$B:$C,2,FALSE),"")</f>
        <v/>
      </c>
      <c r="M192" s="58"/>
      <c r="N192" s="59">
        <f t="shared" si="12"/>
        <v>0</v>
      </c>
      <c r="O192" s="59">
        <f t="shared" si="13"/>
        <v>0</v>
      </c>
      <c r="P192" s="47"/>
      <c r="Q192" s="47"/>
      <c r="R192" s="47"/>
      <c r="S192" s="58"/>
      <c r="T192" s="47"/>
      <c r="U192" s="47"/>
      <c r="V192" s="119"/>
      <c r="W192" s="119"/>
      <c r="X192" s="47"/>
      <c r="Y192" s="47"/>
      <c r="Z192" s="47"/>
      <c r="AA192" s="47"/>
      <c r="AB192" s="47"/>
      <c r="AC192" s="47"/>
      <c r="AD192" s="93" t="str">
        <f t="array" ref="AD192">IFERROR(IF($B192="Building","Buildings",INDEX(CoA_Schema[AsseticCategory],MATCH(1,(CoA_Schema[AssetType]=$D192)*(CoA_Schema[AssetClass]=$B192)*(CoA_Schema[AssetSubClass]=$C192)*(CoA_Schema[Title]=$F192),0),0)),"")</f>
        <v/>
      </c>
      <c r="AE192" s="93" t="str">
        <f t="array" ref="AE192">IFERROR(IF($B192="Building","Buildings",INDEX(CoA_Schema[FinancialClass],MATCH(1,(CoA_Schema[AssetType]=$D192)*(CoA_Schema[AssetClass]=$B192)*(CoA_Schema[AssetSubClass]=$C192),0),0)),"")</f>
        <v/>
      </c>
      <c r="AF192" s="93" t="str">
        <f t="array" ref="AF192">IFERROR(IF($B192="Building","Buildings",INDEX(CoA_Schema[FinancialSubClass],MATCH(1,(CoA_Schema[AssetType]=$D192)*(CoA_Schema[AssetClass]=$B192)*(CoA_Schema[AssetSubClass]=$C192),0),0)),"")</f>
        <v/>
      </c>
      <c r="AG192" s="93" t="str">
        <f>IFERROR(VLOOKUP($I192,UoM!$A:$C,2,FALSE),"")</f>
        <v/>
      </c>
      <c r="AH192" s="56" t="str">
        <f>IFERROR(VLOOKUP("Renewed Assets:"&amp;ROW(),'Handover Cost Report'!$A:$U,17,FALSE),"")</f>
        <v/>
      </c>
      <c r="AI192" s="56" t="str">
        <f>IFERROR(VLOOKUP("Renewed Assets:"&amp;ROW(),'Handover Cost Report'!$A:$U,18,FALSE),"")</f>
        <v/>
      </c>
      <c r="AJ192" s="56" t="str">
        <f>IFERROR(VLOOKUP("Renewed Assets:"&amp;ROW(),'Handover Cost Report'!$A:$U,19,FALSE),"")</f>
        <v/>
      </c>
    </row>
    <row r="193" spans="2:36" s="3" customFormat="1" ht="12.75" x14ac:dyDescent="0.2">
      <c r="B193" s="47"/>
      <c r="C193" s="47"/>
      <c r="D193" s="47"/>
      <c r="E193" s="47"/>
      <c r="F193" s="47"/>
      <c r="G193" s="47"/>
      <c r="H193" s="47"/>
      <c r="I193" s="47"/>
      <c r="J193" s="48"/>
      <c r="K193" s="56">
        <f t="shared" si="11"/>
        <v>0</v>
      </c>
      <c r="L193" s="93" t="str">
        <f>IFERROR(VLOOKUP($F193,SC_Component!$B:$C,2,FALSE),"")</f>
        <v/>
      </c>
      <c r="M193" s="58"/>
      <c r="N193" s="59">
        <f t="shared" si="12"/>
        <v>0</v>
      </c>
      <c r="O193" s="59">
        <f t="shared" si="13"/>
        <v>0</v>
      </c>
      <c r="P193" s="47"/>
      <c r="Q193" s="47"/>
      <c r="R193" s="47"/>
      <c r="S193" s="58"/>
      <c r="T193" s="47"/>
      <c r="U193" s="47"/>
      <c r="V193" s="119"/>
      <c r="W193" s="119"/>
      <c r="X193" s="47"/>
      <c r="Y193" s="47"/>
      <c r="Z193" s="47"/>
      <c r="AA193" s="47"/>
      <c r="AB193" s="47"/>
      <c r="AC193" s="47"/>
      <c r="AD193" s="93" t="str">
        <f t="array" ref="AD193">IFERROR(IF($B193="Building","Buildings",INDEX(CoA_Schema[AsseticCategory],MATCH(1,(CoA_Schema[AssetType]=$D193)*(CoA_Schema[AssetClass]=$B193)*(CoA_Schema[AssetSubClass]=$C193)*(CoA_Schema[Title]=$F193),0),0)),"")</f>
        <v/>
      </c>
      <c r="AE193" s="93" t="str">
        <f t="array" ref="AE193">IFERROR(IF($B193="Building","Buildings",INDEX(CoA_Schema[FinancialClass],MATCH(1,(CoA_Schema[AssetType]=$D193)*(CoA_Schema[AssetClass]=$B193)*(CoA_Schema[AssetSubClass]=$C193),0),0)),"")</f>
        <v/>
      </c>
      <c r="AF193" s="93" t="str">
        <f t="array" ref="AF193">IFERROR(IF($B193="Building","Buildings",INDEX(CoA_Schema[FinancialSubClass],MATCH(1,(CoA_Schema[AssetType]=$D193)*(CoA_Schema[AssetClass]=$B193)*(CoA_Schema[AssetSubClass]=$C193),0),0)),"")</f>
        <v/>
      </c>
      <c r="AG193" s="93" t="str">
        <f>IFERROR(VLOOKUP($I193,UoM!$A:$C,2,FALSE),"")</f>
        <v/>
      </c>
      <c r="AH193" s="56" t="str">
        <f>IFERROR(VLOOKUP("Renewed Assets:"&amp;ROW(),'Handover Cost Report'!$A:$U,17,FALSE),"")</f>
        <v/>
      </c>
      <c r="AI193" s="56" t="str">
        <f>IFERROR(VLOOKUP("Renewed Assets:"&amp;ROW(),'Handover Cost Report'!$A:$U,18,FALSE),"")</f>
        <v/>
      </c>
      <c r="AJ193" s="56" t="str">
        <f>IFERROR(VLOOKUP("Renewed Assets:"&amp;ROW(),'Handover Cost Report'!$A:$U,19,FALSE),"")</f>
        <v/>
      </c>
    </row>
    <row r="194" spans="2:36" s="3" customFormat="1" ht="12.75" x14ac:dyDescent="0.2">
      <c r="B194" s="47"/>
      <c r="C194" s="47"/>
      <c r="D194" s="47"/>
      <c r="E194" s="47"/>
      <c r="F194" s="47"/>
      <c r="G194" s="47"/>
      <c r="H194" s="47"/>
      <c r="I194" s="47"/>
      <c r="J194" s="48"/>
      <c r="K194" s="56">
        <f t="shared" si="11"/>
        <v>0</v>
      </c>
      <c r="L194" s="93" t="str">
        <f>IFERROR(VLOOKUP($F194,SC_Component!$B:$C,2,FALSE),"")</f>
        <v/>
      </c>
      <c r="M194" s="58"/>
      <c r="N194" s="59">
        <f t="shared" si="12"/>
        <v>0</v>
      </c>
      <c r="O194" s="59">
        <f t="shared" si="13"/>
        <v>0</v>
      </c>
      <c r="P194" s="47"/>
      <c r="Q194" s="47"/>
      <c r="R194" s="47"/>
      <c r="S194" s="58"/>
      <c r="T194" s="47"/>
      <c r="U194" s="47"/>
      <c r="V194" s="119"/>
      <c r="W194" s="119"/>
      <c r="X194" s="47"/>
      <c r="Y194" s="47"/>
      <c r="Z194" s="47"/>
      <c r="AA194" s="47"/>
      <c r="AB194" s="47"/>
      <c r="AC194" s="47"/>
      <c r="AD194" s="93" t="str">
        <f t="array" ref="AD194">IFERROR(IF($B194="Building","Buildings",INDEX(CoA_Schema[AsseticCategory],MATCH(1,(CoA_Schema[AssetType]=$D194)*(CoA_Schema[AssetClass]=$B194)*(CoA_Schema[AssetSubClass]=$C194)*(CoA_Schema[Title]=$F194),0),0)),"")</f>
        <v/>
      </c>
      <c r="AE194" s="93" t="str">
        <f t="array" ref="AE194">IFERROR(IF($B194="Building","Buildings",INDEX(CoA_Schema[FinancialClass],MATCH(1,(CoA_Schema[AssetType]=$D194)*(CoA_Schema[AssetClass]=$B194)*(CoA_Schema[AssetSubClass]=$C194),0),0)),"")</f>
        <v/>
      </c>
      <c r="AF194" s="93" t="str">
        <f t="array" ref="AF194">IFERROR(IF($B194="Building","Buildings",INDEX(CoA_Schema[FinancialSubClass],MATCH(1,(CoA_Schema[AssetType]=$D194)*(CoA_Schema[AssetClass]=$B194)*(CoA_Schema[AssetSubClass]=$C194),0),0)),"")</f>
        <v/>
      </c>
      <c r="AG194" s="93" t="str">
        <f>IFERROR(VLOOKUP($I194,UoM!$A:$C,2,FALSE),"")</f>
        <v/>
      </c>
      <c r="AH194" s="56" t="str">
        <f>IFERROR(VLOOKUP("Renewed Assets:"&amp;ROW(),'Handover Cost Report'!$A:$U,17,FALSE),"")</f>
        <v/>
      </c>
      <c r="AI194" s="56" t="str">
        <f>IFERROR(VLOOKUP("Renewed Assets:"&amp;ROW(),'Handover Cost Report'!$A:$U,18,FALSE),"")</f>
        <v/>
      </c>
      <c r="AJ194" s="56" t="str">
        <f>IFERROR(VLOOKUP("Renewed Assets:"&amp;ROW(),'Handover Cost Report'!$A:$U,19,FALSE),"")</f>
        <v/>
      </c>
    </row>
    <row r="195" spans="2:36" s="3" customFormat="1" ht="12.75" x14ac:dyDescent="0.2">
      <c r="B195" s="47"/>
      <c r="C195" s="47"/>
      <c r="D195" s="47"/>
      <c r="E195" s="47"/>
      <c r="F195" s="47"/>
      <c r="G195" s="47"/>
      <c r="H195" s="47"/>
      <c r="I195" s="47"/>
      <c r="J195" s="48"/>
      <c r="K195" s="56">
        <f t="shared" si="11"/>
        <v>0</v>
      </c>
      <c r="L195" s="93" t="str">
        <f>IFERROR(VLOOKUP($F195,SC_Component!$B:$C,2,FALSE),"")</f>
        <v/>
      </c>
      <c r="M195" s="58"/>
      <c r="N195" s="59">
        <f t="shared" si="12"/>
        <v>0</v>
      </c>
      <c r="O195" s="59">
        <f t="shared" si="13"/>
        <v>0</v>
      </c>
      <c r="P195" s="47"/>
      <c r="Q195" s="47"/>
      <c r="R195" s="47"/>
      <c r="S195" s="58"/>
      <c r="T195" s="47"/>
      <c r="U195" s="47"/>
      <c r="V195" s="119"/>
      <c r="W195" s="119"/>
      <c r="X195" s="47"/>
      <c r="Y195" s="47"/>
      <c r="Z195" s="47"/>
      <c r="AA195" s="47"/>
      <c r="AB195" s="47"/>
      <c r="AC195" s="47"/>
      <c r="AD195" s="93" t="str">
        <f t="array" ref="AD195">IFERROR(IF($B195="Building","Buildings",INDEX(CoA_Schema[AsseticCategory],MATCH(1,(CoA_Schema[AssetType]=$D195)*(CoA_Schema[AssetClass]=$B195)*(CoA_Schema[AssetSubClass]=$C195)*(CoA_Schema[Title]=$F195),0),0)),"")</f>
        <v/>
      </c>
      <c r="AE195" s="93" t="str">
        <f t="array" ref="AE195">IFERROR(IF($B195="Building","Buildings",INDEX(CoA_Schema[FinancialClass],MATCH(1,(CoA_Schema[AssetType]=$D195)*(CoA_Schema[AssetClass]=$B195)*(CoA_Schema[AssetSubClass]=$C195),0),0)),"")</f>
        <v/>
      </c>
      <c r="AF195" s="93" t="str">
        <f t="array" ref="AF195">IFERROR(IF($B195="Building","Buildings",INDEX(CoA_Schema[FinancialSubClass],MATCH(1,(CoA_Schema[AssetType]=$D195)*(CoA_Schema[AssetClass]=$B195)*(CoA_Schema[AssetSubClass]=$C195),0),0)),"")</f>
        <v/>
      </c>
      <c r="AG195" s="93" t="str">
        <f>IFERROR(VLOOKUP($I195,UoM!$A:$C,2,FALSE),"")</f>
        <v/>
      </c>
      <c r="AH195" s="56" t="str">
        <f>IFERROR(VLOOKUP("Renewed Assets:"&amp;ROW(),'Handover Cost Report'!$A:$U,17,FALSE),"")</f>
        <v/>
      </c>
      <c r="AI195" s="56" t="str">
        <f>IFERROR(VLOOKUP("Renewed Assets:"&amp;ROW(),'Handover Cost Report'!$A:$U,18,FALSE),"")</f>
        <v/>
      </c>
      <c r="AJ195" s="56" t="str">
        <f>IFERROR(VLOOKUP("Renewed Assets:"&amp;ROW(),'Handover Cost Report'!$A:$U,19,FALSE),"")</f>
        <v/>
      </c>
    </row>
    <row r="196" spans="2:36" s="3" customFormat="1" ht="12.75" x14ac:dyDescent="0.2">
      <c r="B196" s="47"/>
      <c r="C196" s="47"/>
      <c r="D196" s="47"/>
      <c r="E196" s="47"/>
      <c r="F196" s="47"/>
      <c r="G196" s="47"/>
      <c r="H196" s="47"/>
      <c r="I196" s="47"/>
      <c r="J196" s="48"/>
      <c r="K196" s="56">
        <f t="shared" si="11"/>
        <v>0</v>
      </c>
      <c r="L196" s="93" t="str">
        <f>IFERROR(VLOOKUP($F196,SC_Component!$B:$C,2,FALSE),"")</f>
        <v/>
      </c>
      <c r="M196" s="58"/>
      <c r="N196" s="59">
        <f t="shared" si="12"/>
        <v>0</v>
      </c>
      <c r="O196" s="59">
        <f t="shared" si="13"/>
        <v>0</v>
      </c>
      <c r="P196" s="47"/>
      <c r="Q196" s="47"/>
      <c r="R196" s="47"/>
      <c r="S196" s="58"/>
      <c r="T196" s="47"/>
      <c r="U196" s="47"/>
      <c r="V196" s="119"/>
      <c r="W196" s="119"/>
      <c r="X196" s="47"/>
      <c r="Y196" s="47"/>
      <c r="Z196" s="47"/>
      <c r="AA196" s="47"/>
      <c r="AB196" s="47"/>
      <c r="AC196" s="47"/>
      <c r="AD196" s="93" t="str">
        <f t="array" ref="AD196">IFERROR(IF($B196="Building","Buildings",INDEX(CoA_Schema[AsseticCategory],MATCH(1,(CoA_Schema[AssetType]=$D196)*(CoA_Schema[AssetClass]=$B196)*(CoA_Schema[AssetSubClass]=$C196)*(CoA_Schema[Title]=$F196),0),0)),"")</f>
        <v/>
      </c>
      <c r="AE196" s="93" t="str">
        <f t="array" ref="AE196">IFERROR(IF($B196="Building","Buildings",INDEX(CoA_Schema[FinancialClass],MATCH(1,(CoA_Schema[AssetType]=$D196)*(CoA_Schema[AssetClass]=$B196)*(CoA_Schema[AssetSubClass]=$C196),0),0)),"")</f>
        <v/>
      </c>
      <c r="AF196" s="93" t="str">
        <f t="array" ref="AF196">IFERROR(IF($B196="Building","Buildings",INDEX(CoA_Schema[FinancialSubClass],MATCH(1,(CoA_Schema[AssetType]=$D196)*(CoA_Schema[AssetClass]=$B196)*(CoA_Schema[AssetSubClass]=$C196),0),0)),"")</f>
        <v/>
      </c>
      <c r="AG196" s="93" t="str">
        <f>IFERROR(VLOOKUP($I196,UoM!$A:$C,2,FALSE),"")</f>
        <v/>
      </c>
      <c r="AH196" s="56" t="str">
        <f>IFERROR(VLOOKUP("Renewed Assets:"&amp;ROW(),'Handover Cost Report'!$A:$U,17,FALSE),"")</f>
        <v/>
      </c>
      <c r="AI196" s="56" t="str">
        <f>IFERROR(VLOOKUP("Renewed Assets:"&amp;ROW(),'Handover Cost Report'!$A:$U,18,FALSE),"")</f>
        <v/>
      </c>
      <c r="AJ196" s="56" t="str">
        <f>IFERROR(VLOOKUP("Renewed Assets:"&amp;ROW(),'Handover Cost Report'!$A:$U,19,FALSE),"")</f>
        <v/>
      </c>
    </row>
    <row r="197" spans="2:36" s="3" customFormat="1" ht="12.75" x14ac:dyDescent="0.2">
      <c r="B197" s="47"/>
      <c r="C197" s="47"/>
      <c r="D197" s="47"/>
      <c r="E197" s="47"/>
      <c r="F197" s="47"/>
      <c r="G197" s="47"/>
      <c r="H197" s="47"/>
      <c r="I197" s="47"/>
      <c r="J197" s="48"/>
      <c r="K197" s="56">
        <f t="shared" si="11"/>
        <v>0</v>
      </c>
      <c r="L197" s="93" t="str">
        <f>IFERROR(VLOOKUP($F197,SC_Component!$B:$C,2,FALSE),"")</f>
        <v/>
      </c>
      <c r="M197" s="58"/>
      <c r="N197" s="59">
        <f t="shared" si="12"/>
        <v>0</v>
      </c>
      <c r="O197" s="59">
        <f t="shared" si="13"/>
        <v>0</v>
      </c>
      <c r="P197" s="47"/>
      <c r="Q197" s="47"/>
      <c r="R197" s="47"/>
      <c r="S197" s="58"/>
      <c r="T197" s="47"/>
      <c r="U197" s="47"/>
      <c r="V197" s="119"/>
      <c r="W197" s="119"/>
      <c r="X197" s="47"/>
      <c r="Y197" s="47"/>
      <c r="Z197" s="47"/>
      <c r="AA197" s="47"/>
      <c r="AB197" s="47"/>
      <c r="AC197" s="47"/>
      <c r="AD197" s="93" t="str">
        <f t="array" ref="AD197">IFERROR(IF($B197="Building","Buildings",INDEX(CoA_Schema[AsseticCategory],MATCH(1,(CoA_Schema[AssetType]=$D197)*(CoA_Schema[AssetClass]=$B197)*(CoA_Schema[AssetSubClass]=$C197)*(CoA_Schema[Title]=$F197),0),0)),"")</f>
        <v/>
      </c>
      <c r="AE197" s="93" t="str">
        <f t="array" ref="AE197">IFERROR(IF($B197="Building","Buildings",INDEX(CoA_Schema[FinancialClass],MATCH(1,(CoA_Schema[AssetType]=$D197)*(CoA_Schema[AssetClass]=$B197)*(CoA_Schema[AssetSubClass]=$C197),0),0)),"")</f>
        <v/>
      </c>
      <c r="AF197" s="93" t="str">
        <f t="array" ref="AF197">IFERROR(IF($B197="Building","Buildings",INDEX(CoA_Schema[FinancialSubClass],MATCH(1,(CoA_Schema[AssetType]=$D197)*(CoA_Schema[AssetClass]=$B197)*(CoA_Schema[AssetSubClass]=$C197),0),0)),"")</f>
        <v/>
      </c>
      <c r="AG197" s="93" t="str">
        <f>IFERROR(VLOOKUP($I197,UoM!$A:$C,2,FALSE),"")</f>
        <v/>
      </c>
      <c r="AH197" s="56" t="str">
        <f>IFERROR(VLOOKUP("Renewed Assets:"&amp;ROW(),'Handover Cost Report'!$A:$U,17,FALSE),"")</f>
        <v/>
      </c>
      <c r="AI197" s="56" t="str">
        <f>IFERROR(VLOOKUP("Renewed Assets:"&amp;ROW(),'Handover Cost Report'!$A:$U,18,FALSE),"")</f>
        <v/>
      </c>
      <c r="AJ197" s="56" t="str">
        <f>IFERROR(VLOOKUP("Renewed Assets:"&amp;ROW(),'Handover Cost Report'!$A:$U,19,FALSE),"")</f>
        <v/>
      </c>
    </row>
    <row r="198" spans="2:36" s="3" customFormat="1" ht="12.75" x14ac:dyDescent="0.2">
      <c r="B198" s="47"/>
      <c r="C198" s="47"/>
      <c r="D198" s="47"/>
      <c r="E198" s="47"/>
      <c r="F198" s="47"/>
      <c r="G198" s="47"/>
      <c r="H198" s="47"/>
      <c r="I198" s="47"/>
      <c r="J198" s="48"/>
      <c r="K198" s="56">
        <f t="shared" si="11"/>
        <v>0</v>
      </c>
      <c r="L198" s="93" t="str">
        <f>IFERROR(VLOOKUP($F198,SC_Component!$B:$C,2,FALSE),"")</f>
        <v/>
      </c>
      <c r="M198" s="58"/>
      <c r="N198" s="59">
        <f t="shared" si="12"/>
        <v>0</v>
      </c>
      <c r="O198" s="59">
        <f t="shared" si="13"/>
        <v>0</v>
      </c>
      <c r="P198" s="47"/>
      <c r="Q198" s="47"/>
      <c r="R198" s="47"/>
      <c r="S198" s="58"/>
      <c r="T198" s="47"/>
      <c r="U198" s="47"/>
      <c r="V198" s="119"/>
      <c r="W198" s="119"/>
      <c r="X198" s="47"/>
      <c r="Y198" s="47"/>
      <c r="Z198" s="47"/>
      <c r="AA198" s="47"/>
      <c r="AB198" s="47"/>
      <c r="AC198" s="47"/>
      <c r="AD198" s="93" t="str">
        <f t="array" ref="AD198">IFERROR(IF($B198="Building","Buildings",INDEX(CoA_Schema[AsseticCategory],MATCH(1,(CoA_Schema[AssetType]=$D198)*(CoA_Schema[AssetClass]=$B198)*(CoA_Schema[AssetSubClass]=$C198)*(CoA_Schema[Title]=$F198),0),0)),"")</f>
        <v/>
      </c>
      <c r="AE198" s="93" t="str">
        <f t="array" ref="AE198">IFERROR(IF($B198="Building","Buildings",INDEX(CoA_Schema[FinancialClass],MATCH(1,(CoA_Schema[AssetType]=$D198)*(CoA_Schema[AssetClass]=$B198)*(CoA_Schema[AssetSubClass]=$C198),0),0)),"")</f>
        <v/>
      </c>
      <c r="AF198" s="93" t="str">
        <f t="array" ref="AF198">IFERROR(IF($B198="Building","Buildings",INDEX(CoA_Schema[FinancialSubClass],MATCH(1,(CoA_Schema[AssetType]=$D198)*(CoA_Schema[AssetClass]=$B198)*(CoA_Schema[AssetSubClass]=$C198),0),0)),"")</f>
        <v/>
      </c>
      <c r="AG198" s="93" t="str">
        <f>IFERROR(VLOOKUP($I198,UoM!$A:$C,2,FALSE),"")</f>
        <v/>
      </c>
      <c r="AH198" s="56" t="str">
        <f>IFERROR(VLOOKUP("Renewed Assets:"&amp;ROW(),'Handover Cost Report'!$A:$U,17,FALSE),"")</f>
        <v/>
      </c>
      <c r="AI198" s="56" t="str">
        <f>IFERROR(VLOOKUP("Renewed Assets:"&amp;ROW(),'Handover Cost Report'!$A:$U,18,FALSE),"")</f>
        <v/>
      </c>
      <c r="AJ198" s="56" t="str">
        <f>IFERROR(VLOOKUP("Renewed Assets:"&amp;ROW(),'Handover Cost Report'!$A:$U,19,FALSE),"")</f>
        <v/>
      </c>
    </row>
    <row r="199" spans="2:36" s="3" customFormat="1" ht="12.75" x14ac:dyDescent="0.2">
      <c r="B199" s="47"/>
      <c r="C199" s="47"/>
      <c r="D199" s="47"/>
      <c r="E199" s="47"/>
      <c r="F199" s="47"/>
      <c r="G199" s="47"/>
      <c r="H199" s="47"/>
      <c r="I199" s="47"/>
      <c r="J199" s="48"/>
      <c r="K199" s="56">
        <f t="shared" si="11"/>
        <v>0</v>
      </c>
      <c r="L199" s="93" t="str">
        <f>IFERROR(VLOOKUP($F199,SC_Component!$B:$C,2,FALSE),"")</f>
        <v/>
      </c>
      <c r="M199" s="58"/>
      <c r="N199" s="59">
        <f t="shared" si="12"/>
        <v>0</v>
      </c>
      <c r="O199" s="59">
        <f t="shared" si="13"/>
        <v>0</v>
      </c>
      <c r="P199" s="47"/>
      <c r="Q199" s="47"/>
      <c r="R199" s="47"/>
      <c r="S199" s="58"/>
      <c r="T199" s="47"/>
      <c r="U199" s="47"/>
      <c r="V199" s="119"/>
      <c r="W199" s="119"/>
      <c r="X199" s="47"/>
      <c r="Y199" s="47"/>
      <c r="Z199" s="47"/>
      <c r="AA199" s="47"/>
      <c r="AB199" s="47"/>
      <c r="AC199" s="47"/>
      <c r="AD199" s="93" t="str">
        <f t="array" ref="AD199">IFERROR(IF($B199="Building","Buildings",INDEX(CoA_Schema[AsseticCategory],MATCH(1,(CoA_Schema[AssetType]=$D199)*(CoA_Schema[AssetClass]=$B199)*(CoA_Schema[AssetSubClass]=$C199)*(CoA_Schema[Title]=$F199),0),0)),"")</f>
        <v/>
      </c>
      <c r="AE199" s="93" t="str">
        <f t="array" ref="AE199">IFERROR(IF($B199="Building","Buildings",INDEX(CoA_Schema[FinancialClass],MATCH(1,(CoA_Schema[AssetType]=$D199)*(CoA_Schema[AssetClass]=$B199)*(CoA_Schema[AssetSubClass]=$C199),0),0)),"")</f>
        <v/>
      </c>
      <c r="AF199" s="93" t="str">
        <f t="array" ref="AF199">IFERROR(IF($B199="Building","Buildings",INDEX(CoA_Schema[FinancialSubClass],MATCH(1,(CoA_Schema[AssetType]=$D199)*(CoA_Schema[AssetClass]=$B199)*(CoA_Schema[AssetSubClass]=$C199),0),0)),"")</f>
        <v/>
      </c>
      <c r="AG199" s="93" t="str">
        <f>IFERROR(VLOOKUP($I199,UoM!$A:$C,2,FALSE),"")</f>
        <v/>
      </c>
      <c r="AH199" s="56" t="str">
        <f>IFERROR(VLOOKUP("Renewed Assets:"&amp;ROW(),'Handover Cost Report'!$A:$U,17,FALSE),"")</f>
        <v/>
      </c>
      <c r="AI199" s="56" t="str">
        <f>IFERROR(VLOOKUP("Renewed Assets:"&amp;ROW(),'Handover Cost Report'!$A:$U,18,FALSE),"")</f>
        <v/>
      </c>
      <c r="AJ199" s="56" t="str">
        <f>IFERROR(VLOOKUP("Renewed Assets:"&amp;ROW(),'Handover Cost Report'!$A:$U,19,FALSE),"")</f>
        <v/>
      </c>
    </row>
    <row r="200" spans="2:36" s="3" customFormat="1" ht="12.75" x14ac:dyDescent="0.2">
      <c r="B200" s="47"/>
      <c r="C200" s="47"/>
      <c r="D200" s="47"/>
      <c r="E200" s="47"/>
      <c r="F200" s="47"/>
      <c r="G200" s="47"/>
      <c r="H200" s="47"/>
      <c r="I200" s="47"/>
      <c r="J200" s="48"/>
      <c r="K200" s="56">
        <f t="shared" si="11"/>
        <v>0</v>
      </c>
      <c r="L200" s="93" t="str">
        <f>IFERROR(VLOOKUP($F200,SC_Component!$B:$C,2,FALSE),"")</f>
        <v/>
      </c>
      <c r="M200" s="58"/>
      <c r="N200" s="59">
        <f t="shared" si="12"/>
        <v>0</v>
      </c>
      <c r="O200" s="59">
        <f t="shared" si="13"/>
        <v>0</v>
      </c>
      <c r="P200" s="47"/>
      <c r="Q200" s="47"/>
      <c r="R200" s="47"/>
      <c r="S200" s="58"/>
      <c r="T200" s="47"/>
      <c r="U200" s="47"/>
      <c r="V200" s="119"/>
      <c r="W200" s="119"/>
      <c r="X200" s="47"/>
      <c r="Y200" s="47"/>
      <c r="Z200" s="47"/>
      <c r="AA200" s="47"/>
      <c r="AB200" s="47"/>
      <c r="AC200" s="47"/>
      <c r="AD200" s="93" t="str">
        <f t="array" ref="AD200">IFERROR(IF($B200="Building","Buildings",INDEX(CoA_Schema[AsseticCategory],MATCH(1,(CoA_Schema[AssetType]=$D200)*(CoA_Schema[AssetClass]=$B200)*(CoA_Schema[AssetSubClass]=$C200)*(CoA_Schema[Title]=$F200),0),0)),"")</f>
        <v/>
      </c>
      <c r="AE200" s="93" t="str">
        <f t="array" ref="AE200">IFERROR(IF($B200="Building","Buildings",INDEX(CoA_Schema[FinancialClass],MATCH(1,(CoA_Schema[AssetType]=$D200)*(CoA_Schema[AssetClass]=$B200)*(CoA_Schema[AssetSubClass]=$C200),0),0)),"")</f>
        <v/>
      </c>
      <c r="AF200" s="93" t="str">
        <f t="array" ref="AF200">IFERROR(IF($B200="Building","Buildings",INDEX(CoA_Schema[FinancialSubClass],MATCH(1,(CoA_Schema[AssetType]=$D200)*(CoA_Schema[AssetClass]=$B200)*(CoA_Schema[AssetSubClass]=$C200),0),0)),"")</f>
        <v/>
      </c>
      <c r="AG200" s="93" t="str">
        <f>IFERROR(VLOOKUP($I200,UoM!$A:$C,2,FALSE),"")</f>
        <v/>
      </c>
      <c r="AH200" s="56" t="str">
        <f>IFERROR(VLOOKUP("Renewed Assets:"&amp;ROW(),'Handover Cost Report'!$A:$U,17,FALSE),"")</f>
        <v/>
      </c>
      <c r="AI200" s="56" t="str">
        <f>IFERROR(VLOOKUP("Renewed Assets:"&amp;ROW(),'Handover Cost Report'!$A:$U,18,FALSE),"")</f>
        <v/>
      </c>
      <c r="AJ200" s="56" t="str">
        <f>IFERROR(VLOOKUP("Renewed Assets:"&amp;ROW(),'Handover Cost Report'!$A:$U,19,FALSE),"")</f>
        <v/>
      </c>
    </row>
    <row r="201" spans="2:36" s="3" customFormat="1" ht="12.75" x14ac:dyDescent="0.2">
      <c r="B201" s="47"/>
      <c r="C201" s="47"/>
      <c r="D201" s="47"/>
      <c r="E201" s="47"/>
      <c r="F201" s="47"/>
      <c r="G201" s="47"/>
      <c r="H201" s="47"/>
      <c r="I201" s="47"/>
      <c r="J201" s="48"/>
      <c r="K201" s="56">
        <f t="shared" si="11"/>
        <v>0</v>
      </c>
      <c r="L201" s="93" t="str">
        <f>IFERROR(VLOOKUP($F201,SC_Component!$B:$C,2,FALSE),"")</f>
        <v/>
      </c>
      <c r="M201" s="58"/>
      <c r="N201" s="59">
        <f t="shared" si="12"/>
        <v>0</v>
      </c>
      <c r="O201" s="59">
        <f t="shared" si="13"/>
        <v>0</v>
      </c>
      <c r="P201" s="47"/>
      <c r="Q201" s="47"/>
      <c r="R201" s="47"/>
      <c r="S201" s="58"/>
      <c r="T201" s="47"/>
      <c r="U201" s="47"/>
      <c r="V201" s="119"/>
      <c r="W201" s="119"/>
      <c r="X201" s="47"/>
      <c r="Y201" s="47"/>
      <c r="Z201" s="47"/>
      <c r="AA201" s="47"/>
      <c r="AB201" s="47"/>
      <c r="AC201" s="47"/>
      <c r="AD201" s="93" t="str">
        <f t="array" ref="AD201">IFERROR(IF($B201="Building","Buildings",INDEX(CoA_Schema[AsseticCategory],MATCH(1,(CoA_Schema[AssetType]=$D201)*(CoA_Schema[AssetClass]=$B201)*(CoA_Schema[AssetSubClass]=$C201)*(CoA_Schema[Title]=$F201),0),0)),"")</f>
        <v/>
      </c>
      <c r="AE201" s="93" t="str">
        <f t="array" ref="AE201">IFERROR(IF($B201="Building","Buildings",INDEX(CoA_Schema[FinancialClass],MATCH(1,(CoA_Schema[AssetType]=$D201)*(CoA_Schema[AssetClass]=$B201)*(CoA_Schema[AssetSubClass]=$C201),0),0)),"")</f>
        <v/>
      </c>
      <c r="AF201" s="93" t="str">
        <f t="array" ref="AF201">IFERROR(IF($B201="Building","Buildings",INDEX(CoA_Schema[FinancialSubClass],MATCH(1,(CoA_Schema[AssetType]=$D201)*(CoA_Schema[AssetClass]=$B201)*(CoA_Schema[AssetSubClass]=$C201),0),0)),"")</f>
        <v/>
      </c>
      <c r="AG201" s="93" t="str">
        <f>IFERROR(VLOOKUP($I201,UoM!$A:$C,2,FALSE),"")</f>
        <v/>
      </c>
      <c r="AH201" s="56" t="str">
        <f>IFERROR(VLOOKUP("Renewed Assets:"&amp;ROW(),'Handover Cost Report'!$A:$U,17,FALSE),"")</f>
        <v/>
      </c>
      <c r="AI201" s="56" t="str">
        <f>IFERROR(VLOOKUP("Renewed Assets:"&amp;ROW(),'Handover Cost Report'!$A:$U,18,FALSE),"")</f>
        <v/>
      </c>
      <c r="AJ201" s="56" t="str">
        <f>IFERROR(VLOOKUP("Renewed Assets:"&amp;ROW(),'Handover Cost Report'!$A:$U,19,FALSE),"")</f>
        <v/>
      </c>
    </row>
    <row r="202" spans="2:36" s="3" customFormat="1" ht="12.75" x14ac:dyDescent="0.2">
      <c r="B202" s="47"/>
      <c r="C202" s="47"/>
      <c r="D202" s="47"/>
      <c r="E202" s="47"/>
      <c r="F202" s="47"/>
      <c r="G202" s="47"/>
      <c r="H202" s="47"/>
      <c r="I202" s="47"/>
      <c r="J202" s="48"/>
      <c r="K202" s="56">
        <f t="shared" si="11"/>
        <v>0</v>
      </c>
      <c r="L202" s="93" t="str">
        <f>IFERROR(VLOOKUP($F202,SC_Component!$B:$C,2,FALSE),"")</f>
        <v/>
      </c>
      <c r="M202" s="58"/>
      <c r="N202" s="59">
        <f t="shared" si="12"/>
        <v>0</v>
      </c>
      <c r="O202" s="59">
        <f t="shared" si="13"/>
        <v>0</v>
      </c>
      <c r="P202" s="47"/>
      <c r="Q202" s="47"/>
      <c r="R202" s="47"/>
      <c r="S202" s="58"/>
      <c r="T202" s="47"/>
      <c r="U202" s="47"/>
      <c r="V202" s="119"/>
      <c r="W202" s="119"/>
      <c r="X202" s="47"/>
      <c r="Y202" s="47"/>
      <c r="Z202" s="47"/>
      <c r="AA202" s="47"/>
      <c r="AB202" s="47"/>
      <c r="AC202" s="47"/>
      <c r="AD202" s="93" t="str">
        <f t="array" ref="AD202">IFERROR(IF($B202="Building","Buildings",INDEX(CoA_Schema[AsseticCategory],MATCH(1,(CoA_Schema[AssetType]=$D202)*(CoA_Schema[AssetClass]=$B202)*(CoA_Schema[AssetSubClass]=$C202)*(CoA_Schema[Title]=$F202),0),0)),"")</f>
        <v/>
      </c>
      <c r="AE202" s="93" t="str">
        <f t="array" ref="AE202">IFERROR(IF($B202="Building","Buildings",INDEX(CoA_Schema[FinancialClass],MATCH(1,(CoA_Schema[AssetType]=$D202)*(CoA_Schema[AssetClass]=$B202)*(CoA_Schema[AssetSubClass]=$C202),0),0)),"")</f>
        <v/>
      </c>
      <c r="AF202" s="93" t="str">
        <f t="array" ref="AF202">IFERROR(IF($B202="Building","Buildings",INDEX(CoA_Schema[FinancialSubClass],MATCH(1,(CoA_Schema[AssetType]=$D202)*(CoA_Schema[AssetClass]=$B202)*(CoA_Schema[AssetSubClass]=$C202),0),0)),"")</f>
        <v/>
      </c>
      <c r="AG202" s="93" t="str">
        <f>IFERROR(VLOOKUP($I202,UoM!$A:$C,2,FALSE),"")</f>
        <v/>
      </c>
      <c r="AH202" s="56" t="str">
        <f>IFERROR(VLOOKUP("Renewed Assets:"&amp;ROW(),'Handover Cost Report'!$A:$U,17,FALSE),"")</f>
        <v/>
      </c>
      <c r="AI202" s="56" t="str">
        <f>IFERROR(VLOOKUP("Renewed Assets:"&amp;ROW(),'Handover Cost Report'!$A:$U,18,FALSE),"")</f>
        <v/>
      </c>
      <c r="AJ202" s="56" t="str">
        <f>IFERROR(VLOOKUP("Renewed Assets:"&amp;ROW(),'Handover Cost Report'!$A:$U,19,FALSE),"")</f>
        <v/>
      </c>
    </row>
    <row r="203" spans="2:36" s="3" customFormat="1" ht="12.75" x14ac:dyDescent="0.2">
      <c r="B203" s="47"/>
      <c r="C203" s="47"/>
      <c r="D203" s="47"/>
      <c r="E203" s="47"/>
      <c r="F203" s="47"/>
      <c r="G203" s="47"/>
      <c r="H203" s="47"/>
      <c r="I203" s="47"/>
      <c r="J203" s="48"/>
      <c r="K203" s="56">
        <f t="shared" si="11"/>
        <v>0</v>
      </c>
      <c r="L203" s="93" t="str">
        <f>IFERROR(VLOOKUP($F203,SC_Component!$B:$C,2,FALSE),"")</f>
        <v/>
      </c>
      <c r="M203" s="58"/>
      <c r="N203" s="59">
        <f t="shared" si="12"/>
        <v>0</v>
      </c>
      <c r="O203" s="59">
        <f t="shared" si="13"/>
        <v>0</v>
      </c>
      <c r="P203" s="47"/>
      <c r="Q203" s="47"/>
      <c r="R203" s="47"/>
      <c r="S203" s="58"/>
      <c r="T203" s="47"/>
      <c r="U203" s="47"/>
      <c r="V203" s="119"/>
      <c r="W203" s="119"/>
      <c r="X203" s="47"/>
      <c r="Y203" s="47"/>
      <c r="Z203" s="47"/>
      <c r="AA203" s="47"/>
      <c r="AB203" s="47"/>
      <c r="AC203" s="47"/>
      <c r="AD203" s="93" t="str">
        <f t="array" ref="AD203">IFERROR(IF($B203="Building","Buildings",INDEX(CoA_Schema[AsseticCategory],MATCH(1,(CoA_Schema[AssetType]=$D203)*(CoA_Schema[AssetClass]=$B203)*(CoA_Schema[AssetSubClass]=$C203)*(CoA_Schema[Title]=$F203),0),0)),"")</f>
        <v/>
      </c>
      <c r="AE203" s="93" t="str">
        <f t="array" ref="AE203">IFERROR(IF($B203="Building","Buildings",INDEX(CoA_Schema[FinancialClass],MATCH(1,(CoA_Schema[AssetType]=$D203)*(CoA_Schema[AssetClass]=$B203)*(CoA_Schema[AssetSubClass]=$C203),0),0)),"")</f>
        <v/>
      </c>
      <c r="AF203" s="93" t="str">
        <f t="array" ref="AF203">IFERROR(IF($B203="Building","Buildings",INDEX(CoA_Schema[FinancialSubClass],MATCH(1,(CoA_Schema[AssetType]=$D203)*(CoA_Schema[AssetClass]=$B203)*(CoA_Schema[AssetSubClass]=$C203),0),0)),"")</f>
        <v/>
      </c>
      <c r="AG203" s="93" t="str">
        <f>IFERROR(VLOOKUP($I203,UoM!$A:$C,2,FALSE),"")</f>
        <v/>
      </c>
      <c r="AH203" s="56" t="str">
        <f>IFERROR(VLOOKUP("Renewed Assets:"&amp;ROW(),'Handover Cost Report'!$A:$U,17,FALSE),"")</f>
        <v/>
      </c>
      <c r="AI203" s="56" t="str">
        <f>IFERROR(VLOOKUP("Renewed Assets:"&amp;ROW(),'Handover Cost Report'!$A:$U,18,FALSE),"")</f>
        <v/>
      </c>
      <c r="AJ203" s="56" t="str">
        <f>IFERROR(VLOOKUP("Renewed Assets:"&amp;ROW(),'Handover Cost Report'!$A:$U,19,FALSE),"")</f>
        <v/>
      </c>
    </row>
    <row r="204" spans="2:36" s="3" customFormat="1" ht="12.75" x14ac:dyDescent="0.2">
      <c r="B204" s="47"/>
      <c r="C204" s="47"/>
      <c r="D204" s="47"/>
      <c r="E204" s="47"/>
      <c r="F204" s="47"/>
      <c r="G204" s="47"/>
      <c r="H204" s="47"/>
      <c r="I204" s="47"/>
      <c r="J204" s="48"/>
      <c r="K204" s="56">
        <f t="shared" si="11"/>
        <v>0</v>
      </c>
      <c r="L204" s="93" t="str">
        <f>IFERROR(VLOOKUP($F204,SC_Component!$B:$C,2,FALSE),"")</f>
        <v/>
      </c>
      <c r="M204" s="58"/>
      <c r="N204" s="59">
        <f t="shared" si="12"/>
        <v>0</v>
      </c>
      <c r="O204" s="59">
        <f t="shared" si="13"/>
        <v>0</v>
      </c>
      <c r="P204" s="47"/>
      <c r="Q204" s="47"/>
      <c r="R204" s="47"/>
      <c r="S204" s="58"/>
      <c r="T204" s="47"/>
      <c r="U204" s="47"/>
      <c r="V204" s="119"/>
      <c r="W204" s="119"/>
      <c r="X204" s="47"/>
      <c r="Y204" s="47"/>
      <c r="Z204" s="47"/>
      <c r="AA204" s="47"/>
      <c r="AB204" s="47"/>
      <c r="AC204" s="47"/>
      <c r="AD204" s="93" t="str">
        <f t="array" ref="AD204">IFERROR(IF($B204="Building","Buildings",INDEX(CoA_Schema[AsseticCategory],MATCH(1,(CoA_Schema[AssetType]=$D204)*(CoA_Schema[AssetClass]=$B204)*(CoA_Schema[AssetSubClass]=$C204)*(CoA_Schema[Title]=$F204),0),0)),"")</f>
        <v/>
      </c>
      <c r="AE204" s="93" t="str">
        <f t="array" ref="AE204">IFERROR(IF($B204="Building","Buildings",INDEX(CoA_Schema[FinancialClass],MATCH(1,(CoA_Schema[AssetType]=$D204)*(CoA_Schema[AssetClass]=$B204)*(CoA_Schema[AssetSubClass]=$C204),0),0)),"")</f>
        <v/>
      </c>
      <c r="AF204" s="93" t="str">
        <f t="array" ref="AF204">IFERROR(IF($B204="Building","Buildings",INDEX(CoA_Schema[FinancialSubClass],MATCH(1,(CoA_Schema[AssetType]=$D204)*(CoA_Schema[AssetClass]=$B204)*(CoA_Schema[AssetSubClass]=$C204),0),0)),"")</f>
        <v/>
      </c>
      <c r="AG204" s="93" t="str">
        <f>IFERROR(VLOOKUP($I204,UoM!$A:$C,2,FALSE),"")</f>
        <v/>
      </c>
      <c r="AH204" s="56" t="str">
        <f>IFERROR(VLOOKUP("Renewed Assets:"&amp;ROW(),'Handover Cost Report'!$A:$U,17,FALSE),"")</f>
        <v/>
      </c>
      <c r="AI204" s="56" t="str">
        <f>IFERROR(VLOOKUP("Renewed Assets:"&amp;ROW(),'Handover Cost Report'!$A:$U,18,FALSE),"")</f>
        <v/>
      </c>
      <c r="AJ204" s="56" t="str">
        <f>IFERROR(VLOOKUP("Renewed Assets:"&amp;ROW(),'Handover Cost Report'!$A:$U,19,FALSE),"")</f>
        <v/>
      </c>
    </row>
    <row r="205" spans="2:36" s="3" customFormat="1" ht="12.75" x14ac:dyDescent="0.2">
      <c r="B205" s="47"/>
      <c r="C205" s="47"/>
      <c r="D205" s="47"/>
      <c r="E205" s="47"/>
      <c r="F205" s="47"/>
      <c r="G205" s="47"/>
      <c r="H205" s="47"/>
      <c r="I205" s="47"/>
      <c r="J205" s="48"/>
      <c r="K205" s="56">
        <f t="shared" si="11"/>
        <v>0</v>
      </c>
      <c r="L205" s="93" t="str">
        <f>IFERROR(VLOOKUP($F205,SC_Component!$B:$C,2,FALSE),"")</f>
        <v/>
      </c>
      <c r="M205" s="58"/>
      <c r="N205" s="59">
        <f t="shared" si="12"/>
        <v>0</v>
      </c>
      <c r="O205" s="59">
        <f t="shared" si="13"/>
        <v>0</v>
      </c>
      <c r="P205" s="47"/>
      <c r="Q205" s="47"/>
      <c r="R205" s="47"/>
      <c r="S205" s="58"/>
      <c r="T205" s="47"/>
      <c r="U205" s="47"/>
      <c r="V205" s="119"/>
      <c r="W205" s="119"/>
      <c r="X205" s="47"/>
      <c r="Y205" s="47"/>
      <c r="Z205" s="47"/>
      <c r="AA205" s="47"/>
      <c r="AB205" s="47"/>
      <c r="AC205" s="47"/>
      <c r="AD205" s="93" t="str">
        <f t="array" ref="AD205">IFERROR(IF($B205="Building","Buildings",INDEX(CoA_Schema[AsseticCategory],MATCH(1,(CoA_Schema[AssetType]=$D205)*(CoA_Schema[AssetClass]=$B205)*(CoA_Schema[AssetSubClass]=$C205)*(CoA_Schema[Title]=$F205),0),0)),"")</f>
        <v/>
      </c>
      <c r="AE205" s="93" t="str">
        <f t="array" ref="AE205">IFERROR(IF($B205="Building","Buildings",INDEX(CoA_Schema[FinancialClass],MATCH(1,(CoA_Schema[AssetType]=$D205)*(CoA_Schema[AssetClass]=$B205)*(CoA_Schema[AssetSubClass]=$C205),0),0)),"")</f>
        <v/>
      </c>
      <c r="AF205" s="93" t="str">
        <f t="array" ref="AF205">IFERROR(IF($B205="Building","Buildings",INDEX(CoA_Schema[FinancialSubClass],MATCH(1,(CoA_Schema[AssetType]=$D205)*(CoA_Schema[AssetClass]=$B205)*(CoA_Schema[AssetSubClass]=$C205),0),0)),"")</f>
        <v/>
      </c>
      <c r="AG205" s="93" t="str">
        <f>IFERROR(VLOOKUP($I205,UoM!$A:$C,2,FALSE),"")</f>
        <v/>
      </c>
      <c r="AH205" s="56" t="str">
        <f>IFERROR(VLOOKUP("Renewed Assets:"&amp;ROW(),'Handover Cost Report'!$A:$U,17,FALSE),"")</f>
        <v/>
      </c>
      <c r="AI205" s="56" t="str">
        <f>IFERROR(VLOOKUP("Renewed Assets:"&amp;ROW(),'Handover Cost Report'!$A:$U,18,FALSE),"")</f>
        <v/>
      </c>
      <c r="AJ205" s="56" t="str">
        <f>IFERROR(VLOOKUP("Renewed Assets:"&amp;ROW(),'Handover Cost Report'!$A:$U,19,FALSE),"")</f>
        <v/>
      </c>
    </row>
    <row r="206" spans="2:36" s="3" customFormat="1" ht="12.75" x14ac:dyDescent="0.2">
      <c r="B206" s="47"/>
      <c r="C206" s="47"/>
      <c r="D206" s="47"/>
      <c r="E206" s="47"/>
      <c r="F206" s="47"/>
      <c r="G206" s="47"/>
      <c r="H206" s="47"/>
      <c r="I206" s="47"/>
      <c r="J206" s="48"/>
      <c r="K206" s="56">
        <f t="shared" si="11"/>
        <v>0</v>
      </c>
      <c r="L206" s="93" t="str">
        <f>IFERROR(VLOOKUP($F206,SC_Component!$B:$C,2,FALSE),"")</f>
        <v/>
      </c>
      <c r="M206" s="58"/>
      <c r="N206" s="59">
        <f t="shared" si="12"/>
        <v>0</v>
      </c>
      <c r="O206" s="59">
        <f t="shared" si="13"/>
        <v>0</v>
      </c>
      <c r="P206" s="47"/>
      <c r="Q206" s="47"/>
      <c r="R206" s="47"/>
      <c r="S206" s="58"/>
      <c r="T206" s="47"/>
      <c r="U206" s="47"/>
      <c r="V206" s="119"/>
      <c r="W206" s="119"/>
      <c r="X206" s="47"/>
      <c r="Y206" s="47"/>
      <c r="Z206" s="47"/>
      <c r="AA206" s="47"/>
      <c r="AB206" s="47"/>
      <c r="AC206" s="47"/>
      <c r="AD206" s="93" t="str">
        <f t="array" ref="AD206">IFERROR(IF($B206="Building","Buildings",INDEX(CoA_Schema[AsseticCategory],MATCH(1,(CoA_Schema[AssetType]=$D206)*(CoA_Schema[AssetClass]=$B206)*(CoA_Schema[AssetSubClass]=$C206)*(CoA_Schema[Title]=$F206),0),0)),"")</f>
        <v/>
      </c>
      <c r="AE206" s="93" t="str">
        <f t="array" ref="AE206">IFERROR(IF($B206="Building","Buildings",INDEX(CoA_Schema[FinancialClass],MATCH(1,(CoA_Schema[AssetType]=$D206)*(CoA_Schema[AssetClass]=$B206)*(CoA_Schema[AssetSubClass]=$C206),0),0)),"")</f>
        <v/>
      </c>
      <c r="AF206" s="93" t="str">
        <f t="array" ref="AF206">IFERROR(IF($B206="Building","Buildings",INDEX(CoA_Schema[FinancialSubClass],MATCH(1,(CoA_Schema[AssetType]=$D206)*(CoA_Schema[AssetClass]=$B206)*(CoA_Schema[AssetSubClass]=$C206),0),0)),"")</f>
        <v/>
      </c>
      <c r="AG206" s="93" t="str">
        <f>IFERROR(VLOOKUP($I206,UoM!$A:$C,2,FALSE),"")</f>
        <v/>
      </c>
      <c r="AH206" s="56" t="str">
        <f>IFERROR(VLOOKUP("Renewed Assets:"&amp;ROW(),'Handover Cost Report'!$A:$U,17,FALSE),"")</f>
        <v/>
      </c>
      <c r="AI206" s="56" t="str">
        <f>IFERROR(VLOOKUP("Renewed Assets:"&amp;ROW(),'Handover Cost Report'!$A:$U,18,FALSE),"")</f>
        <v/>
      </c>
      <c r="AJ206" s="56" t="str">
        <f>IFERROR(VLOOKUP("Renewed Assets:"&amp;ROW(),'Handover Cost Report'!$A:$U,19,FALSE),"")</f>
        <v/>
      </c>
    </row>
    <row r="207" spans="2:36" s="3" customFormat="1" ht="12.75" x14ac:dyDescent="0.2">
      <c r="B207" s="47"/>
      <c r="C207" s="47"/>
      <c r="D207" s="47"/>
      <c r="E207" s="47"/>
      <c r="F207" s="47"/>
      <c r="G207" s="47"/>
      <c r="H207" s="47"/>
      <c r="I207" s="47"/>
      <c r="J207" s="48"/>
      <c r="K207" s="56">
        <f t="shared" si="11"/>
        <v>0</v>
      </c>
      <c r="L207" s="93" t="str">
        <f>IFERROR(VLOOKUP($F207,SC_Component!$B:$C,2,FALSE),"")</f>
        <v/>
      </c>
      <c r="M207" s="58"/>
      <c r="N207" s="59">
        <f t="shared" si="12"/>
        <v>0</v>
      </c>
      <c r="O207" s="59">
        <f t="shared" si="13"/>
        <v>0</v>
      </c>
      <c r="P207" s="47"/>
      <c r="Q207" s="47"/>
      <c r="R207" s="47"/>
      <c r="S207" s="58"/>
      <c r="T207" s="47"/>
      <c r="U207" s="47"/>
      <c r="V207" s="119"/>
      <c r="W207" s="119"/>
      <c r="X207" s="47"/>
      <c r="Y207" s="47"/>
      <c r="Z207" s="47"/>
      <c r="AA207" s="47"/>
      <c r="AB207" s="47"/>
      <c r="AC207" s="47"/>
      <c r="AD207" s="93" t="str">
        <f t="array" ref="AD207">IFERROR(IF($B207="Building","Buildings",INDEX(CoA_Schema[AsseticCategory],MATCH(1,(CoA_Schema[AssetType]=$D207)*(CoA_Schema[AssetClass]=$B207)*(CoA_Schema[AssetSubClass]=$C207)*(CoA_Schema[Title]=$F207),0),0)),"")</f>
        <v/>
      </c>
      <c r="AE207" s="93" t="str">
        <f t="array" ref="AE207">IFERROR(IF($B207="Building","Buildings",INDEX(CoA_Schema[FinancialClass],MATCH(1,(CoA_Schema[AssetType]=$D207)*(CoA_Schema[AssetClass]=$B207)*(CoA_Schema[AssetSubClass]=$C207),0),0)),"")</f>
        <v/>
      </c>
      <c r="AF207" s="93" t="str">
        <f t="array" ref="AF207">IFERROR(IF($B207="Building","Buildings",INDEX(CoA_Schema[FinancialSubClass],MATCH(1,(CoA_Schema[AssetType]=$D207)*(CoA_Schema[AssetClass]=$B207)*(CoA_Schema[AssetSubClass]=$C207),0),0)),"")</f>
        <v/>
      </c>
      <c r="AG207" s="93" t="str">
        <f>IFERROR(VLOOKUP($I207,UoM!$A:$C,2,FALSE),"")</f>
        <v/>
      </c>
      <c r="AH207" s="56" t="str">
        <f>IFERROR(VLOOKUP("Renewed Assets:"&amp;ROW(),'Handover Cost Report'!$A:$U,17,FALSE),"")</f>
        <v/>
      </c>
      <c r="AI207" s="56" t="str">
        <f>IFERROR(VLOOKUP("Renewed Assets:"&amp;ROW(),'Handover Cost Report'!$A:$U,18,FALSE),"")</f>
        <v/>
      </c>
      <c r="AJ207" s="56" t="str">
        <f>IFERROR(VLOOKUP("Renewed Assets:"&amp;ROW(),'Handover Cost Report'!$A:$U,19,FALSE),"")</f>
        <v/>
      </c>
    </row>
    <row r="208" spans="2:36" s="3" customFormat="1" ht="12.75" x14ac:dyDescent="0.2">
      <c r="B208" s="47"/>
      <c r="C208" s="47"/>
      <c r="D208" s="47"/>
      <c r="E208" s="47"/>
      <c r="F208" s="47"/>
      <c r="G208" s="47"/>
      <c r="H208" s="47"/>
      <c r="I208" s="47"/>
      <c r="J208" s="48"/>
      <c r="K208" s="56">
        <f t="shared" si="11"/>
        <v>0</v>
      </c>
      <c r="L208" s="93" t="str">
        <f>IFERROR(VLOOKUP($F208,SC_Component!$B:$C,2,FALSE),"")</f>
        <v/>
      </c>
      <c r="M208" s="58"/>
      <c r="N208" s="59">
        <f t="shared" si="12"/>
        <v>0</v>
      </c>
      <c r="O208" s="59">
        <f t="shared" si="13"/>
        <v>0</v>
      </c>
      <c r="P208" s="47"/>
      <c r="Q208" s="47"/>
      <c r="R208" s="47"/>
      <c r="S208" s="58"/>
      <c r="T208" s="47"/>
      <c r="U208" s="47"/>
      <c r="V208" s="119"/>
      <c r="W208" s="119"/>
      <c r="X208" s="47"/>
      <c r="Y208" s="47"/>
      <c r="Z208" s="47"/>
      <c r="AA208" s="47"/>
      <c r="AB208" s="47"/>
      <c r="AC208" s="47"/>
      <c r="AD208" s="93" t="str">
        <f t="array" ref="AD208">IFERROR(IF($B208="Building","Buildings",INDEX(CoA_Schema[AsseticCategory],MATCH(1,(CoA_Schema[AssetType]=$D208)*(CoA_Schema[AssetClass]=$B208)*(CoA_Schema[AssetSubClass]=$C208)*(CoA_Schema[Title]=$F208),0),0)),"")</f>
        <v/>
      </c>
      <c r="AE208" s="93" t="str">
        <f t="array" ref="AE208">IFERROR(IF($B208="Building","Buildings",INDEX(CoA_Schema[FinancialClass],MATCH(1,(CoA_Schema[AssetType]=$D208)*(CoA_Schema[AssetClass]=$B208)*(CoA_Schema[AssetSubClass]=$C208),0),0)),"")</f>
        <v/>
      </c>
      <c r="AF208" s="93" t="str">
        <f t="array" ref="AF208">IFERROR(IF($B208="Building","Buildings",INDEX(CoA_Schema[FinancialSubClass],MATCH(1,(CoA_Schema[AssetType]=$D208)*(CoA_Schema[AssetClass]=$B208)*(CoA_Schema[AssetSubClass]=$C208),0),0)),"")</f>
        <v/>
      </c>
      <c r="AG208" s="93" t="str">
        <f>IFERROR(VLOOKUP($I208,UoM!$A:$C,2,FALSE),"")</f>
        <v/>
      </c>
      <c r="AH208" s="56" t="str">
        <f>IFERROR(VLOOKUP("Renewed Assets:"&amp;ROW(),'Handover Cost Report'!$A:$U,17,FALSE),"")</f>
        <v/>
      </c>
      <c r="AI208" s="56" t="str">
        <f>IFERROR(VLOOKUP("Renewed Assets:"&amp;ROW(),'Handover Cost Report'!$A:$U,18,FALSE),"")</f>
        <v/>
      </c>
      <c r="AJ208" s="56" t="str">
        <f>IFERROR(VLOOKUP("Renewed Assets:"&amp;ROW(),'Handover Cost Report'!$A:$U,19,FALSE),"")</f>
        <v/>
      </c>
    </row>
    <row r="209" spans="2:36" s="3" customFormat="1" ht="12.75" x14ac:dyDescent="0.2">
      <c r="B209" s="47"/>
      <c r="C209" s="47"/>
      <c r="D209" s="47"/>
      <c r="E209" s="47"/>
      <c r="F209" s="47"/>
      <c r="G209" s="47"/>
      <c r="H209" s="47"/>
      <c r="I209" s="47"/>
      <c r="J209" s="48"/>
      <c r="K209" s="56">
        <f t="shared" si="11"/>
        <v>0</v>
      </c>
      <c r="L209" s="93" t="str">
        <f>IFERROR(VLOOKUP($F209,SC_Component!$B:$C,2,FALSE),"")</f>
        <v/>
      </c>
      <c r="M209" s="58"/>
      <c r="N209" s="59">
        <f t="shared" si="12"/>
        <v>0</v>
      </c>
      <c r="O209" s="59">
        <f t="shared" si="13"/>
        <v>0</v>
      </c>
      <c r="P209" s="47"/>
      <c r="Q209" s="47"/>
      <c r="R209" s="47"/>
      <c r="S209" s="58"/>
      <c r="T209" s="47"/>
      <c r="U209" s="47"/>
      <c r="V209" s="119"/>
      <c r="W209" s="119"/>
      <c r="X209" s="47"/>
      <c r="Y209" s="47"/>
      <c r="Z209" s="47"/>
      <c r="AA209" s="47"/>
      <c r="AB209" s="47"/>
      <c r="AC209" s="47"/>
      <c r="AD209" s="93" t="str">
        <f t="array" ref="AD209">IFERROR(IF($B209="Building","Buildings",INDEX(CoA_Schema[AsseticCategory],MATCH(1,(CoA_Schema[AssetType]=$D209)*(CoA_Schema[AssetClass]=$B209)*(CoA_Schema[AssetSubClass]=$C209)*(CoA_Schema[Title]=$F209),0),0)),"")</f>
        <v/>
      </c>
      <c r="AE209" s="93" t="str">
        <f t="array" ref="AE209">IFERROR(IF($B209="Building","Buildings",INDEX(CoA_Schema[FinancialClass],MATCH(1,(CoA_Schema[AssetType]=$D209)*(CoA_Schema[AssetClass]=$B209)*(CoA_Schema[AssetSubClass]=$C209),0),0)),"")</f>
        <v/>
      </c>
      <c r="AF209" s="93" t="str">
        <f t="array" ref="AF209">IFERROR(IF($B209="Building","Buildings",INDEX(CoA_Schema[FinancialSubClass],MATCH(1,(CoA_Schema[AssetType]=$D209)*(CoA_Schema[AssetClass]=$B209)*(CoA_Schema[AssetSubClass]=$C209),0),0)),"")</f>
        <v/>
      </c>
      <c r="AG209" s="93" t="str">
        <f>IFERROR(VLOOKUP($I209,UoM!$A:$C,2,FALSE),"")</f>
        <v/>
      </c>
      <c r="AH209" s="56" t="str">
        <f>IFERROR(VLOOKUP("Renewed Assets:"&amp;ROW(),'Handover Cost Report'!$A:$U,17,FALSE),"")</f>
        <v/>
      </c>
      <c r="AI209" s="56" t="str">
        <f>IFERROR(VLOOKUP("Renewed Assets:"&amp;ROW(),'Handover Cost Report'!$A:$U,18,FALSE),"")</f>
        <v/>
      </c>
      <c r="AJ209" s="56" t="str">
        <f>IFERROR(VLOOKUP("Renewed Assets:"&amp;ROW(),'Handover Cost Report'!$A:$U,19,FALSE),"")</f>
        <v/>
      </c>
    </row>
    <row r="210" spans="2:36" s="3" customFormat="1" ht="12.75" x14ac:dyDescent="0.2">
      <c r="B210" s="47"/>
      <c r="C210" s="47"/>
      <c r="D210" s="47"/>
      <c r="E210" s="47"/>
      <c r="F210" s="47"/>
      <c r="G210" s="47"/>
      <c r="H210" s="47"/>
      <c r="I210" s="47"/>
      <c r="J210" s="48"/>
      <c r="K210" s="56">
        <f t="shared" si="11"/>
        <v>0</v>
      </c>
      <c r="L210" s="93" t="str">
        <f>IFERROR(VLOOKUP($F210,SC_Component!$B:$C,2,FALSE),"")</f>
        <v/>
      </c>
      <c r="M210" s="58"/>
      <c r="N210" s="59">
        <f t="shared" si="12"/>
        <v>0</v>
      </c>
      <c r="O210" s="59">
        <f t="shared" si="13"/>
        <v>0</v>
      </c>
      <c r="P210" s="47"/>
      <c r="Q210" s="47"/>
      <c r="R210" s="47"/>
      <c r="S210" s="58"/>
      <c r="T210" s="47"/>
      <c r="U210" s="47"/>
      <c r="V210" s="119"/>
      <c r="W210" s="119"/>
      <c r="X210" s="47"/>
      <c r="Y210" s="47"/>
      <c r="Z210" s="47"/>
      <c r="AA210" s="47"/>
      <c r="AB210" s="47"/>
      <c r="AC210" s="47"/>
      <c r="AD210" s="93" t="str">
        <f t="array" ref="AD210">IFERROR(IF($B210="Building","Buildings",INDEX(CoA_Schema[AsseticCategory],MATCH(1,(CoA_Schema[AssetType]=$D210)*(CoA_Schema[AssetClass]=$B210)*(CoA_Schema[AssetSubClass]=$C210)*(CoA_Schema[Title]=$F210),0),0)),"")</f>
        <v/>
      </c>
      <c r="AE210" s="93" t="str">
        <f t="array" ref="AE210">IFERROR(IF($B210="Building","Buildings",INDEX(CoA_Schema[FinancialClass],MATCH(1,(CoA_Schema[AssetType]=$D210)*(CoA_Schema[AssetClass]=$B210)*(CoA_Schema[AssetSubClass]=$C210),0),0)),"")</f>
        <v/>
      </c>
      <c r="AF210" s="93" t="str">
        <f t="array" ref="AF210">IFERROR(IF($B210="Building","Buildings",INDEX(CoA_Schema[FinancialSubClass],MATCH(1,(CoA_Schema[AssetType]=$D210)*(CoA_Schema[AssetClass]=$B210)*(CoA_Schema[AssetSubClass]=$C210),0),0)),"")</f>
        <v/>
      </c>
      <c r="AG210" s="93" t="str">
        <f>IFERROR(VLOOKUP($I210,UoM!$A:$C,2,FALSE),"")</f>
        <v/>
      </c>
      <c r="AH210" s="56" t="str">
        <f>IFERROR(VLOOKUP("Renewed Assets:"&amp;ROW(),'Handover Cost Report'!$A:$U,17,FALSE),"")</f>
        <v/>
      </c>
      <c r="AI210" s="56" t="str">
        <f>IFERROR(VLOOKUP("Renewed Assets:"&amp;ROW(),'Handover Cost Report'!$A:$U,18,FALSE),"")</f>
        <v/>
      </c>
      <c r="AJ210" s="56" t="str">
        <f>IFERROR(VLOOKUP("Renewed Assets:"&amp;ROW(),'Handover Cost Report'!$A:$U,19,FALSE),"")</f>
        <v/>
      </c>
    </row>
    <row r="211" spans="2:36" s="3" customFormat="1" ht="12.75" x14ac:dyDescent="0.2">
      <c r="B211" s="47"/>
      <c r="C211" s="47"/>
      <c r="D211" s="47"/>
      <c r="E211" s="47"/>
      <c r="F211" s="47"/>
      <c r="G211" s="47"/>
      <c r="H211" s="47"/>
      <c r="I211" s="47"/>
      <c r="J211" s="48"/>
      <c r="K211" s="56">
        <f t="shared" si="11"/>
        <v>0</v>
      </c>
      <c r="L211" s="93" t="str">
        <f>IFERROR(VLOOKUP($F211,SC_Component!$B:$C,2,FALSE),"")</f>
        <v/>
      </c>
      <c r="M211" s="58"/>
      <c r="N211" s="59">
        <f t="shared" si="12"/>
        <v>0</v>
      </c>
      <c r="O211" s="59">
        <f t="shared" si="13"/>
        <v>0</v>
      </c>
      <c r="P211" s="47"/>
      <c r="Q211" s="47"/>
      <c r="R211" s="47"/>
      <c r="S211" s="58"/>
      <c r="T211" s="47"/>
      <c r="U211" s="47"/>
      <c r="V211" s="119"/>
      <c r="W211" s="119"/>
      <c r="X211" s="47"/>
      <c r="Y211" s="47"/>
      <c r="Z211" s="47"/>
      <c r="AA211" s="47"/>
      <c r="AB211" s="47"/>
      <c r="AC211" s="47"/>
      <c r="AD211" s="93" t="str">
        <f t="array" ref="AD211">IFERROR(IF($B211="Building","Buildings",INDEX(CoA_Schema[AsseticCategory],MATCH(1,(CoA_Schema[AssetType]=$D211)*(CoA_Schema[AssetClass]=$B211)*(CoA_Schema[AssetSubClass]=$C211)*(CoA_Schema[Title]=$F211),0),0)),"")</f>
        <v/>
      </c>
      <c r="AE211" s="93" t="str">
        <f t="array" ref="AE211">IFERROR(IF($B211="Building","Buildings",INDEX(CoA_Schema[FinancialClass],MATCH(1,(CoA_Schema[AssetType]=$D211)*(CoA_Schema[AssetClass]=$B211)*(CoA_Schema[AssetSubClass]=$C211),0),0)),"")</f>
        <v/>
      </c>
      <c r="AF211" s="93" t="str">
        <f t="array" ref="AF211">IFERROR(IF($B211="Building","Buildings",INDEX(CoA_Schema[FinancialSubClass],MATCH(1,(CoA_Schema[AssetType]=$D211)*(CoA_Schema[AssetClass]=$B211)*(CoA_Schema[AssetSubClass]=$C211),0),0)),"")</f>
        <v/>
      </c>
      <c r="AG211" s="93" t="str">
        <f>IFERROR(VLOOKUP($I211,UoM!$A:$C,2,FALSE),"")</f>
        <v/>
      </c>
      <c r="AH211" s="56" t="str">
        <f>IFERROR(VLOOKUP("Renewed Assets:"&amp;ROW(),'Handover Cost Report'!$A:$U,17,FALSE),"")</f>
        <v/>
      </c>
      <c r="AI211" s="56" t="str">
        <f>IFERROR(VLOOKUP("Renewed Assets:"&amp;ROW(),'Handover Cost Report'!$A:$U,18,FALSE),"")</f>
        <v/>
      </c>
      <c r="AJ211" s="56" t="str">
        <f>IFERROR(VLOOKUP("Renewed Assets:"&amp;ROW(),'Handover Cost Report'!$A:$U,19,FALSE),"")</f>
        <v/>
      </c>
    </row>
  </sheetData>
  <mergeCells count="1">
    <mergeCell ref="B7:AE7"/>
  </mergeCells>
  <dataValidations count="5">
    <dataValidation type="list" allowBlank="1" showInputMessage="1" showErrorMessage="1" sqref="P10:Q211 Z10:Z211" xr:uid="{11514789-4764-43E6-B7ED-B8BFE3197BC8}">
      <formula1>"Yes,No"</formula1>
    </dataValidation>
    <dataValidation type="decimal" allowBlank="1" showInputMessage="1" showErrorMessage="1" sqref="S10:S211 M10:M211" xr:uid="{55EB0226-C297-47A4-BAFD-147BD2CADCAB}">
      <formula1>0</formula1>
      <formula2>1</formula2>
    </dataValidation>
    <dataValidation allowBlank="1" showInputMessage="1" showErrorMessage="1" error="Please select a valid Asset SubType!" sqref="L10:L211" xr:uid="{FBBC5D8C-AEFD-4B35-9B2C-9EF167A0C653}"/>
    <dataValidation type="decimal" allowBlank="1" showInputMessage="1" showErrorMessage="1" sqref="U10:U211" xr:uid="{D6462281-11F6-4A5E-BBE0-7654A94A9C75}">
      <formula1>0</formula1>
      <formula2>5</formula2>
    </dataValidation>
    <dataValidation type="list" allowBlank="1" showInputMessage="1" showErrorMessage="1" sqref="AB10:AB211" xr:uid="{33595161-AE61-457B-B6C7-3AC49100F2CE}">
      <formula1>"Yes, No"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errorStyle="information" allowBlank="1" showInputMessage="1" xr:uid="{7FE74A18-2290-4C70-9871-F322934659F2}">
          <x14:formula1>
            <xm:f>UoM!$A$2:$A$4</xm:f>
          </x14:formula1>
          <xm:sqref>I10:I211</xm:sqref>
        </x14:dataValidation>
        <x14:dataValidation type="list" allowBlank="1" showInputMessage="1" showErrorMessage="1" error="Please select a valid Treatment Type!" xr:uid="{8B907C86-ED4B-4A23-97DE-CD33A3DED1E7}">
          <x14:formula1>
            <xm:f>OFFSET(TreatmentType!$A$1,VLOOKUP($F10,TreatmentType!$A:$G,6,FALSE)-1,1,VLOOKUP($F10,TreatmentType!$A:$G,7,FALSE),1)</xm:f>
          </x14:formula1>
          <xm:sqref>R10:R211</xm:sqref>
        </x14:dataValidation>
        <x14:dataValidation type="list" allowBlank="1" showInputMessage="1" showErrorMessage="1" error="Please select a valid Asset SubType!" xr:uid="{3B4091A3-72F6-4FEC-957F-F49CD885E3D6}">
          <x14:formula1>
            <xm:f>OFFSET(AH_SubType!$A$1,VLOOKUP($D10,AH_SubType!$A:$G,6,FALSE)-1,1,VLOOKUP($D10,AH_SubType!$A:$G,7,FALSE),1)</xm:f>
          </x14:formula1>
          <xm:sqref>E10:E211</xm:sqref>
        </x14:dataValidation>
        <x14:dataValidation type="list" allowBlank="1" showInputMessage="1" showErrorMessage="1" error="Please select a valid Asset Type!" xr:uid="{6B7C5DF3-756D-4661-8602-E3CFAD51EDB3}">
          <x14:formula1>
            <xm:f>OFFSET(AH_Type!$A$1,VLOOKUP($C10,AH_Type!$A:$G,6,FALSE)-1,1,VLOOKUP($C10,AH_Type!$A:$G,7,FALSE),1)</xm:f>
          </x14:formula1>
          <xm:sqref>D10:D211</xm:sqref>
        </x14:dataValidation>
        <x14:dataValidation type="list" allowBlank="1" showInputMessage="1" showErrorMessage="1" error="Please select a valid Asset SubClass!" xr:uid="{E3A39058-3CCD-4625-ACF0-6B1966D26DBF}">
          <x14:formula1>
            <xm:f>OFFSET(AH_SubClass!$A$1,VLOOKUP($B10,AH_SubClass!$A:$G,6,FALSE)-1,1,VLOOKUP($B10,AH_SubClass!$A:$G,7,FALSE),1)</xm:f>
          </x14:formula1>
          <xm:sqref>C10:C211</xm:sqref>
        </x14:dataValidation>
        <x14:dataValidation type="list" allowBlank="1" showInputMessage="1" showErrorMessage="1" error="Please select a valid Asset Class!" xr:uid="{0BF8ACBB-2901-4D7C-BDE0-CAD14AAD0D71}">
          <x14:formula1>
            <xm:f>AH_Class!$A:$A</xm:f>
          </x14:formula1>
          <xm:sqref>B10:B211</xm:sqref>
        </x14:dataValidation>
        <x14:dataValidation type="list" allowBlank="1" showInputMessage="1" showErrorMessage="1" xr:uid="{E99B6785-E419-47EE-9FE7-90B4A9037D25}">
          <x14:formula1>
            <xm:f>OFFSET(SC_Financials!$A$1,VLOOKUP($D10,SC_Financials!$A:$G,6,FALSE)-1,1,VLOOKUP($D10,SC_Financials!$A:$G,7,FALSE),1)</xm:f>
          </x14:formula1>
          <xm:sqref>AE10:AE211</xm:sqref>
        </x14:dataValidation>
        <x14:dataValidation type="list" allowBlank="1" showInputMessage="1" showErrorMessage="1" xr:uid="{F26C8029-68F6-4D75-82C6-550D31B963B8}">
          <x14:formula1>
            <xm:f>OFFSET(SC_Financials!$A$1,VLOOKUP($D10,SC_Financials!$A:$G,6,FALSE)-1,2,VLOOKUP($D10,SC_Financials!$A:$G,7,FALSE),1)</xm:f>
          </x14:formula1>
          <xm:sqref>AF10:AF211</xm:sqref>
        </x14:dataValidation>
        <x14:dataValidation type="list" allowBlank="1" showInputMessage="1" showErrorMessage="1" error="Please select a valid Component!" xr:uid="{FE31E645-FAA7-4028-A745-58F395C2C316}">
          <x14:formula1>
            <xm:f>OFFSET(SC_Component!$A$1,VLOOKUP($D10,SC_Component!$A:$G,6,FALSE)-1,1,VLOOKUP($D10,SC_Component!$A:$G,7,FALSE),1)</xm:f>
          </x14:formula1>
          <xm:sqref>F10:F211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842EE-DDB0-471C-9F5F-A9175C64FF7C}">
  <sheetPr codeName="Sht_New"/>
  <dimension ref="A1:AE109"/>
  <sheetViews>
    <sheetView showGridLines="0" zoomScaleNormal="100" workbookViewId="0">
      <selection activeCell="F5" sqref="F5"/>
    </sheetView>
  </sheetViews>
  <sheetFormatPr defaultRowHeight="14.25" x14ac:dyDescent="0.2"/>
  <cols>
    <col min="1" max="1" width="7.375" customWidth="1"/>
    <col min="2" max="2" width="12.625" customWidth="1"/>
    <col min="3" max="3" width="14.75" customWidth="1"/>
    <col min="4" max="4" width="30.75" customWidth="1"/>
    <col min="5" max="5" width="39.625" customWidth="1"/>
    <col min="6" max="6" width="21.5" customWidth="1"/>
    <col min="7" max="7" width="14.25" customWidth="1"/>
    <col min="8" max="8" width="11.625" customWidth="1"/>
    <col min="9" max="9" width="16.75" customWidth="1"/>
    <col min="10" max="10" width="14.5" customWidth="1"/>
    <col min="11" max="11" width="13.875" customWidth="1"/>
    <col min="12" max="12" width="15" bestFit="1" customWidth="1"/>
    <col min="13" max="13" width="25.5" customWidth="1"/>
    <col min="14" max="14" width="15.625" customWidth="1"/>
    <col min="15" max="15" width="14" customWidth="1"/>
    <col min="16" max="16" width="13.25" customWidth="1"/>
    <col min="17" max="17" width="22.625" customWidth="1"/>
    <col min="18" max="18" width="11.75" customWidth="1"/>
    <col min="19" max="19" width="12.125" customWidth="1"/>
    <col min="20" max="20" width="12.375" customWidth="1"/>
    <col min="21" max="21" width="11.625" customWidth="1"/>
    <col min="22" max="22" width="16.625" customWidth="1"/>
    <col min="23" max="23" width="17.125" customWidth="1"/>
    <col min="24" max="24" width="11.875" customWidth="1"/>
    <col min="25" max="25" width="12" customWidth="1"/>
    <col min="26" max="26" width="11.75" customWidth="1"/>
    <col min="27" max="27" width="14.875" customWidth="1"/>
    <col min="28" max="28" width="92.75" customWidth="1"/>
    <col min="29" max="29" width="12.75" customWidth="1"/>
    <col min="30" max="30" width="11.625" customWidth="1"/>
    <col min="31" max="31" width="11.5" customWidth="1"/>
  </cols>
  <sheetData>
    <row r="1" spans="1:31" ht="3" customHeight="1" x14ac:dyDescent="0.2">
      <c r="Y1" s="120"/>
      <c r="Z1" s="120"/>
    </row>
    <row r="2" spans="1:31" ht="23.25" x14ac:dyDescent="0.2">
      <c r="B2" s="33" t="str">
        <f>"Project Asset Register - " &amp; PR_T1_Number &amp; " " &amp; PR_Project_Name</f>
        <v>Project Asset Register - Z123 Test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 t="s">
        <v>484</v>
      </c>
      <c r="P2" s="34"/>
      <c r="Q2" s="34"/>
      <c r="R2" s="34"/>
      <c r="S2" s="34"/>
      <c r="T2" s="34"/>
      <c r="U2" s="34"/>
      <c r="Y2" s="120"/>
      <c r="Z2" s="120"/>
      <c r="AA2" s="34"/>
      <c r="AB2" s="34"/>
      <c r="AC2" s="34"/>
      <c r="AD2" s="34"/>
      <c r="AE2" s="34"/>
    </row>
    <row r="3" spans="1:31" x14ac:dyDescent="0.2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68" t="s">
        <v>485</v>
      </c>
      <c r="P3" s="68"/>
      <c r="Q3" s="71" t="s">
        <v>486</v>
      </c>
      <c r="R3" s="71"/>
      <c r="S3" s="71"/>
      <c r="T3" s="34"/>
      <c r="U3" s="34"/>
      <c r="Y3" s="120"/>
      <c r="Z3" s="120"/>
      <c r="AA3" s="34"/>
      <c r="AB3" s="34"/>
      <c r="AC3" s="34"/>
      <c r="AD3" s="34"/>
      <c r="AE3" s="34"/>
    </row>
    <row r="4" spans="1:31" x14ac:dyDescent="0.2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67" t="s">
        <v>487</v>
      </c>
      <c r="P4" s="67"/>
      <c r="Q4" s="34"/>
      <c r="R4" s="34"/>
      <c r="S4" s="34"/>
      <c r="T4" s="34"/>
      <c r="U4" s="34"/>
      <c r="Y4" s="120"/>
      <c r="Z4" s="120"/>
      <c r="AA4" s="34"/>
      <c r="AB4" s="34"/>
      <c r="AC4" s="34"/>
      <c r="AD4" s="34"/>
      <c r="AE4" s="34"/>
    </row>
    <row r="5" spans="1:31" x14ac:dyDescent="0.2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69" t="s">
        <v>488</v>
      </c>
      <c r="P5" s="69"/>
      <c r="Q5" s="34"/>
      <c r="R5" s="34"/>
      <c r="S5" s="34"/>
      <c r="T5" s="34"/>
      <c r="U5" s="34"/>
      <c r="Y5" s="120"/>
      <c r="Z5" s="120"/>
      <c r="AA5" s="34"/>
      <c r="AB5" s="34"/>
      <c r="AC5" s="34"/>
      <c r="AD5" s="34"/>
      <c r="AE5" s="34"/>
    </row>
    <row r="6" spans="1:31" x14ac:dyDescent="0.2"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0" t="s">
        <v>489</v>
      </c>
      <c r="P6" s="70"/>
      <c r="Q6" s="34"/>
      <c r="R6" s="34"/>
      <c r="S6" s="34"/>
      <c r="T6" s="34"/>
      <c r="U6" s="34"/>
      <c r="Y6" s="120"/>
      <c r="Z6" s="120"/>
      <c r="AA6" s="34"/>
      <c r="AB6" s="34"/>
      <c r="AC6" s="34"/>
      <c r="AD6" s="34"/>
      <c r="AE6" s="34"/>
    </row>
    <row r="7" spans="1:31" ht="94.9" customHeight="1" x14ac:dyDescent="0.25">
      <c r="B7" s="184" t="s">
        <v>984</v>
      </c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"/>
      <c r="AB7" s="1"/>
      <c r="AC7" s="97"/>
      <c r="AD7" s="92"/>
      <c r="AE7" s="92"/>
    </row>
    <row r="8" spans="1:31" ht="15" x14ac:dyDescent="0.25">
      <c r="B8" s="10"/>
      <c r="C8" s="10"/>
      <c r="D8" s="10"/>
      <c r="E8" s="10"/>
      <c r="F8" s="10"/>
      <c r="G8" s="10"/>
      <c r="H8" s="10"/>
      <c r="I8" s="10"/>
      <c r="J8" s="7" t="s">
        <v>948</v>
      </c>
      <c r="K8" s="8">
        <f>SUM(K10:K109)</f>
        <v>159970.99999999994</v>
      </c>
      <c r="L8" s="8"/>
      <c r="M8" s="8"/>
      <c r="N8" s="8"/>
      <c r="O8" s="8"/>
      <c r="P8" s="8"/>
      <c r="Q8" s="10"/>
      <c r="R8" s="10"/>
      <c r="S8" s="10"/>
      <c r="T8" s="10"/>
      <c r="U8" s="10"/>
      <c r="V8" s="10"/>
      <c r="W8" s="10"/>
      <c r="X8" s="10"/>
      <c r="Y8" s="122"/>
      <c r="Z8" s="122"/>
      <c r="AA8" s="10"/>
      <c r="AB8" s="96"/>
      <c r="AC8" s="8">
        <f>SUM(AC10:AC109)</f>
        <v>159970.97</v>
      </c>
      <c r="AD8" s="8">
        <f>SUM(AD10:AD109)</f>
        <v>0</v>
      </c>
      <c r="AE8" s="8">
        <f>SUM(AE10:AE109)</f>
        <v>0</v>
      </c>
    </row>
    <row r="9" spans="1:31" s="2" customFormat="1" ht="25.5" x14ac:dyDescent="0.2">
      <c r="B9" s="77" t="s">
        <v>951</v>
      </c>
      <c r="C9" s="77" t="s">
        <v>952</v>
      </c>
      <c r="D9" s="77" t="s">
        <v>953</v>
      </c>
      <c r="E9" s="77" t="s">
        <v>954</v>
      </c>
      <c r="F9" s="77" t="s">
        <v>955</v>
      </c>
      <c r="G9" s="76" t="s">
        <v>985</v>
      </c>
      <c r="H9" s="77" t="s">
        <v>243</v>
      </c>
      <c r="I9" s="77" t="s">
        <v>957</v>
      </c>
      <c r="J9" s="77" t="s">
        <v>958</v>
      </c>
      <c r="K9" s="75" t="s">
        <v>959</v>
      </c>
      <c r="L9" s="75" t="s">
        <v>960</v>
      </c>
      <c r="M9" s="75" t="s">
        <v>977</v>
      </c>
      <c r="N9" s="75" t="s">
        <v>978</v>
      </c>
      <c r="O9" s="75" t="s">
        <v>979</v>
      </c>
      <c r="P9" s="75" t="s">
        <v>980</v>
      </c>
      <c r="Q9" s="77" t="s">
        <v>964</v>
      </c>
      <c r="R9" s="77" t="s">
        <v>965</v>
      </c>
      <c r="S9" s="77" t="s">
        <v>968</v>
      </c>
      <c r="T9" s="76" t="s">
        <v>972</v>
      </c>
      <c r="U9" s="74" t="s">
        <v>986</v>
      </c>
      <c r="V9" s="74" t="s">
        <v>987</v>
      </c>
      <c r="W9" s="74" t="s">
        <v>988</v>
      </c>
      <c r="X9" s="74" t="s">
        <v>989</v>
      </c>
      <c r="Y9" s="123" t="s">
        <v>970</v>
      </c>
      <c r="Z9" s="123" t="s">
        <v>990</v>
      </c>
      <c r="AA9" s="76" t="s">
        <v>991</v>
      </c>
      <c r="AB9" s="74" t="s">
        <v>935</v>
      </c>
      <c r="AC9" s="75" t="s">
        <v>981</v>
      </c>
      <c r="AD9" s="75" t="s">
        <v>982</v>
      </c>
      <c r="AE9" s="75" t="s">
        <v>983</v>
      </c>
    </row>
    <row r="10" spans="1:31" s="3" customFormat="1" x14ac:dyDescent="0.2">
      <c r="A10" s="3" t="s">
        <v>1372</v>
      </c>
      <c r="B10" s="47" t="s">
        <v>363</v>
      </c>
      <c r="C10" s="47" t="s">
        <v>289</v>
      </c>
      <c r="D10" s="47" t="s">
        <v>1369</v>
      </c>
      <c r="E10" s="47" t="s">
        <v>1377</v>
      </c>
      <c r="F10" s="47" t="s">
        <v>158</v>
      </c>
      <c r="G10" s="47">
        <f>VLOOKUP(A10,'[1]Z8290 New Assets_output'!$A:$C,3,FALSE)</f>
        <v>294886</v>
      </c>
      <c r="H10" s="47">
        <v>1</v>
      </c>
      <c r="I10" s="47" t="s">
        <v>242</v>
      </c>
      <c r="J10" s="163">
        <v>1270.0613951500907</v>
      </c>
      <c r="K10" s="56">
        <f t="shared" ref="K10:K32" si="0">H10*J10</f>
        <v>1270.0613951500907</v>
      </c>
      <c r="L10" s="93" t="str">
        <f>IFERROR(VLOOKUP($F10,SC_Component!$B:$C,2,FALSE),"")</f>
        <v>Main</v>
      </c>
      <c r="M10" s="93" t="s">
        <v>457</v>
      </c>
      <c r="N10" s="93" t="s">
        <v>252</v>
      </c>
      <c r="O10" s="93" t="s">
        <v>289</v>
      </c>
      <c r="P10" s="93" t="str">
        <f>IFERROR(VLOOKUP($I10,UoM!$A:$C,2,FALSE),"")</f>
        <v>Quantity</v>
      </c>
      <c r="Q10" s="47" t="s">
        <v>1389</v>
      </c>
      <c r="R10" s="47" t="s">
        <v>1389</v>
      </c>
      <c r="S10" s="47">
        <v>40</v>
      </c>
      <c r="T10" s="47"/>
      <c r="U10" s="47"/>
      <c r="V10" s="47"/>
      <c r="W10" s="47"/>
      <c r="X10" s="47"/>
      <c r="Y10" s="119">
        <v>45974</v>
      </c>
      <c r="Z10" s="119">
        <v>45974</v>
      </c>
      <c r="AA10" s="47" t="s">
        <v>1563</v>
      </c>
      <c r="AB10" s="47"/>
      <c r="AC10" s="56">
        <f>IFERROR(VLOOKUP("New Assets:"&amp;ROW(),'Handover Cost Report'!$A:$U,17,FALSE),"")</f>
        <v>1270.06</v>
      </c>
      <c r="AD10" s="56">
        <f>IFERROR(VLOOKUP("New Assets:"&amp;ROW(),'Handover Cost Report'!$A:$U,18,FALSE),"")</f>
        <v>0</v>
      </c>
      <c r="AE10" s="56">
        <f>IFERROR(VLOOKUP("New Assets:"&amp;ROW(),'Handover Cost Report'!$A:$U,19,FALSE),"")</f>
        <v>0</v>
      </c>
    </row>
    <row r="11" spans="1:31" s="3" customFormat="1" x14ac:dyDescent="0.2">
      <c r="A11" s="3" t="s">
        <v>1377</v>
      </c>
      <c r="B11" s="47" t="s">
        <v>363</v>
      </c>
      <c r="C11" s="47" t="s">
        <v>289</v>
      </c>
      <c r="D11" s="47" t="s">
        <v>1369</v>
      </c>
      <c r="E11" s="47" t="s">
        <v>1370</v>
      </c>
      <c r="F11" s="47" t="s">
        <v>158</v>
      </c>
      <c r="G11" s="47">
        <f>VLOOKUP(A11,'[1]Z8290 New Assets_output'!$A:$C,3,FALSE)</f>
        <v>294888</v>
      </c>
      <c r="H11" s="47">
        <v>1</v>
      </c>
      <c r="I11" s="47" t="s">
        <v>242</v>
      </c>
      <c r="J11" s="163">
        <v>8966.9889028949892</v>
      </c>
      <c r="K11" s="56">
        <f t="shared" si="0"/>
        <v>8966.9889028949892</v>
      </c>
      <c r="L11" s="93" t="str">
        <f>IFERROR(VLOOKUP($F11,SC_Component!$B:$C,2,FALSE),"")</f>
        <v>Main</v>
      </c>
      <c r="M11" s="93" t="s">
        <v>457</v>
      </c>
      <c r="N11" s="93" t="s">
        <v>252</v>
      </c>
      <c r="O11" s="93" t="s">
        <v>289</v>
      </c>
      <c r="P11" s="93" t="str">
        <f>IFERROR(VLOOKUP($I11,UoM!$A:$C,2,FALSE),"")</f>
        <v>Quantity</v>
      </c>
      <c r="Q11" s="47" t="s">
        <v>1389</v>
      </c>
      <c r="R11" s="47" t="s">
        <v>1389</v>
      </c>
      <c r="S11" s="47">
        <v>40</v>
      </c>
      <c r="T11" s="47"/>
      <c r="U11" s="47"/>
      <c r="V11" s="47"/>
      <c r="W11" s="47"/>
      <c r="X11" s="47"/>
      <c r="Y11" s="119">
        <v>45974</v>
      </c>
      <c r="Z11" s="119">
        <v>45974</v>
      </c>
      <c r="AA11" s="47" t="s">
        <v>1563</v>
      </c>
      <c r="AB11" s="47" t="s">
        <v>1428</v>
      </c>
      <c r="AC11" s="56">
        <f>IFERROR(VLOOKUP("New Assets:"&amp;ROW(),'Handover Cost Report'!$A:$U,17,FALSE),"")</f>
        <v>8966.99</v>
      </c>
      <c r="AD11" s="56">
        <f>IFERROR(VLOOKUP("New Assets:"&amp;ROW(),'Handover Cost Report'!$A:$U,18,FALSE),"")</f>
        <v>0</v>
      </c>
      <c r="AE11" s="56">
        <f>IFERROR(VLOOKUP("New Assets:"&amp;ROW(),'Handover Cost Report'!$A:$U,19,FALSE),"")</f>
        <v>0</v>
      </c>
    </row>
    <row r="12" spans="1:31" s="3" customFormat="1" x14ac:dyDescent="0.2">
      <c r="A12" s="3" t="s">
        <v>1378</v>
      </c>
      <c r="B12" s="47" t="s">
        <v>363</v>
      </c>
      <c r="C12" s="47" t="s">
        <v>289</v>
      </c>
      <c r="D12" s="47" t="s">
        <v>1369</v>
      </c>
      <c r="E12" s="47" t="s">
        <v>1370</v>
      </c>
      <c r="F12" s="47" t="s">
        <v>158</v>
      </c>
      <c r="G12" s="47">
        <f>VLOOKUP(A12,'[1]Z8290 New Assets_output'!$A:$C,3,FALSE)</f>
        <v>294887</v>
      </c>
      <c r="H12" s="47">
        <v>1</v>
      </c>
      <c r="I12" s="47" t="s">
        <v>242</v>
      </c>
      <c r="J12" s="163">
        <v>8966.9889028949892</v>
      </c>
      <c r="K12" s="56">
        <f t="shared" si="0"/>
        <v>8966.9889028949892</v>
      </c>
      <c r="L12" s="93" t="str">
        <f>IFERROR(VLOOKUP($F12,SC_Component!$B:$C,2,FALSE),"")</f>
        <v>Main</v>
      </c>
      <c r="M12" s="93" t="s">
        <v>457</v>
      </c>
      <c r="N12" s="93" t="s">
        <v>252</v>
      </c>
      <c r="O12" s="93" t="s">
        <v>289</v>
      </c>
      <c r="P12" s="93" t="str">
        <f>IFERROR(VLOOKUP($I12,UoM!$A:$C,2,FALSE),"")</f>
        <v>Quantity</v>
      </c>
      <c r="Q12" s="47" t="s">
        <v>1389</v>
      </c>
      <c r="R12" s="47" t="s">
        <v>1389</v>
      </c>
      <c r="S12" s="47">
        <v>40</v>
      </c>
      <c r="T12" s="47"/>
      <c r="U12" s="47"/>
      <c r="V12" s="47"/>
      <c r="W12" s="47"/>
      <c r="X12" s="47"/>
      <c r="Y12" s="119">
        <v>45974</v>
      </c>
      <c r="Z12" s="119">
        <v>45974</v>
      </c>
      <c r="AA12" s="47" t="s">
        <v>1563</v>
      </c>
      <c r="AB12" s="47"/>
      <c r="AC12" s="56">
        <f>IFERROR(VLOOKUP("New Assets:"&amp;ROW(),'Handover Cost Report'!$A:$U,17,FALSE),"")</f>
        <v>8966.99</v>
      </c>
      <c r="AD12" s="56">
        <f>IFERROR(VLOOKUP("New Assets:"&amp;ROW(),'Handover Cost Report'!$A:$U,18,FALSE),"")</f>
        <v>0</v>
      </c>
      <c r="AE12" s="56">
        <f>IFERROR(VLOOKUP("New Assets:"&amp;ROW(),'Handover Cost Report'!$A:$U,19,FALSE),"")</f>
        <v>0</v>
      </c>
    </row>
    <row r="13" spans="1:31" s="3" customFormat="1" x14ac:dyDescent="0.2">
      <c r="A13" s="3" t="s">
        <v>1371</v>
      </c>
      <c r="B13" s="47" t="s">
        <v>363</v>
      </c>
      <c r="C13" s="47" t="s">
        <v>289</v>
      </c>
      <c r="D13" s="47" t="s">
        <v>1369</v>
      </c>
      <c r="E13" s="47" t="s">
        <v>1371</v>
      </c>
      <c r="F13" s="47" t="s">
        <v>158</v>
      </c>
      <c r="G13" s="47">
        <f>VLOOKUP(A13,'[1]Z8290 New Assets_output'!$A:$C,3,FALSE)</f>
        <v>294889</v>
      </c>
      <c r="H13" s="47">
        <v>1</v>
      </c>
      <c r="I13" s="47" t="s">
        <v>242</v>
      </c>
      <c r="J13" s="163">
        <v>1793.6712060677278</v>
      </c>
      <c r="K13" s="56">
        <f t="shared" si="0"/>
        <v>1793.6712060677278</v>
      </c>
      <c r="L13" s="93" t="str">
        <f>IFERROR(VLOOKUP($F13,SC_Component!$B:$C,2,FALSE),"")</f>
        <v>Main</v>
      </c>
      <c r="M13" s="93" t="s">
        <v>457</v>
      </c>
      <c r="N13" s="93" t="s">
        <v>252</v>
      </c>
      <c r="O13" s="93" t="s">
        <v>289</v>
      </c>
      <c r="P13" s="93" t="str">
        <f>IFERROR(VLOOKUP($I13,UoM!$A:$C,2,FALSE),"")</f>
        <v>Quantity</v>
      </c>
      <c r="Q13" s="47" t="s">
        <v>1389</v>
      </c>
      <c r="R13" s="47" t="s">
        <v>1389</v>
      </c>
      <c r="S13" s="47">
        <v>40</v>
      </c>
      <c r="T13" s="47"/>
      <c r="U13" s="47"/>
      <c r="V13" s="47"/>
      <c r="W13" s="47"/>
      <c r="X13" s="47"/>
      <c r="Y13" s="119">
        <v>45974</v>
      </c>
      <c r="Z13" s="119">
        <v>45974</v>
      </c>
      <c r="AA13" s="47" t="s">
        <v>1563</v>
      </c>
      <c r="AB13" s="47"/>
      <c r="AC13" s="56">
        <f>IFERROR(VLOOKUP("New Assets:"&amp;ROW(),'Handover Cost Report'!$A:$U,17,FALSE),"")</f>
        <v>1793.67</v>
      </c>
      <c r="AD13" s="56">
        <f>IFERROR(VLOOKUP("New Assets:"&amp;ROW(),'Handover Cost Report'!$A:$U,18,FALSE),"")</f>
        <v>0</v>
      </c>
      <c r="AE13" s="56">
        <f>IFERROR(VLOOKUP("New Assets:"&amp;ROW(),'Handover Cost Report'!$A:$U,19,FALSE),"")</f>
        <v>0</v>
      </c>
    </row>
    <row r="14" spans="1:31" s="3" customFormat="1" x14ac:dyDescent="0.2">
      <c r="A14" s="3" t="s">
        <v>1379</v>
      </c>
      <c r="B14" s="47" t="s">
        <v>363</v>
      </c>
      <c r="C14" s="47" t="s">
        <v>289</v>
      </c>
      <c r="D14" s="47" t="s">
        <v>1369</v>
      </c>
      <c r="E14" s="47" t="s">
        <v>1370</v>
      </c>
      <c r="F14" s="47" t="s">
        <v>158</v>
      </c>
      <c r="G14" s="47">
        <f>VLOOKUP(A14,'[1]Z8290 New Assets_output'!$A:$C,3,FALSE)</f>
        <v>294890</v>
      </c>
      <c r="H14" s="47">
        <v>1</v>
      </c>
      <c r="I14" s="47" t="s">
        <v>242</v>
      </c>
      <c r="J14" s="163">
        <v>8966.9889028949892</v>
      </c>
      <c r="K14" s="56">
        <f t="shared" si="0"/>
        <v>8966.9889028949892</v>
      </c>
      <c r="L14" s="93" t="str">
        <f>IFERROR(VLOOKUP($F14,SC_Component!$B:$C,2,FALSE),"")</f>
        <v>Main</v>
      </c>
      <c r="M14" s="93" t="s">
        <v>457</v>
      </c>
      <c r="N14" s="93" t="s">
        <v>252</v>
      </c>
      <c r="O14" s="93" t="s">
        <v>289</v>
      </c>
      <c r="P14" s="93" t="str">
        <f>IFERROR(VLOOKUP($I14,UoM!$A:$C,2,FALSE),"")</f>
        <v>Quantity</v>
      </c>
      <c r="Q14" s="47" t="s">
        <v>1389</v>
      </c>
      <c r="R14" s="47" t="s">
        <v>1389</v>
      </c>
      <c r="S14" s="47">
        <v>40</v>
      </c>
      <c r="T14" s="47"/>
      <c r="U14" s="47"/>
      <c r="V14" s="47"/>
      <c r="W14" s="47"/>
      <c r="X14" s="47"/>
      <c r="Y14" s="119">
        <v>45974</v>
      </c>
      <c r="Z14" s="119">
        <v>45974</v>
      </c>
      <c r="AA14" s="47" t="s">
        <v>1563</v>
      </c>
      <c r="AB14" s="47"/>
      <c r="AC14" s="56">
        <f>IFERROR(VLOOKUP("New Assets:"&amp;ROW(),'Handover Cost Report'!$A:$U,17,FALSE),"")</f>
        <v>8966.99</v>
      </c>
      <c r="AD14" s="56">
        <f>IFERROR(VLOOKUP("New Assets:"&amp;ROW(),'Handover Cost Report'!$A:$U,18,FALSE),"")</f>
        <v>0</v>
      </c>
      <c r="AE14" s="56">
        <f>IFERROR(VLOOKUP("New Assets:"&amp;ROW(),'Handover Cost Report'!$A:$U,19,FALSE),"")</f>
        <v>0</v>
      </c>
    </row>
    <row r="15" spans="1:31" s="3" customFormat="1" x14ac:dyDescent="0.2">
      <c r="A15" s="3" t="s">
        <v>1380</v>
      </c>
      <c r="B15" s="47" t="s">
        <v>363</v>
      </c>
      <c r="C15" s="47" t="s">
        <v>289</v>
      </c>
      <c r="D15" s="47" t="s">
        <v>1369</v>
      </c>
      <c r="E15" s="47" t="s">
        <v>1370</v>
      </c>
      <c r="F15" s="47" t="s">
        <v>158</v>
      </c>
      <c r="G15" s="47">
        <f>VLOOKUP(A15,'[1]Z8290 New Assets_output'!$A:$C,3,FALSE)</f>
        <v>294891</v>
      </c>
      <c r="H15" s="47">
        <v>1</v>
      </c>
      <c r="I15" s="47" t="s">
        <v>242</v>
      </c>
      <c r="J15" s="163">
        <v>8966.9889028949892</v>
      </c>
      <c r="K15" s="56">
        <f t="shared" si="0"/>
        <v>8966.9889028949892</v>
      </c>
      <c r="L15" s="93" t="str">
        <f>IFERROR(VLOOKUP($F15,SC_Component!$B:$C,2,FALSE),"")</f>
        <v>Main</v>
      </c>
      <c r="M15" s="93" t="s">
        <v>457</v>
      </c>
      <c r="N15" s="93" t="s">
        <v>252</v>
      </c>
      <c r="O15" s="93" t="s">
        <v>289</v>
      </c>
      <c r="P15" s="93" t="str">
        <f>IFERROR(VLOOKUP($I15,UoM!$A:$C,2,FALSE),"")</f>
        <v>Quantity</v>
      </c>
      <c r="Q15" s="47" t="s">
        <v>1389</v>
      </c>
      <c r="R15" s="47" t="s">
        <v>1389</v>
      </c>
      <c r="S15" s="47">
        <v>40</v>
      </c>
      <c r="T15" s="47"/>
      <c r="U15" s="47"/>
      <c r="V15" s="47"/>
      <c r="W15" s="47"/>
      <c r="X15" s="47"/>
      <c r="Y15" s="119">
        <v>45974</v>
      </c>
      <c r="Z15" s="119">
        <v>45974</v>
      </c>
      <c r="AA15" s="47" t="s">
        <v>1563</v>
      </c>
      <c r="AB15" s="47"/>
      <c r="AC15" s="56">
        <f>IFERROR(VLOOKUP("New Assets:"&amp;ROW(),'Handover Cost Report'!$A:$U,17,FALSE),"")</f>
        <v>8966.99</v>
      </c>
      <c r="AD15" s="56">
        <f>IFERROR(VLOOKUP("New Assets:"&amp;ROW(),'Handover Cost Report'!$A:$U,18,FALSE),"")</f>
        <v>0</v>
      </c>
      <c r="AE15" s="56">
        <f>IFERROR(VLOOKUP("New Assets:"&amp;ROW(),'Handover Cost Report'!$A:$U,19,FALSE),"")</f>
        <v>0</v>
      </c>
    </row>
    <row r="16" spans="1:31" s="3" customFormat="1" x14ac:dyDescent="0.2">
      <c r="A16" s="3" t="s">
        <v>1381</v>
      </c>
      <c r="B16" s="47" t="s">
        <v>363</v>
      </c>
      <c r="C16" s="47" t="s">
        <v>289</v>
      </c>
      <c r="D16" s="47" t="s">
        <v>1369</v>
      </c>
      <c r="E16" s="47" t="s">
        <v>1373</v>
      </c>
      <c r="F16" s="47" t="s">
        <v>158</v>
      </c>
      <c r="G16" s="47">
        <f>VLOOKUP(A16,'[1]Z8290 New Assets_output'!$A:$C,3,FALSE)</f>
        <v>294892</v>
      </c>
      <c r="H16" s="47">
        <v>1</v>
      </c>
      <c r="I16" s="47" t="s">
        <v>242</v>
      </c>
      <c r="J16" s="163">
        <v>11956.896622155751</v>
      </c>
      <c r="K16" s="56">
        <f t="shared" si="0"/>
        <v>11956.896622155751</v>
      </c>
      <c r="L16" s="93" t="str">
        <f>IFERROR(VLOOKUP($F16,SC_Component!$B:$C,2,FALSE),"")</f>
        <v>Main</v>
      </c>
      <c r="M16" s="93" t="s">
        <v>457</v>
      </c>
      <c r="N16" s="93" t="s">
        <v>252</v>
      </c>
      <c r="O16" s="93" t="s">
        <v>289</v>
      </c>
      <c r="P16" s="93" t="str">
        <f>IFERROR(VLOOKUP($I16,UoM!$A:$C,2,FALSE),"")</f>
        <v>Quantity</v>
      </c>
      <c r="Q16" s="47" t="s">
        <v>1389</v>
      </c>
      <c r="R16" s="47" t="s">
        <v>1389</v>
      </c>
      <c r="S16" s="47">
        <v>40</v>
      </c>
      <c r="T16" s="47"/>
      <c r="U16" s="47"/>
      <c r="V16" s="47"/>
      <c r="W16" s="47"/>
      <c r="X16" s="47"/>
      <c r="Y16" s="119">
        <v>45974</v>
      </c>
      <c r="Z16" s="119">
        <v>45974</v>
      </c>
      <c r="AA16" s="47" t="s">
        <v>1563</v>
      </c>
      <c r="AB16" s="47"/>
      <c r="AC16" s="56">
        <f>IFERROR(VLOOKUP("New Assets:"&amp;ROW(),'Handover Cost Report'!$A:$U,17,FALSE),"")</f>
        <v>11956.9</v>
      </c>
      <c r="AD16" s="56">
        <f>IFERROR(VLOOKUP("New Assets:"&amp;ROW(),'Handover Cost Report'!$A:$U,18,FALSE),"")</f>
        <v>0</v>
      </c>
      <c r="AE16" s="56">
        <f>IFERROR(VLOOKUP("New Assets:"&amp;ROW(),'Handover Cost Report'!$A:$U,19,FALSE),"")</f>
        <v>0</v>
      </c>
    </row>
    <row r="17" spans="1:31" s="3" customFormat="1" x14ac:dyDescent="0.2">
      <c r="A17" s="3" t="s">
        <v>1382</v>
      </c>
      <c r="B17" s="47" t="s">
        <v>363</v>
      </c>
      <c r="C17" s="47" t="s">
        <v>289</v>
      </c>
      <c r="D17" s="47" t="s">
        <v>1369</v>
      </c>
      <c r="E17" s="47" t="s">
        <v>1370</v>
      </c>
      <c r="F17" s="47" t="s">
        <v>158</v>
      </c>
      <c r="G17" s="47">
        <f>VLOOKUP(A17,'[1]Z8290 New Assets_output'!$A:$C,3,FALSE)</f>
        <v>294893</v>
      </c>
      <c r="H17" s="47">
        <v>1</v>
      </c>
      <c r="I17" s="47" t="s">
        <v>242</v>
      </c>
      <c r="J17" s="163">
        <v>8966.9889028949892</v>
      </c>
      <c r="K17" s="56">
        <f t="shared" si="0"/>
        <v>8966.9889028949892</v>
      </c>
      <c r="L17" s="93" t="str">
        <f>IFERROR(VLOOKUP($F17,SC_Component!$B:$C,2,FALSE),"")</f>
        <v>Main</v>
      </c>
      <c r="M17" s="93" t="s">
        <v>457</v>
      </c>
      <c r="N17" s="93" t="s">
        <v>252</v>
      </c>
      <c r="O17" s="93" t="s">
        <v>289</v>
      </c>
      <c r="P17" s="93" t="str">
        <f>IFERROR(VLOOKUP($I17,UoM!$A:$C,2,FALSE),"")</f>
        <v>Quantity</v>
      </c>
      <c r="Q17" s="47" t="s">
        <v>1389</v>
      </c>
      <c r="R17" s="47" t="s">
        <v>1389</v>
      </c>
      <c r="S17" s="47">
        <v>40</v>
      </c>
      <c r="T17" s="47"/>
      <c r="U17" s="47"/>
      <c r="V17" s="47"/>
      <c r="W17" s="47"/>
      <c r="X17" s="47"/>
      <c r="Y17" s="119">
        <v>45974</v>
      </c>
      <c r="Z17" s="119">
        <v>45974</v>
      </c>
      <c r="AA17" s="47" t="s">
        <v>1563</v>
      </c>
      <c r="AB17" s="47"/>
      <c r="AC17" s="56">
        <f>IFERROR(VLOOKUP("New Assets:"&amp;ROW(),'Handover Cost Report'!$A:$U,17,FALSE),"")</f>
        <v>8966.99</v>
      </c>
      <c r="AD17" s="56">
        <f>IFERROR(VLOOKUP("New Assets:"&amp;ROW(),'Handover Cost Report'!$A:$U,18,FALSE),"")</f>
        <v>0</v>
      </c>
      <c r="AE17" s="56">
        <f>IFERROR(VLOOKUP("New Assets:"&amp;ROW(),'Handover Cost Report'!$A:$U,19,FALSE),"")</f>
        <v>0</v>
      </c>
    </row>
    <row r="18" spans="1:31" s="3" customFormat="1" x14ac:dyDescent="0.2">
      <c r="A18" s="3" t="s">
        <v>1383</v>
      </c>
      <c r="B18" s="47" t="s">
        <v>363</v>
      </c>
      <c r="C18" s="47" t="s">
        <v>289</v>
      </c>
      <c r="D18" s="47" t="s">
        <v>1369</v>
      </c>
      <c r="E18" s="47" t="s">
        <v>1377</v>
      </c>
      <c r="F18" s="47" t="s">
        <v>158</v>
      </c>
      <c r="G18" s="47">
        <f>VLOOKUP(A18,'[1]Z8290 New Assets_output'!$A:$C,3,FALSE)</f>
        <v>294894</v>
      </c>
      <c r="H18" s="47">
        <v>1</v>
      </c>
      <c r="I18" s="47" t="s">
        <v>242</v>
      </c>
      <c r="J18" s="163">
        <v>1270.0613951500907</v>
      </c>
      <c r="K18" s="56">
        <f t="shared" si="0"/>
        <v>1270.0613951500907</v>
      </c>
      <c r="L18" s="93" t="str">
        <f>IFERROR(VLOOKUP($F18,SC_Component!$B:$C,2,FALSE),"")</f>
        <v>Main</v>
      </c>
      <c r="M18" s="93" t="s">
        <v>457</v>
      </c>
      <c r="N18" s="93" t="s">
        <v>252</v>
      </c>
      <c r="O18" s="93" t="s">
        <v>289</v>
      </c>
      <c r="P18" s="93" t="str">
        <f>IFERROR(VLOOKUP($I18,UoM!$A:$C,2,FALSE),"")</f>
        <v>Quantity</v>
      </c>
      <c r="Q18" s="47" t="s">
        <v>1389</v>
      </c>
      <c r="R18" s="47" t="s">
        <v>1389</v>
      </c>
      <c r="S18" s="47">
        <v>40</v>
      </c>
      <c r="T18" s="47"/>
      <c r="U18" s="47"/>
      <c r="V18" s="47"/>
      <c r="W18" s="47"/>
      <c r="X18" s="47"/>
      <c r="Y18" s="119">
        <v>45974</v>
      </c>
      <c r="Z18" s="119">
        <v>45974</v>
      </c>
      <c r="AA18" s="47" t="s">
        <v>1563</v>
      </c>
      <c r="AB18" s="47"/>
      <c r="AC18" s="56">
        <f>IFERROR(VLOOKUP("New Assets:"&amp;ROW(),'Handover Cost Report'!$A:$U,17,FALSE),"")</f>
        <v>1270.06</v>
      </c>
      <c r="AD18" s="56">
        <f>IFERROR(VLOOKUP("New Assets:"&amp;ROW(),'Handover Cost Report'!$A:$U,18,FALSE),"")</f>
        <v>0</v>
      </c>
      <c r="AE18" s="56">
        <f>IFERROR(VLOOKUP("New Assets:"&amp;ROW(),'Handover Cost Report'!$A:$U,19,FALSE),"")</f>
        <v>0</v>
      </c>
    </row>
    <row r="19" spans="1:31" s="3" customFormat="1" x14ac:dyDescent="0.2">
      <c r="A19" s="3" t="s">
        <v>1384</v>
      </c>
      <c r="B19" s="47" t="s">
        <v>363</v>
      </c>
      <c r="C19" s="47" t="s">
        <v>289</v>
      </c>
      <c r="D19" s="47" t="s">
        <v>1369</v>
      </c>
      <c r="E19" s="47" t="s">
        <v>1370</v>
      </c>
      <c r="F19" s="47" t="s">
        <v>158</v>
      </c>
      <c r="G19" s="47">
        <f>VLOOKUP(A19,'[1]Z8290 New Assets_output'!$A:$C,3,FALSE)</f>
        <v>294895</v>
      </c>
      <c r="H19" s="47">
        <v>1</v>
      </c>
      <c r="I19" s="47" t="s">
        <v>242</v>
      </c>
      <c r="J19" s="163">
        <v>8966.9889028949892</v>
      </c>
      <c r="K19" s="56">
        <f t="shared" si="0"/>
        <v>8966.9889028949892</v>
      </c>
      <c r="L19" s="93" t="str">
        <f>IFERROR(VLOOKUP($F19,SC_Component!$B:$C,2,FALSE),"")</f>
        <v>Main</v>
      </c>
      <c r="M19" s="93" t="s">
        <v>457</v>
      </c>
      <c r="N19" s="93" t="s">
        <v>252</v>
      </c>
      <c r="O19" s="93" t="s">
        <v>289</v>
      </c>
      <c r="P19" s="93" t="str">
        <f>IFERROR(VLOOKUP($I19,UoM!$A:$C,2,FALSE),"")</f>
        <v>Quantity</v>
      </c>
      <c r="Q19" s="47" t="s">
        <v>1389</v>
      </c>
      <c r="R19" s="47" t="s">
        <v>1389</v>
      </c>
      <c r="S19" s="47">
        <v>40</v>
      </c>
      <c r="T19" s="47"/>
      <c r="U19" s="47"/>
      <c r="V19" s="47"/>
      <c r="W19" s="47"/>
      <c r="X19" s="47"/>
      <c r="Y19" s="119">
        <v>45974</v>
      </c>
      <c r="Z19" s="119">
        <v>45974</v>
      </c>
      <c r="AA19" s="47" t="s">
        <v>1563</v>
      </c>
      <c r="AB19" s="47"/>
      <c r="AC19" s="56">
        <f>IFERROR(VLOOKUP("New Assets:"&amp;ROW(),'Handover Cost Report'!$A:$U,17,FALSE),"")</f>
        <v>8966.99</v>
      </c>
      <c r="AD19" s="56">
        <f>IFERROR(VLOOKUP("New Assets:"&amp;ROW(),'Handover Cost Report'!$A:$U,18,FALSE),"")</f>
        <v>0</v>
      </c>
      <c r="AE19" s="56">
        <f>IFERROR(VLOOKUP("New Assets:"&amp;ROW(),'Handover Cost Report'!$A:$U,19,FALSE),"")</f>
        <v>0</v>
      </c>
    </row>
    <row r="20" spans="1:31" s="3" customFormat="1" x14ac:dyDescent="0.2">
      <c r="A20" s="3" t="s">
        <v>1385</v>
      </c>
      <c r="B20" s="47" t="s">
        <v>363</v>
      </c>
      <c r="C20" s="47" t="s">
        <v>289</v>
      </c>
      <c r="D20" s="47" t="s">
        <v>1369</v>
      </c>
      <c r="E20" s="47" t="s">
        <v>1377</v>
      </c>
      <c r="F20" s="47" t="s">
        <v>158</v>
      </c>
      <c r="G20" s="47">
        <f>VLOOKUP(A20,'[1]Z8290 New Assets_output'!$A:$C,3,FALSE)</f>
        <v>294898</v>
      </c>
      <c r="H20" s="47">
        <v>1</v>
      </c>
      <c r="I20" s="47" t="s">
        <v>242</v>
      </c>
      <c r="J20" s="163">
        <v>1270.0613951500907</v>
      </c>
      <c r="K20" s="56">
        <f t="shared" si="0"/>
        <v>1270.0613951500907</v>
      </c>
      <c r="L20" s="93" t="str">
        <f>IFERROR(VLOOKUP($F20,SC_Component!$B:$C,2,FALSE),"")</f>
        <v>Main</v>
      </c>
      <c r="M20" s="93" t="s">
        <v>457</v>
      </c>
      <c r="N20" s="93" t="s">
        <v>252</v>
      </c>
      <c r="O20" s="93" t="s">
        <v>289</v>
      </c>
      <c r="P20" s="93" t="str">
        <f>IFERROR(VLOOKUP($I20,UoM!$A:$C,2,FALSE),"")</f>
        <v>Quantity</v>
      </c>
      <c r="Q20" s="47" t="s">
        <v>1389</v>
      </c>
      <c r="R20" s="47" t="s">
        <v>1389</v>
      </c>
      <c r="S20" s="47">
        <v>40</v>
      </c>
      <c r="T20" s="47"/>
      <c r="U20" s="47"/>
      <c r="V20" s="47"/>
      <c r="W20" s="47"/>
      <c r="X20" s="47"/>
      <c r="Y20" s="119">
        <v>45974</v>
      </c>
      <c r="Z20" s="119">
        <v>45974</v>
      </c>
      <c r="AA20" s="47" t="s">
        <v>1563</v>
      </c>
      <c r="AB20" s="47"/>
      <c r="AC20" s="56">
        <f>IFERROR(VLOOKUP("New Assets:"&amp;ROW(),'Handover Cost Report'!$A:$U,17,FALSE),"")</f>
        <v>1270.06</v>
      </c>
      <c r="AD20" s="56">
        <f>IFERROR(VLOOKUP("New Assets:"&amp;ROW(),'Handover Cost Report'!$A:$U,18,FALSE),"")</f>
        <v>0</v>
      </c>
      <c r="AE20" s="56">
        <f>IFERROR(VLOOKUP("New Assets:"&amp;ROW(),'Handover Cost Report'!$A:$U,19,FALSE),"")</f>
        <v>0</v>
      </c>
    </row>
    <row r="21" spans="1:31" s="3" customFormat="1" x14ac:dyDescent="0.2">
      <c r="A21" s="3" t="s">
        <v>1386</v>
      </c>
      <c r="B21" s="47" t="s">
        <v>363</v>
      </c>
      <c r="C21" s="47" t="s">
        <v>289</v>
      </c>
      <c r="D21" s="47" t="s">
        <v>1369</v>
      </c>
      <c r="E21" s="47" t="s">
        <v>1370</v>
      </c>
      <c r="F21" s="47" t="s">
        <v>158</v>
      </c>
      <c r="G21" s="47">
        <f>VLOOKUP(A21,'[1]Z8290 New Assets_output'!$A:$C,3,FALSE)</f>
        <v>294896</v>
      </c>
      <c r="H21" s="47">
        <v>1</v>
      </c>
      <c r="I21" s="47" t="s">
        <v>242</v>
      </c>
      <c r="J21" s="163">
        <v>8966.9889028949892</v>
      </c>
      <c r="K21" s="56">
        <f t="shared" si="0"/>
        <v>8966.9889028949892</v>
      </c>
      <c r="L21" s="93" t="str">
        <f>IFERROR(VLOOKUP($F21,SC_Component!$B:$C,2,FALSE),"")</f>
        <v>Main</v>
      </c>
      <c r="M21" s="93" t="s">
        <v>457</v>
      </c>
      <c r="N21" s="93" t="s">
        <v>252</v>
      </c>
      <c r="O21" s="93" t="s">
        <v>289</v>
      </c>
      <c r="P21" s="93" t="str">
        <f>IFERROR(VLOOKUP($I21,UoM!$A:$C,2,FALSE),"")</f>
        <v>Quantity</v>
      </c>
      <c r="Q21" s="47" t="s">
        <v>1389</v>
      </c>
      <c r="R21" s="47" t="s">
        <v>1389</v>
      </c>
      <c r="S21" s="47">
        <v>40</v>
      </c>
      <c r="T21" s="47"/>
      <c r="U21" s="47"/>
      <c r="V21" s="47"/>
      <c r="W21" s="47"/>
      <c r="X21" s="47"/>
      <c r="Y21" s="119">
        <v>45974</v>
      </c>
      <c r="Z21" s="119">
        <v>45974</v>
      </c>
      <c r="AA21" s="47" t="s">
        <v>1563</v>
      </c>
      <c r="AB21" s="47"/>
      <c r="AC21" s="56">
        <f>IFERROR(VLOOKUP("New Assets:"&amp;ROW(),'Handover Cost Report'!$A:$U,17,FALSE),"")</f>
        <v>8966.99</v>
      </c>
      <c r="AD21" s="56">
        <f>IFERROR(VLOOKUP("New Assets:"&amp;ROW(),'Handover Cost Report'!$A:$U,18,FALSE),"")</f>
        <v>0</v>
      </c>
      <c r="AE21" s="56">
        <f>IFERROR(VLOOKUP("New Assets:"&amp;ROW(),'Handover Cost Report'!$A:$U,19,FALSE),"")</f>
        <v>0</v>
      </c>
    </row>
    <row r="22" spans="1:31" s="3" customFormat="1" x14ac:dyDescent="0.2">
      <c r="A22" s="3" t="s">
        <v>1387</v>
      </c>
      <c r="B22" s="47" t="s">
        <v>363</v>
      </c>
      <c r="C22" s="47" t="s">
        <v>289</v>
      </c>
      <c r="D22" s="47" t="s">
        <v>1369</v>
      </c>
      <c r="E22" s="47" t="s">
        <v>1370</v>
      </c>
      <c r="F22" s="47" t="s">
        <v>158</v>
      </c>
      <c r="G22" s="47">
        <f>VLOOKUP(A22,'[1]Z8290 New Assets_output'!$A:$C,3,FALSE)</f>
        <v>294899</v>
      </c>
      <c r="H22" s="47">
        <v>1</v>
      </c>
      <c r="I22" s="47" t="s">
        <v>242</v>
      </c>
      <c r="J22" s="163">
        <v>8966.9889028949892</v>
      </c>
      <c r="K22" s="56">
        <f t="shared" si="0"/>
        <v>8966.9889028949892</v>
      </c>
      <c r="L22" s="93" t="str">
        <f>IFERROR(VLOOKUP($F22,SC_Component!$B:$C,2,FALSE),"")</f>
        <v>Main</v>
      </c>
      <c r="M22" s="93" t="s">
        <v>457</v>
      </c>
      <c r="N22" s="93" t="s">
        <v>252</v>
      </c>
      <c r="O22" s="93" t="s">
        <v>289</v>
      </c>
      <c r="P22" s="93" t="str">
        <f>IFERROR(VLOOKUP($I22,UoM!$A:$C,2,FALSE),"")</f>
        <v>Quantity</v>
      </c>
      <c r="Q22" s="47" t="s">
        <v>1389</v>
      </c>
      <c r="R22" s="47" t="s">
        <v>1389</v>
      </c>
      <c r="S22" s="47">
        <v>40</v>
      </c>
      <c r="T22" s="47"/>
      <c r="U22" s="47"/>
      <c r="V22" s="47"/>
      <c r="W22" s="47"/>
      <c r="X22" s="47"/>
      <c r="Y22" s="119">
        <v>45974</v>
      </c>
      <c r="Z22" s="119">
        <v>45974</v>
      </c>
      <c r="AA22" s="47" t="s">
        <v>1563</v>
      </c>
      <c r="AB22" s="47"/>
      <c r="AC22" s="56">
        <f>IFERROR(VLOOKUP("New Assets:"&amp;ROW(),'Handover Cost Report'!$A:$U,17,FALSE),"")</f>
        <v>8966.99</v>
      </c>
      <c r="AD22" s="56">
        <f>IFERROR(VLOOKUP("New Assets:"&amp;ROW(),'Handover Cost Report'!$A:$U,18,FALSE),"")</f>
        <v>0</v>
      </c>
      <c r="AE22" s="56">
        <f>IFERROR(VLOOKUP("New Assets:"&amp;ROW(),'Handover Cost Report'!$A:$U,19,FALSE),"")</f>
        <v>0</v>
      </c>
    </row>
    <row r="23" spans="1:31" s="3" customFormat="1" ht="18" customHeight="1" x14ac:dyDescent="0.2">
      <c r="A23" s="3" t="s">
        <v>1388</v>
      </c>
      <c r="B23" s="47" t="s">
        <v>363</v>
      </c>
      <c r="C23" s="47" t="s">
        <v>289</v>
      </c>
      <c r="D23" s="47" t="s">
        <v>349</v>
      </c>
      <c r="E23" s="154" t="s">
        <v>86</v>
      </c>
      <c r="F23" s="47" t="s">
        <v>86</v>
      </c>
      <c r="G23" s="47">
        <f>VLOOKUP(A23,'[1]Z8290 New Assets_output'!$A:$C,3,FALSE)</f>
        <v>294897</v>
      </c>
      <c r="H23" s="47">
        <v>3</v>
      </c>
      <c r="I23" s="47" t="s">
        <v>244</v>
      </c>
      <c r="J23" s="163">
        <v>83.394774062600149</v>
      </c>
      <c r="K23" s="56">
        <f t="shared" si="0"/>
        <v>250.18432218780043</v>
      </c>
      <c r="L23" s="93" t="str">
        <f>IFERROR(VLOOKUP($F23,SC_Component!$B:$C,2,FALSE),"")</f>
        <v>Main</v>
      </c>
      <c r="M23" s="93" t="s">
        <v>416</v>
      </c>
      <c r="N23" s="93" t="str">
        <f t="array" ref="N23">IFERROR(IF($B23="Building","Buildings",INDEX(CoA_Schema[FinancialClass],MATCH(1,(CoA_Schema[AssetType]=$D23)*(CoA_Schema[AssetClass]=$B23)*(CoA_Schema[AssetSubClass]=$C23),0),0)),"")</f>
        <v>Infrastructure</v>
      </c>
      <c r="O23" s="93" t="str">
        <f t="array" ref="O23">IFERROR(IF($B23="Building","Buildings",INDEX(CoA_Schema[FinancialSubClass],MATCH(1,(CoA_Schema[AssetType]=$D23)*(CoA_Schema[AssetClass]=$B23)*(CoA_Schema[AssetSubClass]=$C23),0),0)),"")</f>
        <v>Traffic Signals</v>
      </c>
      <c r="P23" s="93" t="s">
        <v>243</v>
      </c>
      <c r="Q23" s="47" t="s">
        <v>1389</v>
      </c>
      <c r="R23" s="47" t="s">
        <v>1389</v>
      </c>
      <c r="S23" s="47">
        <v>20</v>
      </c>
      <c r="T23" s="47"/>
      <c r="U23" s="47"/>
      <c r="V23" s="47"/>
      <c r="W23" s="47"/>
      <c r="X23" s="47"/>
      <c r="Y23" s="119">
        <v>45974</v>
      </c>
      <c r="Z23" s="119">
        <v>45974</v>
      </c>
      <c r="AA23" s="47" t="s">
        <v>1563</v>
      </c>
      <c r="AB23" s="47"/>
      <c r="AC23" s="56">
        <f>IFERROR(VLOOKUP("New Assets:"&amp;ROW(),'Handover Cost Report'!$A:$U,17,FALSE),"")</f>
        <v>250.18</v>
      </c>
      <c r="AD23" s="56">
        <f>IFERROR(VLOOKUP("New Assets:"&amp;ROW(),'Handover Cost Report'!$A:$U,18,FALSE),"")</f>
        <v>0</v>
      </c>
      <c r="AE23" s="56">
        <f>IFERROR(VLOOKUP("New Assets:"&amp;ROW(),'Handover Cost Report'!$A:$U,19,FALSE),"")</f>
        <v>0</v>
      </c>
    </row>
    <row r="24" spans="1:31" s="3" customFormat="1" ht="16.149999999999999" customHeight="1" x14ac:dyDescent="0.2">
      <c r="A24" s="155" t="s">
        <v>1388</v>
      </c>
      <c r="B24" s="47" t="s">
        <v>363</v>
      </c>
      <c r="C24" s="47" t="s">
        <v>289</v>
      </c>
      <c r="D24" s="47" t="s">
        <v>349</v>
      </c>
      <c r="E24" s="47" t="s">
        <v>1390</v>
      </c>
      <c r="F24" s="47"/>
      <c r="G24" s="47">
        <f>VLOOKUP(A24,'[1]Z8290 New Assets_output'!$A:$C,3,FALSE)</f>
        <v>294897</v>
      </c>
      <c r="H24" s="47">
        <v>3</v>
      </c>
      <c r="I24" s="47" t="s">
        <v>244</v>
      </c>
      <c r="J24" s="164">
        <v>0</v>
      </c>
      <c r="K24" s="56">
        <f>H24*J24</f>
        <v>0</v>
      </c>
      <c r="L24" s="93" t="s">
        <v>130</v>
      </c>
      <c r="M24" s="93" t="s">
        <v>421</v>
      </c>
      <c r="N24" s="93" t="str">
        <f t="array" ref="N24">IFERROR(IF($B24="Building","Buildings",INDEX(CoA_Schema[FinancialClass],MATCH(1,(CoA_Schema[AssetType]=$D24)*(CoA_Schema[AssetClass]=$B24)*(CoA_Schema[AssetSubClass]=$C24),0),0)),"")</f>
        <v>Infrastructure</v>
      </c>
      <c r="O24" s="93" t="str">
        <f t="array" ref="O24">IFERROR(IF($B24="Building","Buildings",INDEX(CoA_Schema[FinancialSubClass],MATCH(1,(CoA_Schema[AssetType]=$D24)*(CoA_Schema[AssetClass]=$B24)*(CoA_Schema[AssetSubClass]=$C24),0),0)),"")</f>
        <v>Traffic Signals</v>
      </c>
      <c r="P24" s="93" t="str">
        <f>IFERROR(VLOOKUP($I24,UoM!$A:$C,2,FALSE),"")</f>
        <v>Length</v>
      </c>
      <c r="Q24" s="47" t="s">
        <v>1433</v>
      </c>
      <c r="R24" s="47" t="s">
        <v>1389</v>
      </c>
      <c r="S24" s="47">
        <v>20</v>
      </c>
      <c r="T24" s="47"/>
      <c r="U24" s="47"/>
      <c r="V24" s="47"/>
      <c r="W24" s="47"/>
      <c r="X24" s="47"/>
      <c r="Y24" s="119">
        <v>45974</v>
      </c>
      <c r="Z24" s="119">
        <v>45974</v>
      </c>
      <c r="AA24" s="47" t="s">
        <v>1563</v>
      </c>
      <c r="AB24" s="162" t="s">
        <v>1430</v>
      </c>
      <c r="AC24" s="56">
        <f>IFERROR(VLOOKUP("New Assets:"&amp;ROW(),'Handover Cost Report'!$A:$U,17,FALSE),"")</f>
        <v>0</v>
      </c>
      <c r="AD24" s="56">
        <f>IFERROR(VLOOKUP("New Assets:"&amp;ROW(),'Handover Cost Report'!$A:$U,18,FALSE),"")</f>
        <v>0</v>
      </c>
      <c r="AE24" s="56">
        <f>IFERROR(VLOOKUP("New Assets:"&amp;ROW(),'Handover Cost Report'!$A:$U,19,FALSE),"")</f>
        <v>0</v>
      </c>
    </row>
    <row r="25" spans="1:31" s="3" customFormat="1" ht="16.899999999999999" customHeight="1" x14ac:dyDescent="0.2">
      <c r="A25" s="156" t="s">
        <v>1392</v>
      </c>
      <c r="B25" s="47" t="s">
        <v>363</v>
      </c>
      <c r="C25" s="47" t="s">
        <v>289</v>
      </c>
      <c r="D25" s="47" t="s">
        <v>349</v>
      </c>
      <c r="E25" s="157" t="s">
        <v>1391</v>
      </c>
      <c r="F25" s="47" t="s">
        <v>1547</v>
      </c>
      <c r="G25" s="47">
        <f>VLOOKUP(A25,'[1]Z8290 New Assets_output'!$A:$C,3,FALSE)</f>
        <v>294900</v>
      </c>
      <c r="H25" s="47">
        <v>0.5</v>
      </c>
      <c r="I25" s="47" t="s">
        <v>244</v>
      </c>
      <c r="J25" s="163">
        <v>83.394774062600149</v>
      </c>
      <c r="K25" s="56">
        <f t="shared" si="0"/>
        <v>41.697387031300075</v>
      </c>
      <c r="L25" s="93" t="s">
        <v>130</v>
      </c>
      <c r="M25" s="93" t="s">
        <v>421</v>
      </c>
      <c r="N25" s="93" t="str">
        <f t="array" ref="N25">IFERROR(IF($B25="Building","Buildings",INDEX(CoA_Schema[FinancialClass],MATCH(1,(CoA_Schema[AssetType]=$D25)*(CoA_Schema[AssetClass]=$B25)*(CoA_Schema[AssetSubClass]=$C25),0),0)),"")</f>
        <v>Infrastructure</v>
      </c>
      <c r="O25" s="93" t="str">
        <f t="array" ref="O25">IFERROR(IF($B25="Building","Buildings",INDEX(CoA_Schema[FinancialSubClass],MATCH(1,(CoA_Schema[AssetType]=$D25)*(CoA_Schema[AssetClass]=$B25)*(CoA_Schema[AssetSubClass]=$C25),0),0)),"")</f>
        <v>Traffic Signals</v>
      </c>
      <c r="P25" s="93" t="str">
        <f>IFERROR(VLOOKUP($I25,UoM!$A:$C,2,FALSE),"")</f>
        <v>Length</v>
      </c>
      <c r="Q25" s="47" t="s">
        <v>1389</v>
      </c>
      <c r="R25" s="47" t="s">
        <v>1389</v>
      </c>
      <c r="S25" s="47">
        <v>20</v>
      </c>
      <c r="T25" s="47"/>
      <c r="U25" s="47"/>
      <c r="V25" s="47"/>
      <c r="W25" s="47"/>
      <c r="X25" s="47"/>
      <c r="Y25" s="119">
        <v>45974</v>
      </c>
      <c r="Z25" s="119">
        <v>45974</v>
      </c>
      <c r="AA25" s="47" t="s">
        <v>1563</v>
      </c>
      <c r="AB25" s="47"/>
      <c r="AC25" s="56">
        <f>IFERROR(VLOOKUP("New Assets:"&amp;ROW(),'Handover Cost Report'!$A:$U,17,FALSE),"")</f>
        <v>41.7</v>
      </c>
      <c r="AD25" s="56">
        <f>IFERROR(VLOOKUP("New Assets:"&amp;ROW(),'Handover Cost Report'!$A:$U,18,FALSE),"")</f>
        <v>0</v>
      </c>
      <c r="AE25" s="56">
        <f>IFERROR(VLOOKUP("New Assets:"&amp;ROW(),'Handover Cost Report'!$A:$U,19,FALSE),"")</f>
        <v>0</v>
      </c>
    </row>
    <row r="26" spans="1:31" s="3" customFormat="1" x14ac:dyDescent="0.2">
      <c r="A26" s="3" t="s">
        <v>1392</v>
      </c>
      <c r="B26" s="47" t="s">
        <v>363</v>
      </c>
      <c r="C26" s="47" t="s">
        <v>289</v>
      </c>
      <c r="D26" s="47" t="s">
        <v>349</v>
      </c>
      <c r="E26" s="47" t="s">
        <v>1390</v>
      </c>
      <c r="F26" s="47" t="s">
        <v>1390</v>
      </c>
      <c r="G26" s="47">
        <f>VLOOKUP(A26,'[1]Z8290 New Assets_output'!$A:$C,3,FALSE)</f>
        <v>294900</v>
      </c>
      <c r="H26" s="47">
        <v>0.5</v>
      </c>
      <c r="I26" s="47" t="s">
        <v>244</v>
      </c>
      <c r="J26" s="164">
        <v>0</v>
      </c>
      <c r="K26" s="56">
        <f t="shared" si="0"/>
        <v>0</v>
      </c>
      <c r="L26" s="93" t="s">
        <v>130</v>
      </c>
      <c r="M26" s="93" t="s">
        <v>421</v>
      </c>
      <c r="N26" s="93" t="str">
        <f t="array" ref="N26">IFERROR(IF($B26="Building","Buildings",INDEX(CoA_Schema[FinancialClass],MATCH(1,(CoA_Schema[AssetType]=$D26)*(CoA_Schema[AssetClass]=$B26)*(CoA_Schema[AssetSubClass]=$C26),0),0)),"")</f>
        <v>Infrastructure</v>
      </c>
      <c r="O26" s="93" t="str">
        <f t="array" ref="O26">IFERROR(IF($B26="Building","Buildings",INDEX(CoA_Schema[FinancialSubClass],MATCH(1,(CoA_Schema[AssetType]=$D26)*(CoA_Schema[AssetClass]=$B26)*(CoA_Schema[AssetSubClass]=$C26),0),0)),"")</f>
        <v>Traffic Signals</v>
      </c>
      <c r="P26" s="93" t="str">
        <f>IFERROR(VLOOKUP($I26,UoM!$A:$C,2,FALSE),"")</f>
        <v>Length</v>
      </c>
      <c r="Q26" s="47" t="s">
        <v>1433</v>
      </c>
      <c r="R26" s="47" t="s">
        <v>1389</v>
      </c>
      <c r="S26" s="47">
        <v>20</v>
      </c>
      <c r="T26" s="47"/>
      <c r="U26" s="47"/>
      <c r="V26" s="47"/>
      <c r="W26" s="47"/>
      <c r="X26" s="47"/>
      <c r="Y26" s="119">
        <v>45974</v>
      </c>
      <c r="Z26" s="119">
        <v>45974</v>
      </c>
      <c r="AA26" s="47" t="s">
        <v>1563</v>
      </c>
      <c r="AB26" s="162" t="s">
        <v>1430</v>
      </c>
      <c r="AC26" s="56">
        <f>IFERROR(VLOOKUP("New Assets:"&amp;ROW(),'Handover Cost Report'!$A:$U,17,FALSE),"")</f>
        <v>0</v>
      </c>
      <c r="AD26" s="56">
        <f>IFERROR(VLOOKUP("New Assets:"&amp;ROW(),'Handover Cost Report'!$A:$U,18,FALSE),"")</f>
        <v>0</v>
      </c>
      <c r="AE26" s="56">
        <f>IFERROR(VLOOKUP("New Assets:"&amp;ROW(),'Handover Cost Report'!$A:$U,19,FALSE),"")</f>
        <v>0</v>
      </c>
    </row>
    <row r="27" spans="1:31" s="3" customFormat="1" x14ac:dyDescent="0.2">
      <c r="A27" s="3" t="s">
        <v>1395</v>
      </c>
      <c r="B27" s="47" t="s">
        <v>363</v>
      </c>
      <c r="C27" s="47" t="s">
        <v>289</v>
      </c>
      <c r="D27" s="47" t="s">
        <v>349</v>
      </c>
      <c r="E27" s="47" t="s">
        <v>1390</v>
      </c>
      <c r="F27" s="47" t="s">
        <v>1390</v>
      </c>
      <c r="G27" s="47">
        <f>VLOOKUP(A27,'[1]Z8290 New Assets_output'!$A:$C,3,FALSE)</f>
        <v>294901</v>
      </c>
      <c r="H27" s="47">
        <v>6</v>
      </c>
      <c r="I27" s="47" t="s">
        <v>244</v>
      </c>
      <c r="J27" s="164">
        <v>0</v>
      </c>
      <c r="K27" s="56">
        <f t="shared" si="0"/>
        <v>0</v>
      </c>
      <c r="L27" s="93" t="s">
        <v>130</v>
      </c>
      <c r="M27" s="93" t="s">
        <v>421</v>
      </c>
      <c r="N27" s="93" t="str">
        <f t="array" ref="N27">IFERROR(IF($B27="Building","Buildings",INDEX(CoA_Schema[FinancialClass],MATCH(1,(CoA_Schema[AssetType]=$D27)*(CoA_Schema[AssetClass]=$B27)*(CoA_Schema[AssetSubClass]=$C27),0),0)),"")</f>
        <v>Infrastructure</v>
      </c>
      <c r="O27" s="93" t="str">
        <f t="array" ref="O27">IFERROR(IF($B27="Building","Buildings",INDEX(CoA_Schema[FinancialSubClass],MATCH(1,(CoA_Schema[AssetType]=$D27)*(CoA_Schema[AssetClass]=$B27)*(CoA_Schema[AssetSubClass]=$C27),0),0)),"")</f>
        <v>Traffic Signals</v>
      </c>
      <c r="P27" s="93" t="str">
        <f>IFERROR(VLOOKUP($I27,UoM!$A:$C,2,FALSE),"")</f>
        <v>Length</v>
      </c>
      <c r="Q27" s="47" t="s">
        <v>1433</v>
      </c>
      <c r="R27" s="47" t="s">
        <v>1389</v>
      </c>
      <c r="S27" s="47">
        <v>20</v>
      </c>
      <c r="T27" s="47"/>
      <c r="U27" s="47"/>
      <c r="V27" s="47"/>
      <c r="W27" s="47"/>
      <c r="X27" s="47"/>
      <c r="Y27" s="119">
        <v>45974</v>
      </c>
      <c r="Z27" s="119">
        <v>45974</v>
      </c>
      <c r="AA27" s="47" t="s">
        <v>1563</v>
      </c>
      <c r="AB27" s="162" t="s">
        <v>1430</v>
      </c>
      <c r="AC27" s="56">
        <f>IFERROR(VLOOKUP("New Assets:"&amp;ROW(),'Handover Cost Report'!$A:$U,17,FALSE),"")</f>
        <v>0</v>
      </c>
      <c r="AD27" s="56">
        <f>IFERROR(VLOOKUP("New Assets:"&amp;ROW(),'Handover Cost Report'!$A:$U,18,FALSE),"")</f>
        <v>0</v>
      </c>
      <c r="AE27" s="56">
        <f>IFERROR(VLOOKUP("New Assets:"&amp;ROW(),'Handover Cost Report'!$A:$U,19,FALSE),"")</f>
        <v>0</v>
      </c>
    </row>
    <row r="28" spans="1:31" s="3" customFormat="1" x14ac:dyDescent="0.2">
      <c r="A28" s="158" t="s">
        <v>1395</v>
      </c>
      <c r="B28" s="47" t="s">
        <v>363</v>
      </c>
      <c r="C28" s="47" t="s">
        <v>289</v>
      </c>
      <c r="D28" s="47" t="s">
        <v>349</v>
      </c>
      <c r="E28" s="154" t="s">
        <v>1393</v>
      </c>
      <c r="F28" s="47" t="s">
        <v>1549</v>
      </c>
      <c r="G28" s="47">
        <f>VLOOKUP(A28,'[1]Z8290 New Assets_output'!$A:$C,3,FALSE)</f>
        <v>294901</v>
      </c>
      <c r="H28" s="47">
        <v>6</v>
      </c>
      <c r="I28" s="47" t="s">
        <v>244</v>
      </c>
      <c r="J28" s="163">
        <v>83.394774062600149</v>
      </c>
      <c r="K28" s="56">
        <f t="shared" si="0"/>
        <v>500.36864437560087</v>
      </c>
      <c r="L28" s="93" t="s">
        <v>130</v>
      </c>
      <c r="M28" s="93" t="s">
        <v>421</v>
      </c>
      <c r="N28" s="93" t="str">
        <f t="array" ref="N28">IFERROR(IF($B28="Building","Buildings",INDEX(CoA_Schema[FinancialClass],MATCH(1,(CoA_Schema[AssetType]=$D28)*(CoA_Schema[AssetClass]=$B28)*(CoA_Schema[AssetSubClass]=$C28),0),0)),"")</f>
        <v>Infrastructure</v>
      </c>
      <c r="O28" s="93" t="str">
        <f t="array" ref="O28">IFERROR(IF($B28="Building","Buildings",INDEX(CoA_Schema[FinancialSubClass],MATCH(1,(CoA_Schema[AssetType]=$D28)*(CoA_Schema[AssetClass]=$B28)*(CoA_Schema[AssetSubClass]=$C28),0),0)),"")</f>
        <v>Traffic Signals</v>
      </c>
      <c r="P28" s="93" t="str">
        <f>IFERROR(VLOOKUP($I28,UoM!$A:$C,2,FALSE),"")</f>
        <v>Length</v>
      </c>
      <c r="Q28" s="47" t="s">
        <v>1389</v>
      </c>
      <c r="R28" s="47" t="s">
        <v>1389</v>
      </c>
      <c r="S28" s="47">
        <v>20</v>
      </c>
      <c r="T28" s="47"/>
      <c r="U28" s="47"/>
      <c r="V28" s="47"/>
      <c r="W28" s="47"/>
      <c r="X28" s="47"/>
      <c r="Y28" s="119">
        <v>45974</v>
      </c>
      <c r="Z28" s="119">
        <v>45974</v>
      </c>
      <c r="AA28" s="47" t="s">
        <v>1563</v>
      </c>
      <c r="AB28" s="47"/>
      <c r="AC28" s="56">
        <f>IFERROR(VLOOKUP("New Assets:"&amp;ROW(),'Handover Cost Report'!$A:$U,17,FALSE),"")</f>
        <v>500.37</v>
      </c>
      <c r="AD28" s="56">
        <f>IFERROR(VLOOKUP("New Assets:"&amp;ROW(),'Handover Cost Report'!$A:$U,18,FALSE),"")</f>
        <v>0</v>
      </c>
      <c r="AE28" s="56">
        <f>IFERROR(VLOOKUP("New Assets:"&amp;ROW(),'Handover Cost Report'!$A:$U,19,FALSE),"")</f>
        <v>0</v>
      </c>
    </row>
    <row r="29" spans="1:31" s="3" customFormat="1" x14ac:dyDescent="0.2">
      <c r="A29" s="159" t="s">
        <v>1395</v>
      </c>
      <c r="B29" s="47" t="s">
        <v>363</v>
      </c>
      <c r="C29" s="47" t="s">
        <v>289</v>
      </c>
      <c r="D29" s="47" t="s">
        <v>349</v>
      </c>
      <c r="E29" s="160" t="s">
        <v>1394</v>
      </c>
      <c r="F29" s="47" t="s">
        <v>1548</v>
      </c>
      <c r="G29" s="47">
        <f>VLOOKUP(A29,'[1]Z8290 New Assets_output'!$A:$C,3,FALSE)</f>
        <v>294901</v>
      </c>
      <c r="H29" s="47">
        <v>6</v>
      </c>
      <c r="I29" s="47" t="s">
        <v>244</v>
      </c>
      <c r="J29" s="163">
        <v>157.21965601965601</v>
      </c>
      <c r="K29" s="56">
        <f t="shared" si="0"/>
        <v>943.31793611793614</v>
      </c>
      <c r="L29" s="93" t="s">
        <v>130</v>
      </c>
      <c r="M29" s="93" t="s">
        <v>421</v>
      </c>
      <c r="N29" s="93" t="str">
        <f t="array" ref="N29">IFERROR(IF($B29="Building","Buildings",INDEX(CoA_Schema[FinancialClass],MATCH(1,(CoA_Schema[AssetType]=$D29)*(CoA_Schema[AssetClass]=$B29)*(CoA_Schema[AssetSubClass]=$C29),0),0)),"")</f>
        <v>Infrastructure</v>
      </c>
      <c r="O29" s="93" t="str">
        <f t="array" ref="O29">IFERROR(IF($B29="Building","Buildings",INDEX(CoA_Schema[FinancialSubClass],MATCH(1,(CoA_Schema[AssetType]=$D29)*(CoA_Schema[AssetClass]=$B29)*(CoA_Schema[AssetSubClass]=$C29),0),0)),"")</f>
        <v>Traffic Signals</v>
      </c>
      <c r="P29" s="93" t="str">
        <f>IFERROR(VLOOKUP($I29,UoM!$A:$C,2,FALSE),"")</f>
        <v>Length</v>
      </c>
      <c r="Q29" s="47" t="s">
        <v>1389</v>
      </c>
      <c r="R29" s="47" t="s">
        <v>1389</v>
      </c>
      <c r="S29" s="47">
        <v>20</v>
      </c>
      <c r="T29" s="47"/>
      <c r="U29" s="47"/>
      <c r="V29" s="47"/>
      <c r="W29" s="47"/>
      <c r="X29" s="47"/>
      <c r="Y29" s="119">
        <v>45974</v>
      </c>
      <c r="Z29" s="119">
        <v>45974</v>
      </c>
      <c r="AA29" s="47" t="s">
        <v>1563</v>
      </c>
      <c r="AB29" s="47"/>
      <c r="AC29" s="56">
        <f>IFERROR(VLOOKUP("New Assets:"&amp;ROW(),'Handover Cost Report'!$A:$U,17,FALSE),"")</f>
        <v>943.32</v>
      </c>
      <c r="AD29" s="56">
        <f>IFERROR(VLOOKUP("New Assets:"&amp;ROW(),'Handover Cost Report'!$A:$U,18,FALSE),"")</f>
        <v>0</v>
      </c>
      <c r="AE29" s="56">
        <f>IFERROR(VLOOKUP("New Assets:"&amp;ROW(),'Handover Cost Report'!$A:$U,19,FALSE),"")</f>
        <v>0</v>
      </c>
    </row>
    <row r="30" spans="1:31" s="3" customFormat="1" x14ac:dyDescent="0.2">
      <c r="A30" s="3" t="s">
        <v>1396</v>
      </c>
      <c r="B30" s="47" t="s">
        <v>363</v>
      </c>
      <c r="C30" s="47" t="s">
        <v>289</v>
      </c>
      <c r="D30" s="47" t="s">
        <v>349</v>
      </c>
      <c r="E30" s="47" t="s">
        <v>1390</v>
      </c>
      <c r="F30" s="47" t="s">
        <v>1390</v>
      </c>
      <c r="G30" s="47">
        <f>VLOOKUP(A30,'[1]Z8290 New Assets_output'!$A:$C,3,FALSE)</f>
        <v>294905</v>
      </c>
      <c r="H30" s="47">
        <v>6</v>
      </c>
      <c r="I30" s="47" t="s">
        <v>244</v>
      </c>
      <c r="J30" s="164">
        <v>0</v>
      </c>
      <c r="K30" s="56">
        <f t="shared" si="0"/>
        <v>0</v>
      </c>
      <c r="L30" s="93" t="s">
        <v>130</v>
      </c>
      <c r="M30" s="93" t="s">
        <v>421</v>
      </c>
      <c r="N30" s="93" t="str">
        <f t="array" ref="N30">IFERROR(IF($B30="Building","Buildings",INDEX(CoA_Schema[FinancialClass],MATCH(1,(CoA_Schema[AssetType]=$D30)*(CoA_Schema[AssetClass]=$B30)*(CoA_Schema[AssetSubClass]=$C30),0),0)),"")</f>
        <v>Infrastructure</v>
      </c>
      <c r="O30" s="93" t="str">
        <f t="array" ref="O30">IFERROR(IF($B30="Building","Buildings",INDEX(CoA_Schema[FinancialSubClass],MATCH(1,(CoA_Schema[AssetType]=$D30)*(CoA_Schema[AssetClass]=$B30)*(CoA_Schema[AssetSubClass]=$C30),0),0)),"")</f>
        <v>Traffic Signals</v>
      </c>
      <c r="P30" s="93" t="str">
        <f>IFERROR(VLOOKUP($I30,UoM!$A:$C,2,FALSE),"")</f>
        <v>Length</v>
      </c>
      <c r="Q30" s="47" t="s">
        <v>1433</v>
      </c>
      <c r="R30" s="47" t="s">
        <v>1389</v>
      </c>
      <c r="S30" s="47">
        <v>20</v>
      </c>
      <c r="T30" s="47"/>
      <c r="U30" s="47"/>
      <c r="V30" s="47"/>
      <c r="W30" s="47"/>
      <c r="X30" s="47"/>
      <c r="Y30" s="119">
        <v>45974</v>
      </c>
      <c r="Z30" s="119">
        <v>45974</v>
      </c>
      <c r="AA30" s="47" t="s">
        <v>1563</v>
      </c>
      <c r="AB30" s="162" t="s">
        <v>1430</v>
      </c>
      <c r="AC30" s="56">
        <f>IFERROR(VLOOKUP("New Assets:"&amp;ROW(),'Handover Cost Report'!$A:$U,17,FALSE),"")</f>
        <v>0</v>
      </c>
      <c r="AD30" s="56">
        <f>IFERROR(VLOOKUP("New Assets:"&amp;ROW(),'Handover Cost Report'!$A:$U,18,FALSE),"")</f>
        <v>0</v>
      </c>
      <c r="AE30" s="56">
        <f>IFERROR(VLOOKUP("New Assets:"&amp;ROW(),'Handover Cost Report'!$A:$U,19,FALSE),"")</f>
        <v>0</v>
      </c>
    </row>
    <row r="31" spans="1:31" s="3" customFormat="1" x14ac:dyDescent="0.2">
      <c r="A31" s="158" t="s">
        <v>1396</v>
      </c>
      <c r="B31" s="47" t="s">
        <v>363</v>
      </c>
      <c r="C31" s="47" t="s">
        <v>289</v>
      </c>
      <c r="D31" s="47" t="s">
        <v>349</v>
      </c>
      <c r="E31" s="154" t="s">
        <v>1393</v>
      </c>
      <c r="F31" s="47" t="s">
        <v>1549</v>
      </c>
      <c r="G31" s="47">
        <f>VLOOKUP(A31,'[1]Z8290 New Assets_output'!$A:$C,3,FALSE)</f>
        <v>294905</v>
      </c>
      <c r="H31" s="47">
        <v>6</v>
      </c>
      <c r="I31" s="47" t="s">
        <v>244</v>
      </c>
      <c r="J31" s="163">
        <v>83.394774062600149</v>
      </c>
      <c r="K31" s="56">
        <f t="shared" si="0"/>
        <v>500.36864437560087</v>
      </c>
      <c r="L31" s="93" t="s">
        <v>130</v>
      </c>
      <c r="M31" s="93" t="s">
        <v>421</v>
      </c>
      <c r="N31" s="93" t="str">
        <f t="array" ref="N31">IFERROR(IF($B31="Building","Buildings",INDEX(CoA_Schema[FinancialClass],MATCH(1,(CoA_Schema[AssetType]=$D31)*(CoA_Schema[AssetClass]=$B31)*(CoA_Schema[AssetSubClass]=$C31),0),0)),"")</f>
        <v>Infrastructure</v>
      </c>
      <c r="O31" s="93" t="str">
        <f t="array" ref="O31">IFERROR(IF($B31="Building","Buildings",INDEX(CoA_Schema[FinancialSubClass],MATCH(1,(CoA_Schema[AssetType]=$D31)*(CoA_Schema[AssetClass]=$B31)*(CoA_Schema[AssetSubClass]=$C31),0),0)),"")</f>
        <v>Traffic Signals</v>
      </c>
      <c r="P31" s="93" t="str">
        <f>IFERROR(VLOOKUP($I31,UoM!$A:$C,2,FALSE),"")</f>
        <v>Length</v>
      </c>
      <c r="Q31" s="47" t="s">
        <v>1389</v>
      </c>
      <c r="R31" s="47" t="s">
        <v>1389</v>
      </c>
      <c r="S31" s="47">
        <v>20</v>
      </c>
      <c r="T31" s="47"/>
      <c r="U31" s="47"/>
      <c r="V31" s="47"/>
      <c r="W31" s="47"/>
      <c r="X31" s="47"/>
      <c r="Y31" s="119">
        <v>45974</v>
      </c>
      <c r="Z31" s="119">
        <v>45974</v>
      </c>
      <c r="AA31" s="47" t="s">
        <v>1563</v>
      </c>
      <c r="AB31" s="47"/>
      <c r="AC31" s="56">
        <f>IFERROR(VLOOKUP("New Assets:"&amp;ROW(),'Handover Cost Report'!$A:$U,17,FALSE),"")</f>
        <v>500.37</v>
      </c>
      <c r="AD31" s="56">
        <f>IFERROR(VLOOKUP("New Assets:"&amp;ROW(),'Handover Cost Report'!$A:$U,18,FALSE),"")</f>
        <v>0</v>
      </c>
      <c r="AE31" s="56">
        <f>IFERROR(VLOOKUP("New Assets:"&amp;ROW(),'Handover Cost Report'!$A:$U,19,FALSE),"")</f>
        <v>0</v>
      </c>
    </row>
    <row r="32" spans="1:31" s="3" customFormat="1" x14ac:dyDescent="0.2">
      <c r="A32" s="159" t="s">
        <v>1396</v>
      </c>
      <c r="B32" s="47" t="s">
        <v>363</v>
      </c>
      <c r="C32" s="47" t="s">
        <v>289</v>
      </c>
      <c r="D32" s="47" t="s">
        <v>349</v>
      </c>
      <c r="E32" s="160" t="s">
        <v>1394</v>
      </c>
      <c r="F32" s="47" t="s">
        <v>1548</v>
      </c>
      <c r="G32" s="47">
        <f>VLOOKUP(A32,'[1]Z8290 New Assets_output'!$A:$C,3,FALSE)</f>
        <v>294905</v>
      </c>
      <c r="H32" s="47">
        <v>6</v>
      </c>
      <c r="I32" s="47" t="s">
        <v>244</v>
      </c>
      <c r="J32" s="163">
        <v>157.21965601965601</v>
      </c>
      <c r="K32" s="56">
        <f t="shared" si="0"/>
        <v>943.31793611793614</v>
      </c>
      <c r="L32" s="93" t="s">
        <v>130</v>
      </c>
      <c r="M32" s="93" t="s">
        <v>421</v>
      </c>
      <c r="N32" s="93" t="str">
        <f t="array" ref="N32">IFERROR(IF($B32="Building","Buildings",INDEX(CoA_Schema[FinancialClass],MATCH(1,(CoA_Schema[AssetType]=$D32)*(CoA_Schema[AssetClass]=$B32)*(CoA_Schema[AssetSubClass]=$C32),0),0)),"")</f>
        <v>Infrastructure</v>
      </c>
      <c r="O32" s="93" t="str">
        <f t="array" ref="O32">IFERROR(IF($B32="Building","Buildings",INDEX(CoA_Schema[FinancialSubClass],MATCH(1,(CoA_Schema[AssetType]=$D32)*(CoA_Schema[AssetClass]=$B32)*(CoA_Schema[AssetSubClass]=$C32),0),0)),"")</f>
        <v>Traffic Signals</v>
      </c>
      <c r="P32" s="93" t="str">
        <f>IFERROR(VLOOKUP($I32,UoM!$A:$C,2,FALSE),"")</f>
        <v>Length</v>
      </c>
      <c r="Q32" s="47" t="s">
        <v>1389</v>
      </c>
      <c r="R32" s="47" t="s">
        <v>1389</v>
      </c>
      <c r="S32" s="47">
        <v>20</v>
      </c>
      <c r="T32" s="47"/>
      <c r="U32" s="47"/>
      <c r="V32" s="47"/>
      <c r="W32" s="47"/>
      <c r="X32" s="47"/>
      <c r="Y32" s="119">
        <v>45974</v>
      </c>
      <c r="Z32" s="119">
        <v>45974</v>
      </c>
      <c r="AA32" s="47" t="s">
        <v>1563</v>
      </c>
      <c r="AB32" s="47"/>
      <c r="AC32" s="56">
        <f>IFERROR(VLOOKUP("New Assets:"&amp;ROW(),'Handover Cost Report'!$A:$U,17,FALSE),"")</f>
        <v>943.32</v>
      </c>
      <c r="AD32" s="56">
        <f>IFERROR(VLOOKUP("New Assets:"&amp;ROW(),'Handover Cost Report'!$A:$U,18,FALSE),"")</f>
        <v>0</v>
      </c>
      <c r="AE32" s="56">
        <f>IFERROR(VLOOKUP("New Assets:"&amp;ROW(),'Handover Cost Report'!$A:$U,19,FALSE),"")</f>
        <v>0</v>
      </c>
    </row>
    <row r="33" spans="1:31" s="3" customFormat="1" x14ac:dyDescent="0.2">
      <c r="A33" s="3" t="s">
        <v>1397</v>
      </c>
      <c r="B33" s="47" t="s">
        <v>363</v>
      </c>
      <c r="C33" s="47" t="s">
        <v>289</v>
      </c>
      <c r="D33" s="47" t="s">
        <v>349</v>
      </c>
      <c r="E33" s="47" t="s">
        <v>1390</v>
      </c>
      <c r="F33" s="47" t="s">
        <v>1390</v>
      </c>
      <c r="G33" s="47">
        <f>VLOOKUP(A33,'[1]Z8290 New Assets_output'!$A:$C,3,FALSE)</f>
        <v>294902</v>
      </c>
      <c r="H33" s="47">
        <v>6</v>
      </c>
      <c r="I33" s="47" t="s">
        <v>244</v>
      </c>
      <c r="J33" s="164">
        <v>0</v>
      </c>
      <c r="K33" s="56">
        <f>H33*J33</f>
        <v>0</v>
      </c>
      <c r="L33" s="93" t="s">
        <v>130</v>
      </c>
      <c r="M33" s="93" t="s">
        <v>421</v>
      </c>
      <c r="N33" s="93" t="str">
        <f t="array" ref="N33">IFERROR(IF($B33="Building","Buildings",INDEX(CoA_Schema[FinancialClass],MATCH(1,(CoA_Schema[AssetType]=$D33)*(CoA_Schema[AssetClass]=$B33)*(CoA_Schema[AssetSubClass]=$C33),0),0)),"")</f>
        <v>Infrastructure</v>
      </c>
      <c r="O33" s="93" t="str">
        <f t="array" ref="O33">IFERROR(IF($B33="Building","Buildings",INDEX(CoA_Schema[FinancialSubClass],MATCH(1,(CoA_Schema[AssetType]=$D33)*(CoA_Schema[AssetClass]=$B33)*(CoA_Schema[AssetSubClass]=$C33),0),0)),"")</f>
        <v>Traffic Signals</v>
      </c>
      <c r="P33" s="93" t="str">
        <f>IFERROR(VLOOKUP($I33,UoM!$A:$C,2,FALSE),"")</f>
        <v>Length</v>
      </c>
      <c r="Q33" s="47" t="s">
        <v>1433</v>
      </c>
      <c r="R33" s="47" t="s">
        <v>1389</v>
      </c>
      <c r="S33" s="47">
        <v>20</v>
      </c>
      <c r="T33" s="47"/>
      <c r="U33" s="47"/>
      <c r="V33" s="47"/>
      <c r="W33" s="47"/>
      <c r="X33" s="47"/>
      <c r="Y33" s="119">
        <v>45974</v>
      </c>
      <c r="Z33" s="119">
        <v>45974</v>
      </c>
      <c r="AA33" s="47" t="s">
        <v>1563</v>
      </c>
      <c r="AB33" s="162" t="s">
        <v>1430</v>
      </c>
      <c r="AC33" s="56">
        <f>IFERROR(VLOOKUP("New Assets:"&amp;ROW(),'Handover Cost Report'!$A:$U,17,FALSE),"")</f>
        <v>0</v>
      </c>
      <c r="AD33" s="56">
        <f>IFERROR(VLOOKUP("New Assets:"&amp;ROW(),'Handover Cost Report'!$A:$U,18,FALSE),"")</f>
        <v>0</v>
      </c>
      <c r="AE33" s="56">
        <f>IFERROR(VLOOKUP("New Assets:"&amp;ROW(),'Handover Cost Report'!$A:$U,19,FALSE),"")</f>
        <v>0</v>
      </c>
    </row>
    <row r="34" spans="1:31" s="3" customFormat="1" x14ac:dyDescent="0.2">
      <c r="A34" s="158" t="s">
        <v>1397</v>
      </c>
      <c r="B34" s="47" t="s">
        <v>363</v>
      </c>
      <c r="C34" s="47" t="s">
        <v>289</v>
      </c>
      <c r="D34" s="47" t="s">
        <v>349</v>
      </c>
      <c r="E34" s="154" t="s">
        <v>1393</v>
      </c>
      <c r="F34" s="47" t="s">
        <v>1549</v>
      </c>
      <c r="G34" s="47">
        <f>VLOOKUP(A34,'[1]Z8290 New Assets_output'!$A:$C,3,FALSE)</f>
        <v>294902</v>
      </c>
      <c r="H34" s="47">
        <v>6</v>
      </c>
      <c r="I34" s="47" t="s">
        <v>244</v>
      </c>
      <c r="J34" s="163">
        <v>83.394774062600149</v>
      </c>
      <c r="K34" s="56">
        <f t="shared" ref="K34:K43" si="1">H34*J34</f>
        <v>500.36864437560087</v>
      </c>
      <c r="L34" s="93" t="s">
        <v>130</v>
      </c>
      <c r="M34" s="93" t="s">
        <v>421</v>
      </c>
      <c r="N34" s="93" t="str">
        <f t="array" ref="N34">IFERROR(IF($B34="Building","Buildings",INDEX(CoA_Schema[FinancialClass],MATCH(1,(CoA_Schema[AssetType]=$D34)*(CoA_Schema[AssetClass]=$B34)*(CoA_Schema[AssetSubClass]=$C34),0),0)),"")</f>
        <v>Infrastructure</v>
      </c>
      <c r="O34" s="93" t="str">
        <f t="array" ref="O34">IFERROR(IF($B34="Building","Buildings",INDEX(CoA_Schema[FinancialSubClass],MATCH(1,(CoA_Schema[AssetType]=$D34)*(CoA_Schema[AssetClass]=$B34)*(CoA_Schema[AssetSubClass]=$C34),0),0)),"")</f>
        <v>Traffic Signals</v>
      </c>
      <c r="P34" s="93" t="str">
        <f>IFERROR(VLOOKUP($I34,UoM!$A:$C,2,FALSE),"")</f>
        <v>Length</v>
      </c>
      <c r="Q34" s="47" t="s">
        <v>1389</v>
      </c>
      <c r="R34" s="47" t="s">
        <v>1389</v>
      </c>
      <c r="S34" s="47">
        <v>20</v>
      </c>
      <c r="T34" s="47"/>
      <c r="U34" s="47"/>
      <c r="V34" s="47"/>
      <c r="W34" s="47"/>
      <c r="X34" s="47"/>
      <c r="Y34" s="119">
        <v>45974</v>
      </c>
      <c r="Z34" s="119">
        <v>45974</v>
      </c>
      <c r="AA34" s="47" t="s">
        <v>1563</v>
      </c>
      <c r="AB34" s="47"/>
      <c r="AC34" s="56">
        <f>IFERROR(VLOOKUP("New Assets:"&amp;ROW(),'Handover Cost Report'!$A:$U,17,FALSE),"")</f>
        <v>500.37</v>
      </c>
      <c r="AD34" s="56">
        <f>IFERROR(VLOOKUP("New Assets:"&amp;ROW(),'Handover Cost Report'!$A:$U,18,FALSE),"")</f>
        <v>0</v>
      </c>
      <c r="AE34" s="56">
        <f>IFERROR(VLOOKUP("New Assets:"&amp;ROW(),'Handover Cost Report'!$A:$U,19,FALSE),"")</f>
        <v>0</v>
      </c>
    </row>
    <row r="35" spans="1:31" s="3" customFormat="1" x14ac:dyDescent="0.2">
      <c r="A35" s="159" t="s">
        <v>1397</v>
      </c>
      <c r="B35" s="47" t="s">
        <v>363</v>
      </c>
      <c r="C35" s="47" t="s">
        <v>289</v>
      </c>
      <c r="D35" s="47" t="s">
        <v>349</v>
      </c>
      <c r="E35" s="160" t="s">
        <v>1394</v>
      </c>
      <c r="F35" s="47" t="s">
        <v>1548</v>
      </c>
      <c r="G35" s="47">
        <f>VLOOKUP(A35,'[1]Z8290 New Assets_output'!$A:$C,3,FALSE)</f>
        <v>294902</v>
      </c>
      <c r="H35" s="47">
        <v>6</v>
      </c>
      <c r="I35" s="47" t="s">
        <v>244</v>
      </c>
      <c r="J35" s="163">
        <v>157.21965601965601</v>
      </c>
      <c r="K35" s="56">
        <f t="shared" si="1"/>
        <v>943.31793611793614</v>
      </c>
      <c r="L35" s="93" t="s">
        <v>130</v>
      </c>
      <c r="M35" s="93" t="s">
        <v>421</v>
      </c>
      <c r="N35" s="93" t="str">
        <f t="array" ref="N35">IFERROR(IF($B35="Building","Buildings",INDEX(CoA_Schema[FinancialClass],MATCH(1,(CoA_Schema[AssetType]=$D35)*(CoA_Schema[AssetClass]=$B35)*(CoA_Schema[AssetSubClass]=$C35),0),0)),"")</f>
        <v>Infrastructure</v>
      </c>
      <c r="O35" s="93" t="str">
        <f t="array" ref="O35">IFERROR(IF($B35="Building","Buildings",INDEX(CoA_Schema[FinancialSubClass],MATCH(1,(CoA_Schema[AssetType]=$D35)*(CoA_Schema[AssetClass]=$B35)*(CoA_Schema[AssetSubClass]=$C35),0),0)),"")</f>
        <v>Traffic Signals</v>
      </c>
      <c r="P35" s="93" t="str">
        <f>IFERROR(VLOOKUP($I35,UoM!$A:$C,2,FALSE),"")</f>
        <v>Length</v>
      </c>
      <c r="Q35" s="47" t="s">
        <v>1389</v>
      </c>
      <c r="R35" s="47" t="s">
        <v>1389</v>
      </c>
      <c r="S35" s="47">
        <v>20</v>
      </c>
      <c r="T35" s="47"/>
      <c r="U35" s="47"/>
      <c r="V35" s="47"/>
      <c r="W35" s="47"/>
      <c r="X35" s="47"/>
      <c r="Y35" s="119">
        <v>45974</v>
      </c>
      <c r="Z35" s="119">
        <v>45974</v>
      </c>
      <c r="AA35" s="47" t="s">
        <v>1563</v>
      </c>
      <c r="AB35" s="47"/>
      <c r="AC35" s="56">
        <f>IFERROR(VLOOKUP("New Assets:"&amp;ROW(),'Handover Cost Report'!$A:$U,17,FALSE),"")</f>
        <v>943.32</v>
      </c>
      <c r="AD35" s="56">
        <f>IFERROR(VLOOKUP("New Assets:"&amp;ROW(),'Handover Cost Report'!$A:$U,18,FALSE),"")</f>
        <v>0</v>
      </c>
      <c r="AE35" s="56">
        <f>IFERROR(VLOOKUP("New Assets:"&amp;ROW(),'Handover Cost Report'!$A:$U,19,FALSE),"")</f>
        <v>0</v>
      </c>
    </row>
    <row r="36" spans="1:31" s="3" customFormat="1" ht="16.899999999999999" customHeight="1" x14ac:dyDescent="0.2">
      <c r="A36" s="156" t="s">
        <v>1398</v>
      </c>
      <c r="B36" s="47" t="s">
        <v>363</v>
      </c>
      <c r="C36" s="47" t="s">
        <v>289</v>
      </c>
      <c r="D36" s="47" t="s">
        <v>349</v>
      </c>
      <c r="E36" s="157" t="s">
        <v>1391</v>
      </c>
      <c r="F36" s="47" t="s">
        <v>1547</v>
      </c>
      <c r="G36" s="47">
        <f>VLOOKUP(A36,'[1]Z8290 New Assets_output'!$A:$C,3,FALSE)</f>
        <v>294904</v>
      </c>
      <c r="H36" s="47">
        <v>1</v>
      </c>
      <c r="I36" s="47" t="s">
        <v>244</v>
      </c>
      <c r="J36" s="163">
        <v>83.394774062600149</v>
      </c>
      <c r="K36" s="56">
        <f t="shared" si="1"/>
        <v>83.394774062600149</v>
      </c>
      <c r="L36" s="93" t="s">
        <v>130</v>
      </c>
      <c r="M36" s="93" t="s">
        <v>421</v>
      </c>
      <c r="N36" s="93" t="str">
        <f t="array" ref="N36">IFERROR(IF($B36="Building","Buildings",INDEX(CoA_Schema[FinancialClass],MATCH(1,(CoA_Schema[AssetType]=$D36)*(CoA_Schema[AssetClass]=$B36)*(CoA_Schema[AssetSubClass]=$C36),0),0)),"")</f>
        <v>Infrastructure</v>
      </c>
      <c r="O36" s="93" t="str">
        <f t="array" ref="O36">IFERROR(IF($B36="Building","Buildings",INDEX(CoA_Schema[FinancialSubClass],MATCH(1,(CoA_Schema[AssetType]=$D36)*(CoA_Schema[AssetClass]=$B36)*(CoA_Schema[AssetSubClass]=$C36),0),0)),"")</f>
        <v>Traffic Signals</v>
      </c>
      <c r="P36" s="93" t="str">
        <f>IFERROR(VLOOKUP($I36,UoM!$A:$C,2,FALSE),"")</f>
        <v>Length</v>
      </c>
      <c r="Q36" s="47" t="s">
        <v>1389</v>
      </c>
      <c r="R36" s="47" t="s">
        <v>1389</v>
      </c>
      <c r="S36" s="47">
        <v>20</v>
      </c>
      <c r="T36" s="47"/>
      <c r="U36" s="47"/>
      <c r="V36" s="47"/>
      <c r="W36" s="47"/>
      <c r="X36" s="47"/>
      <c r="Y36" s="119">
        <v>45974</v>
      </c>
      <c r="Z36" s="119">
        <v>45974</v>
      </c>
      <c r="AA36" s="47" t="s">
        <v>1563</v>
      </c>
      <c r="AB36" s="47"/>
      <c r="AC36" s="56">
        <f>IFERROR(VLOOKUP("New Assets:"&amp;ROW(),'Handover Cost Report'!$A:$U,17,FALSE),"")</f>
        <v>83.39</v>
      </c>
      <c r="AD36" s="56">
        <f>IFERROR(VLOOKUP("New Assets:"&amp;ROW(),'Handover Cost Report'!$A:$U,18,FALSE),"")</f>
        <v>0</v>
      </c>
      <c r="AE36" s="56">
        <f>IFERROR(VLOOKUP("New Assets:"&amp;ROW(),'Handover Cost Report'!$A:$U,19,FALSE),"")</f>
        <v>0</v>
      </c>
    </row>
    <row r="37" spans="1:31" s="3" customFormat="1" x14ac:dyDescent="0.2">
      <c r="A37" s="3" t="s">
        <v>1398</v>
      </c>
      <c r="B37" s="47" t="s">
        <v>363</v>
      </c>
      <c r="C37" s="47" t="s">
        <v>289</v>
      </c>
      <c r="D37" s="47" t="s">
        <v>349</v>
      </c>
      <c r="E37" s="47" t="s">
        <v>1390</v>
      </c>
      <c r="F37" s="47" t="s">
        <v>1390</v>
      </c>
      <c r="G37" s="47">
        <f>VLOOKUP(A37,'[1]Z8290 New Assets_output'!$A:$C,3,FALSE)</f>
        <v>294904</v>
      </c>
      <c r="H37" s="47">
        <v>1</v>
      </c>
      <c r="I37" s="47" t="s">
        <v>244</v>
      </c>
      <c r="J37" s="164">
        <v>0</v>
      </c>
      <c r="K37" s="56">
        <f t="shared" si="1"/>
        <v>0</v>
      </c>
      <c r="L37" s="93" t="s">
        <v>130</v>
      </c>
      <c r="M37" s="93" t="s">
        <v>421</v>
      </c>
      <c r="N37" s="93" t="str">
        <f t="array" ref="N37">IFERROR(IF($B37="Building","Buildings",INDEX(CoA_Schema[FinancialClass],MATCH(1,(CoA_Schema[AssetType]=$D37)*(CoA_Schema[AssetClass]=$B37)*(CoA_Schema[AssetSubClass]=$C37),0),0)),"")</f>
        <v>Infrastructure</v>
      </c>
      <c r="O37" s="93" t="str">
        <f t="array" ref="O37">IFERROR(IF($B37="Building","Buildings",INDEX(CoA_Schema[FinancialSubClass],MATCH(1,(CoA_Schema[AssetType]=$D37)*(CoA_Schema[AssetClass]=$B37)*(CoA_Schema[AssetSubClass]=$C37),0),0)),"")</f>
        <v>Traffic Signals</v>
      </c>
      <c r="P37" s="93" t="str">
        <f>IFERROR(VLOOKUP($I37,UoM!$A:$C,2,FALSE),"")</f>
        <v>Length</v>
      </c>
      <c r="Q37" s="47" t="s">
        <v>1433</v>
      </c>
      <c r="R37" s="47" t="s">
        <v>1389</v>
      </c>
      <c r="S37" s="47">
        <v>20</v>
      </c>
      <c r="T37" s="47"/>
      <c r="U37" s="47"/>
      <c r="V37" s="47"/>
      <c r="W37" s="47"/>
      <c r="X37" s="47"/>
      <c r="Y37" s="119">
        <v>45974</v>
      </c>
      <c r="Z37" s="119">
        <v>45974</v>
      </c>
      <c r="AA37" s="47" t="s">
        <v>1563</v>
      </c>
      <c r="AB37" s="162" t="s">
        <v>1430</v>
      </c>
      <c r="AC37" s="56">
        <f>IFERROR(VLOOKUP("New Assets:"&amp;ROW(),'Handover Cost Report'!$A:$U,17,FALSE),"")</f>
        <v>0</v>
      </c>
      <c r="AD37" s="56">
        <f>IFERROR(VLOOKUP("New Assets:"&amp;ROW(),'Handover Cost Report'!$A:$U,18,FALSE),"")</f>
        <v>0</v>
      </c>
      <c r="AE37" s="56">
        <f>IFERROR(VLOOKUP("New Assets:"&amp;ROW(),'Handover Cost Report'!$A:$U,19,FALSE),"")</f>
        <v>0</v>
      </c>
    </row>
    <row r="38" spans="1:31" s="3" customFormat="1" x14ac:dyDescent="0.2">
      <c r="A38" s="3" t="s">
        <v>1399</v>
      </c>
      <c r="B38" s="47" t="s">
        <v>363</v>
      </c>
      <c r="C38" s="47" t="s">
        <v>289</v>
      </c>
      <c r="D38" s="47" t="s">
        <v>349</v>
      </c>
      <c r="E38" s="47" t="s">
        <v>1390</v>
      </c>
      <c r="F38" s="47" t="s">
        <v>1390</v>
      </c>
      <c r="G38" s="47">
        <f>VLOOKUP(A38,'[1]Z8290 New Assets_output'!$A:$C,3,FALSE)</f>
        <v>294903</v>
      </c>
      <c r="H38" s="47">
        <v>25</v>
      </c>
      <c r="I38" s="47" t="s">
        <v>244</v>
      </c>
      <c r="J38" s="164">
        <v>0</v>
      </c>
      <c r="K38" s="56">
        <f>H38*J38</f>
        <v>0</v>
      </c>
      <c r="L38" s="93" t="s">
        <v>130</v>
      </c>
      <c r="M38" s="93" t="s">
        <v>421</v>
      </c>
      <c r="N38" s="93" t="str">
        <f t="array" ref="N38">IFERROR(IF($B38="Building","Buildings",INDEX(CoA_Schema[FinancialClass],MATCH(1,(CoA_Schema[AssetType]=$D38)*(CoA_Schema[AssetClass]=$B38)*(CoA_Schema[AssetSubClass]=$C38),0),0)),"")</f>
        <v>Infrastructure</v>
      </c>
      <c r="O38" s="93" t="str">
        <f t="array" ref="O38">IFERROR(IF($B38="Building","Buildings",INDEX(CoA_Schema[FinancialSubClass],MATCH(1,(CoA_Schema[AssetType]=$D38)*(CoA_Schema[AssetClass]=$B38)*(CoA_Schema[AssetSubClass]=$C38),0),0)),"")</f>
        <v>Traffic Signals</v>
      </c>
      <c r="P38" s="93" t="str">
        <f>IFERROR(VLOOKUP($I38,UoM!$A:$C,2,FALSE),"")</f>
        <v>Length</v>
      </c>
      <c r="Q38" s="47" t="s">
        <v>1433</v>
      </c>
      <c r="R38" s="47" t="s">
        <v>1389</v>
      </c>
      <c r="S38" s="47">
        <v>20</v>
      </c>
      <c r="T38" s="47"/>
      <c r="U38" s="47"/>
      <c r="V38" s="47"/>
      <c r="W38" s="47"/>
      <c r="X38" s="47"/>
      <c r="Y38" s="119">
        <v>45974</v>
      </c>
      <c r="Z38" s="119">
        <v>45974</v>
      </c>
      <c r="AA38" s="47" t="s">
        <v>1563</v>
      </c>
      <c r="AB38" s="162" t="s">
        <v>1430</v>
      </c>
      <c r="AC38" s="56">
        <f>IFERROR(VLOOKUP("New Assets:"&amp;ROW(),'Handover Cost Report'!$A:$U,17,FALSE),"")</f>
        <v>0</v>
      </c>
      <c r="AD38" s="56">
        <f>IFERROR(VLOOKUP("New Assets:"&amp;ROW(),'Handover Cost Report'!$A:$U,18,FALSE),"")</f>
        <v>0</v>
      </c>
      <c r="AE38" s="56">
        <f>IFERROR(VLOOKUP("New Assets:"&amp;ROW(),'Handover Cost Report'!$A:$U,19,FALSE),"")</f>
        <v>0</v>
      </c>
    </row>
    <row r="39" spans="1:31" s="3" customFormat="1" x14ac:dyDescent="0.2">
      <c r="A39" s="158" t="s">
        <v>1399</v>
      </c>
      <c r="B39" s="47" t="s">
        <v>363</v>
      </c>
      <c r="C39" s="47" t="s">
        <v>289</v>
      </c>
      <c r="D39" s="47" t="s">
        <v>349</v>
      </c>
      <c r="E39" s="154" t="s">
        <v>1393</v>
      </c>
      <c r="F39" s="47" t="s">
        <v>1549</v>
      </c>
      <c r="G39" s="47">
        <f>VLOOKUP(A39,'[1]Z8290 New Assets_output'!$A:$C,3,FALSE)</f>
        <v>294903</v>
      </c>
      <c r="H39" s="47">
        <v>25</v>
      </c>
      <c r="I39" s="47" t="s">
        <v>244</v>
      </c>
      <c r="J39" s="163">
        <v>83.394774062600149</v>
      </c>
      <c r="K39" s="56">
        <f t="shared" si="1"/>
        <v>2084.8693515650039</v>
      </c>
      <c r="L39" s="93" t="s">
        <v>130</v>
      </c>
      <c r="M39" s="93" t="s">
        <v>421</v>
      </c>
      <c r="N39" s="93" t="str">
        <f t="array" ref="N39">IFERROR(IF($B39="Building","Buildings",INDEX(CoA_Schema[FinancialClass],MATCH(1,(CoA_Schema[AssetType]=$D39)*(CoA_Schema[AssetClass]=$B39)*(CoA_Schema[AssetSubClass]=$C39),0),0)),"")</f>
        <v>Infrastructure</v>
      </c>
      <c r="O39" s="93" t="str">
        <f t="array" ref="O39">IFERROR(IF($B39="Building","Buildings",INDEX(CoA_Schema[FinancialSubClass],MATCH(1,(CoA_Schema[AssetType]=$D39)*(CoA_Schema[AssetClass]=$B39)*(CoA_Schema[AssetSubClass]=$C39),0),0)),"")</f>
        <v>Traffic Signals</v>
      </c>
      <c r="P39" s="93" t="str">
        <f>IFERROR(VLOOKUP($I39,UoM!$A:$C,2,FALSE),"")</f>
        <v>Length</v>
      </c>
      <c r="Q39" s="47" t="s">
        <v>1389</v>
      </c>
      <c r="R39" s="47" t="s">
        <v>1389</v>
      </c>
      <c r="S39" s="47">
        <v>20</v>
      </c>
      <c r="T39" s="47"/>
      <c r="U39" s="47"/>
      <c r="V39" s="47"/>
      <c r="W39" s="47"/>
      <c r="X39" s="47"/>
      <c r="Y39" s="119">
        <v>45974</v>
      </c>
      <c r="Z39" s="119">
        <v>45974</v>
      </c>
      <c r="AA39" s="47" t="s">
        <v>1563</v>
      </c>
      <c r="AB39" s="47"/>
      <c r="AC39" s="56">
        <f>IFERROR(VLOOKUP("New Assets:"&amp;ROW(),'Handover Cost Report'!$A:$U,17,FALSE),"")</f>
        <v>2084.87</v>
      </c>
      <c r="AD39" s="56">
        <f>IFERROR(VLOOKUP("New Assets:"&amp;ROW(),'Handover Cost Report'!$A:$U,18,FALSE),"")</f>
        <v>0</v>
      </c>
      <c r="AE39" s="56">
        <f>IFERROR(VLOOKUP("New Assets:"&amp;ROW(),'Handover Cost Report'!$A:$U,19,FALSE),"")</f>
        <v>0</v>
      </c>
    </row>
    <row r="40" spans="1:31" s="3" customFormat="1" x14ac:dyDescent="0.2">
      <c r="A40" s="159" t="s">
        <v>1399</v>
      </c>
      <c r="B40" s="47" t="s">
        <v>363</v>
      </c>
      <c r="C40" s="47" t="s">
        <v>289</v>
      </c>
      <c r="D40" s="47" t="s">
        <v>349</v>
      </c>
      <c r="E40" s="160" t="s">
        <v>1394</v>
      </c>
      <c r="F40" s="47" t="s">
        <v>1548</v>
      </c>
      <c r="G40" s="47">
        <f>VLOOKUP(A40,'[1]Z8290 New Assets_output'!$A:$C,3,FALSE)</f>
        <v>294903</v>
      </c>
      <c r="H40" s="47">
        <v>25</v>
      </c>
      <c r="I40" s="47" t="s">
        <v>244</v>
      </c>
      <c r="J40" s="163">
        <v>157.21965601965601</v>
      </c>
      <c r="K40" s="56">
        <f t="shared" si="1"/>
        <v>3930.4914004914003</v>
      </c>
      <c r="L40" s="93" t="s">
        <v>130</v>
      </c>
      <c r="M40" s="93" t="s">
        <v>421</v>
      </c>
      <c r="N40" s="93" t="str">
        <f t="array" ref="N40">IFERROR(IF($B40="Building","Buildings",INDEX(CoA_Schema[FinancialClass],MATCH(1,(CoA_Schema[AssetType]=$D40)*(CoA_Schema[AssetClass]=$B40)*(CoA_Schema[AssetSubClass]=$C40),0),0)),"")</f>
        <v>Infrastructure</v>
      </c>
      <c r="O40" s="93" t="str">
        <f t="array" ref="O40">IFERROR(IF($B40="Building","Buildings",INDEX(CoA_Schema[FinancialSubClass],MATCH(1,(CoA_Schema[AssetType]=$D40)*(CoA_Schema[AssetClass]=$B40)*(CoA_Schema[AssetSubClass]=$C40),0),0)),"")</f>
        <v>Traffic Signals</v>
      </c>
      <c r="P40" s="93" t="str">
        <f>IFERROR(VLOOKUP($I40,UoM!$A:$C,2,FALSE),"")</f>
        <v>Length</v>
      </c>
      <c r="Q40" s="47" t="s">
        <v>1389</v>
      </c>
      <c r="R40" s="47" t="s">
        <v>1389</v>
      </c>
      <c r="S40" s="47">
        <v>20</v>
      </c>
      <c r="T40" s="47"/>
      <c r="U40" s="47"/>
      <c r="V40" s="47"/>
      <c r="W40" s="47"/>
      <c r="X40" s="47"/>
      <c r="Y40" s="119">
        <v>45974</v>
      </c>
      <c r="Z40" s="119">
        <v>45974</v>
      </c>
      <c r="AA40" s="47" t="s">
        <v>1563</v>
      </c>
      <c r="AB40" s="47"/>
      <c r="AC40" s="56">
        <f>IFERROR(VLOOKUP("New Assets:"&amp;ROW(),'Handover Cost Report'!$A:$U,17,FALSE),"")</f>
        <v>3930.49</v>
      </c>
      <c r="AD40" s="56">
        <f>IFERROR(VLOOKUP("New Assets:"&amp;ROW(),'Handover Cost Report'!$A:$U,18,FALSE),"")</f>
        <v>0</v>
      </c>
      <c r="AE40" s="56">
        <f>IFERROR(VLOOKUP("New Assets:"&amp;ROW(),'Handover Cost Report'!$A:$U,19,FALSE),"")</f>
        <v>0</v>
      </c>
    </row>
    <row r="41" spans="1:31" s="3" customFormat="1" x14ac:dyDescent="0.2">
      <c r="A41" s="3" t="s">
        <v>1400</v>
      </c>
      <c r="B41" s="47" t="s">
        <v>363</v>
      </c>
      <c r="C41" s="47" t="s">
        <v>289</v>
      </c>
      <c r="D41" s="47" t="s">
        <v>349</v>
      </c>
      <c r="E41" s="47" t="s">
        <v>1390</v>
      </c>
      <c r="F41" s="47" t="s">
        <v>1390</v>
      </c>
      <c r="G41" s="47">
        <f>VLOOKUP(A41,'[1]Z8290 New Assets_output'!$A:$C,3,FALSE)</f>
        <v>294909</v>
      </c>
      <c r="H41" s="47">
        <v>25</v>
      </c>
      <c r="I41" s="47" t="s">
        <v>244</v>
      </c>
      <c r="J41" s="164">
        <v>0</v>
      </c>
      <c r="K41" s="56">
        <f t="shared" si="1"/>
        <v>0</v>
      </c>
      <c r="L41" s="93" t="s">
        <v>130</v>
      </c>
      <c r="M41" s="93" t="s">
        <v>421</v>
      </c>
      <c r="N41" s="93" t="str">
        <f t="array" ref="N41">IFERROR(IF($B41="Building","Buildings",INDEX(CoA_Schema[FinancialClass],MATCH(1,(CoA_Schema[AssetType]=$D41)*(CoA_Schema[AssetClass]=$B41)*(CoA_Schema[AssetSubClass]=$C41),0),0)),"")</f>
        <v>Infrastructure</v>
      </c>
      <c r="O41" s="93" t="str">
        <f t="array" ref="O41">IFERROR(IF($B41="Building","Buildings",INDEX(CoA_Schema[FinancialSubClass],MATCH(1,(CoA_Schema[AssetType]=$D41)*(CoA_Schema[AssetClass]=$B41)*(CoA_Schema[AssetSubClass]=$C41),0),0)),"")</f>
        <v>Traffic Signals</v>
      </c>
      <c r="P41" s="93" t="str">
        <f>IFERROR(VLOOKUP($I41,UoM!$A:$C,2,FALSE),"")</f>
        <v>Length</v>
      </c>
      <c r="Q41" s="47" t="s">
        <v>1433</v>
      </c>
      <c r="R41" s="47" t="s">
        <v>1389</v>
      </c>
      <c r="S41" s="47">
        <v>20</v>
      </c>
      <c r="T41" s="47"/>
      <c r="U41" s="47"/>
      <c r="V41" s="47"/>
      <c r="W41" s="47"/>
      <c r="X41" s="47"/>
      <c r="Y41" s="119">
        <v>45974</v>
      </c>
      <c r="Z41" s="119">
        <v>45974</v>
      </c>
      <c r="AA41" s="47" t="s">
        <v>1563</v>
      </c>
      <c r="AB41" s="162" t="s">
        <v>1430</v>
      </c>
      <c r="AC41" s="56">
        <f>IFERROR(VLOOKUP("New Assets:"&amp;ROW(),'Handover Cost Report'!$A:$U,17,FALSE),"")</f>
        <v>0</v>
      </c>
      <c r="AD41" s="56">
        <f>IFERROR(VLOOKUP("New Assets:"&amp;ROW(),'Handover Cost Report'!$A:$U,18,FALSE),"")</f>
        <v>0</v>
      </c>
      <c r="AE41" s="56">
        <f>IFERROR(VLOOKUP("New Assets:"&amp;ROW(),'Handover Cost Report'!$A:$U,19,FALSE),"")</f>
        <v>0</v>
      </c>
    </row>
    <row r="42" spans="1:31" s="3" customFormat="1" x14ac:dyDescent="0.2">
      <c r="A42" s="158" t="s">
        <v>1400</v>
      </c>
      <c r="B42" s="47" t="s">
        <v>363</v>
      </c>
      <c r="C42" s="47" t="s">
        <v>289</v>
      </c>
      <c r="D42" s="47" t="s">
        <v>349</v>
      </c>
      <c r="E42" s="154" t="s">
        <v>1393</v>
      </c>
      <c r="F42" s="47" t="s">
        <v>1549</v>
      </c>
      <c r="G42" s="47">
        <f>VLOOKUP(A42,'[1]Z8290 New Assets_output'!$A:$C,3,FALSE)</f>
        <v>294909</v>
      </c>
      <c r="H42" s="47">
        <v>25</v>
      </c>
      <c r="I42" s="47" t="s">
        <v>244</v>
      </c>
      <c r="J42" s="163">
        <v>83.394774062600149</v>
      </c>
      <c r="K42" s="56">
        <f t="shared" si="1"/>
        <v>2084.8693515650039</v>
      </c>
      <c r="L42" s="93" t="s">
        <v>130</v>
      </c>
      <c r="M42" s="93" t="s">
        <v>421</v>
      </c>
      <c r="N42" s="93" t="str">
        <f t="array" ref="N42">IFERROR(IF($B42="Building","Buildings",INDEX(CoA_Schema[FinancialClass],MATCH(1,(CoA_Schema[AssetType]=$D42)*(CoA_Schema[AssetClass]=$B42)*(CoA_Schema[AssetSubClass]=$C42),0),0)),"")</f>
        <v>Infrastructure</v>
      </c>
      <c r="O42" s="93" t="str">
        <f t="array" ref="O42">IFERROR(IF($B42="Building","Buildings",INDEX(CoA_Schema[FinancialSubClass],MATCH(1,(CoA_Schema[AssetType]=$D42)*(CoA_Schema[AssetClass]=$B42)*(CoA_Schema[AssetSubClass]=$C42),0),0)),"")</f>
        <v>Traffic Signals</v>
      </c>
      <c r="P42" s="93" t="str">
        <f>IFERROR(VLOOKUP($I42,UoM!$A:$C,2,FALSE),"")</f>
        <v>Length</v>
      </c>
      <c r="Q42" s="47" t="s">
        <v>1389</v>
      </c>
      <c r="R42" s="47" t="s">
        <v>1389</v>
      </c>
      <c r="S42" s="47">
        <v>20</v>
      </c>
      <c r="T42" s="47"/>
      <c r="U42" s="47"/>
      <c r="V42" s="47"/>
      <c r="W42" s="47"/>
      <c r="X42" s="47"/>
      <c r="Y42" s="119">
        <v>45974</v>
      </c>
      <c r="Z42" s="119">
        <v>45974</v>
      </c>
      <c r="AA42" s="47" t="s">
        <v>1563</v>
      </c>
      <c r="AB42" s="47"/>
      <c r="AC42" s="56">
        <f>IFERROR(VLOOKUP("New Assets:"&amp;ROW(),'Handover Cost Report'!$A:$U,17,FALSE),"")</f>
        <v>2084.87</v>
      </c>
      <c r="AD42" s="56">
        <f>IFERROR(VLOOKUP("New Assets:"&amp;ROW(),'Handover Cost Report'!$A:$U,18,FALSE),"")</f>
        <v>0</v>
      </c>
      <c r="AE42" s="56">
        <f>IFERROR(VLOOKUP("New Assets:"&amp;ROW(),'Handover Cost Report'!$A:$U,19,FALSE),"")</f>
        <v>0</v>
      </c>
    </row>
    <row r="43" spans="1:31" s="3" customFormat="1" x14ac:dyDescent="0.2">
      <c r="A43" s="159" t="s">
        <v>1400</v>
      </c>
      <c r="B43" s="47" t="s">
        <v>363</v>
      </c>
      <c r="C43" s="47" t="s">
        <v>289</v>
      </c>
      <c r="D43" s="47" t="s">
        <v>349</v>
      </c>
      <c r="E43" s="160" t="s">
        <v>1394</v>
      </c>
      <c r="F43" s="47" t="s">
        <v>1548</v>
      </c>
      <c r="G43" s="47">
        <f>VLOOKUP(A43,'[1]Z8290 New Assets_output'!$A:$C,3,FALSE)</f>
        <v>294909</v>
      </c>
      <c r="H43" s="47">
        <v>25</v>
      </c>
      <c r="I43" s="47" t="s">
        <v>244</v>
      </c>
      <c r="J43" s="163">
        <v>157.21965601965601</v>
      </c>
      <c r="K43" s="56">
        <f t="shared" si="1"/>
        <v>3930.4914004914003</v>
      </c>
      <c r="L43" s="93" t="s">
        <v>130</v>
      </c>
      <c r="M43" s="93" t="s">
        <v>421</v>
      </c>
      <c r="N43" s="93" t="str">
        <f t="array" ref="N43">IFERROR(IF($B43="Building","Buildings",INDEX(CoA_Schema[FinancialClass],MATCH(1,(CoA_Schema[AssetType]=$D43)*(CoA_Schema[AssetClass]=$B43)*(CoA_Schema[AssetSubClass]=$C43),0),0)),"")</f>
        <v>Infrastructure</v>
      </c>
      <c r="O43" s="93" t="str">
        <f t="array" ref="O43">IFERROR(IF($B43="Building","Buildings",INDEX(CoA_Schema[FinancialSubClass],MATCH(1,(CoA_Schema[AssetType]=$D43)*(CoA_Schema[AssetClass]=$B43)*(CoA_Schema[AssetSubClass]=$C43),0),0)),"")</f>
        <v>Traffic Signals</v>
      </c>
      <c r="P43" s="93" t="str">
        <f>IFERROR(VLOOKUP($I43,UoM!$A:$C,2,FALSE),"")</f>
        <v>Length</v>
      </c>
      <c r="Q43" s="47" t="s">
        <v>1389</v>
      </c>
      <c r="R43" s="47" t="s">
        <v>1389</v>
      </c>
      <c r="S43" s="47">
        <v>20</v>
      </c>
      <c r="T43" s="47"/>
      <c r="U43" s="47"/>
      <c r="V43" s="47"/>
      <c r="W43" s="47"/>
      <c r="X43" s="47"/>
      <c r="Y43" s="119">
        <v>45974</v>
      </c>
      <c r="Z43" s="119">
        <v>45974</v>
      </c>
      <c r="AA43" s="47" t="s">
        <v>1563</v>
      </c>
      <c r="AB43" s="47"/>
      <c r="AC43" s="56">
        <f>IFERROR(VLOOKUP("New Assets:"&amp;ROW(),'Handover Cost Report'!$A:$U,17,FALSE),"")</f>
        <v>3930.49</v>
      </c>
      <c r="AD43" s="56">
        <f>IFERROR(VLOOKUP("New Assets:"&amp;ROW(),'Handover Cost Report'!$A:$U,18,FALSE),"")</f>
        <v>0</v>
      </c>
      <c r="AE43" s="56">
        <f>IFERROR(VLOOKUP("New Assets:"&amp;ROW(),'Handover Cost Report'!$A:$U,19,FALSE),"")</f>
        <v>0</v>
      </c>
    </row>
    <row r="44" spans="1:31" s="3" customFormat="1" x14ac:dyDescent="0.2">
      <c r="A44" s="3" t="s">
        <v>1401</v>
      </c>
      <c r="B44" s="47" t="s">
        <v>363</v>
      </c>
      <c r="C44" s="47" t="s">
        <v>289</v>
      </c>
      <c r="D44" s="47" t="s">
        <v>349</v>
      </c>
      <c r="E44" s="47" t="s">
        <v>1390</v>
      </c>
      <c r="F44" s="47" t="s">
        <v>1390</v>
      </c>
      <c r="G44" s="47">
        <f>VLOOKUP(A44,'[1]Z8290 New Assets_output'!$A:$C,3,FALSE)</f>
        <v>294910</v>
      </c>
      <c r="H44" s="47">
        <v>25</v>
      </c>
      <c r="I44" s="47" t="s">
        <v>244</v>
      </c>
      <c r="J44" s="164">
        <v>0</v>
      </c>
      <c r="K44" s="56">
        <f>H44*J44</f>
        <v>0</v>
      </c>
      <c r="L44" s="93" t="s">
        <v>130</v>
      </c>
      <c r="M44" s="93" t="s">
        <v>421</v>
      </c>
      <c r="N44" s="93" t="str">
        <f t="array" ref="N44">IFERROR(IF($B44="Building","Buildings",INDEX(CoA_Schema[FinancialClass],MATCH(1,(CoA_Schema[AssetType]=$D44)*(CoA_Schema[AssetClass]=$B44)*(CoA_Schema[AssetSubClass]=$C44),0),0)),"")</f>
        <v>Infrastructure</v>
      </c>
      <c r="O44" s="93" t="str">
        <f t="array" ref="O44">IFERROR(IF($B44="Building","Buildings",INDEX(CoA_Schema[FinancialSubClass],MATCH(1,(CoA_Schema[AssetType]=$D44)*(CoA_Schema[AssetClass]=$B44)*(CoA_Schema[AssetSubClass]=$C44),0),0)),"")</f>
        <v>Traffic Signals</v>
      </c>
      <c r="P44" s="93" t="str">
        <f>IFERROR(VLOOKUP($I44,UoM!$A:$C,2,FALSE),"")</f>
        <v>Length</v>
      </c>
      <c r="Q44" s="47" t="s">
        <v>1433</v>
      </c>
      <c r="R44" s="47" t="s">
        <v>1389</v>
      </c>
      <c r="S44" s="47">
        <v>20</v>
      </c>
      <c r="T44" s="47"/>
      <c r="U44" s="47"/>
      <c r="V44" s="47"/>
      <c r="W44" s="47"/>
      <c r="X44" s="47"/>
      <c r="Y44" s="119">
        <v>45974</v>
      </c>
      <c r="Z44" s="119">
        <v>45974</v>
      </c>
      <c r="AA44" s="47" t="s">
        <v>1563</v>
      </c>
      <c r="AB44" s="162" t="s">
        <v>1430</v>
      </c>
      <c r="AC44" s="56">
        <f>IFERROR(VLOOKUP("New Assets:"&amp;ROW(),'Handover Cost Report'!$A:$U,17,FALSE),"")</f>
        <v>0</v>
      </c>
      <c r="AD44" s="56">
        <f>IFERROR(VLOOKUP("New Assets:"&amp;ROW(),'Handover Cost Report'!$A:$U,18,FALSE),"")</f>
        <v>0</v>
      </c>
      <c r="AE44" s="56">
        <f>IFERROR(VLOOKUP("New Assets:"&amp;ROW(),'Handover Cost Report'!$A:$U,19,FALSE),"")</f>
        <v>0</v>
      </c>
    </row>
    <row r="45" spans="1:31" s="3" customFormat="1" x14ac:dyDescent="0.2">
      <c r="A45" s="158" t="s">
        <v>1401</v>
      </c>
      <c r="B45" s="47" t="s">
        <v>363</v>
      </c>
      <c r="C45" s="47" t="s">
        <v>289</v>
      </c>
      <c r="D45" s="47" t="s">
        <v>349</v>
      </c>
      <c r="E45" s="154" t="s">
        <v>1393</v>
      </c>
      <c r="F45" s="47" t="s">
        <v>1549</v>
      </c>
      <c r="G45" s="47">
        <f>VLOOKUP(A45,'[1]Z8290 New Assets_output'!$A:$C,3,FALSE)</f>
        <v>294910</v>
      </c>
      <c r="H45" s="47">
        <v>25</v>
      </c>
      <c r="I45" s="47" t="s">
        <v>244</v>
      </c>
      <c r="J45" s="163">
        <v>83.394774062600149</v>
      </c>
      <c r="K45" s="56">
        <f t="shared" ref="K45:K47" si="2">H45*J45</f>
        <v>2084.8693515650039</v>
      </c>
      <c r="L45" s="93" t="s">
        <v>130</v>
      </c>
      <c r="M45" s="93" t="s">
        <v>421</v>
      </c>
      <c r="N45" s="93" t="str">
        <f t="array" ref="N45">IFERROR(IF($B45="Building","Buildings",INDEX(CoA_Schema[FinancialClass],MATCH(1,(CoA_Schema[AssetType]=$D45)*(CoA_Schema[AssetClass]=$B45)*(CoA_Schema[AssetSubClass]=$C45),0),0)),"")</f>
        <v>Infrastructure</v>
      </c>
      <c r="O45" s="93" t="str">
        <f t="array" ref="O45">IFERROR(IF($B45="Building","Buildings",INDEX(CoA_Schema[FinancialSubClass],MATCH(1,(CoA_Schema[AssetType]=$D45)*(CoA_Schema[AssetClass]=$B45)*(CoA_Schema[AssetSubClass]=$C45),0),0)),"")</f>
        <v>Traffic Signals</v>
      </c>
      <c r="P45" s="93" t="str">
        <f>IFERROR(VLOOKUP($I45,UoM!$A:$C,2,FALSE),"")</f>
        <v>Length</v>
      </c>
      <c r="Q45" s="47" t="s">
        <v>1389</v>
      </c>
      <c r="R45" s="47" t="s">
        <v>1389</v>
      </c>
      <c r="S45" s="47">
        <v>20</v>
      </c>
      <c r="T45" s="47"/>
      <c r="U45" s="47"/>
      <c r="V45" s="47"/>
      <c r="W45" s="47"/>
      <c r="X45" s="47"/>
      <c r="Y45" s="119">
        <v>45974</v>
      </c>
      <c r="Z45" s="119">
        <v>45974</v>
      </c>
      <c r="AA45" s="47" t="s">
        <v>1563</v>
      </c>
      <c r="AB45" s="47"/>
      <c r="AC45" s="56">
        <f>IFERROR(VLOOKUP("New Assets:"&amp;ROW(),'Handover Cost Report'!$A:$U,17,FALSE),"")</f>
        <v>2084.87</v>
      </c>
      <c r="AD45" s="56">
        <f>IFERROR(VLOOKUP("New Assets:"&amp;ROW(),'Handover Cost Report'!$A:$U,18,FALSE),"")</f>
        <v>0</v>
      </c>
      <c r="AE45" s="56">
        <f>IFERROR(VLOOKUP("New Assets:"&amp;ROW(),'Handover Cost Report'!$A:$U,19,FALSE),"")</f>
        <v>0</v>
      </c>
    </row>
    <row r="46" spans="1:31" s="3" customFormat="1" x14ac:dyDescent="0.2">
      <c r="A46" s="159" t="s">
        <v>1401</v>
      </c>
      <c r="B46" s="47" t="s">
        <v>363</v>
      </c>
      <c r="C46" s="47" t="s">
        <v>289</v>
      </c>
      <c r="D46" s="47" t="s">
        <v>349</v>
      </c>
      <c r="E46" s="160" t="s">
        <v>1394</v>
      </c>
      <c r="F46" s="47" t="s">
        <v>1548</v>
      </c>
      <c r="G46" s="47">
        <f>VLOOKUP(A46,'[1]Z8290 New Assets_output'!$A:$C,3,FALSE)</f>
        <v>294910</v>
      </c>
      <c r="H46" s="47">
        <v>25</v>
      </c>
      <c r="I46" s="47" t="s">
        <v>244</v>
      </c>
      <c r="J46" s="163">
        <v>157.21965601965601</v>
      </c>
      <c r="K46" s="56">
        <f t="shared" si="2"/>
        <v>3930.4914004914003</v>
      </c>
      <c r="L46" s="93" t="s">
        <v>130</v>
      </c>
      <c r="M46" s="93" t="s">
        <v>421</v>
      </c>
      <c r="N46" s="93" t="str">
        <f t="array" ref="N46">IFERROR(IF($B46="Building","Buildings",INDEX(CoA_Schema[FinancialClass],MATCH(1,(CoA_Schema[AssetType]=$D46)*(CoA_Schema[AssetClass]=$B46)*(CoA_Schema[AssetSubClass]=$C46),0),0)),"")</f>
        <v>Infrastructure</v>
      </c>
      <c r="O46" s="93" t="str">
        <f t="array" ref="O46">IFERROR(IF($B46="Building","Buildings",INDEX(CoA_Schema[FinancialSubClass],MATCH(1,(CoA_Schema[AssetType]=$D46)*(CoA_Schema[AssetClass]=$B46)*(CoA_Schema[AssetSubClass]=$C46),0),0)),"")</f>
        <v>Traffic Signals</v>
      </c>
      <c r="P46" s="93" t="str">
        <f>IFERROR(VLOOKUP($I46,UoM!$A:$C,2,FALSE),"")</f>
        <v>Length</v>
      </c>
      <c r="Q46" s="47" t="s">
        <v>1389</v>
      </c>
      <c r="R46" s="47" t="s">
        <v>1389</v>
      </c>
      <c r="S46" s="47">
        <v>20</v>
      </c>
      <c r="T46" s="47"/>
      <c r="U46" s="47"/>
      <c r="V46" s="47"/>
      <c r="W46" s="47"/>
      <c r="X46" s="47"/>
      <c r="Y46" s="119">
        <v>45974</v>
      </c>
      <c r="Z46" s="119">
        <v>45974</v>
      </c>
      <c r="AA46" s="47" t="s">
        <v>1563</v>
      </c>
      <c r="AB46" s="47"/>
      <c r="AC46" s="56">
        <f>IFERROR(VLOOKUP("New Assets:"&amp;ROW(),'Handover Cost Report'!$A:$U,17,FALSE),"")</f>
        <v>3930.49</v>
      </c>
      <c r="AD46" s="56">
        <f>IFERROR(VLOOKUP("New Assets:"&amp;ROW(),'Handover Cost Report'!$A:$U,18,FALSE),"")</f>
        <v>0</v>
      </c>
      <c r="AE46" s="56">
        <f>IFERROR(VLOOKUP("New Assets:"&amp;ROW(),'Handover Cost Report'!$A:$U,19,FALSE),"")</f>
        <v>0</v>
      </c>
    </row>
    <row r="47" spans="1:31" s="3" customFormat="1" ht="18" customHeight="1" x14ac:dyDescent="0.2">
      <c r="A47" s="3" t="s">
        <v>1402</v>
      </c>
      <c r="B47" s="47" t="s">
        <v>363</v>
      </c>
      <c r="C47" s="47" t="s">
        <v>289</v>
      </c>
      <c r="D47" s="47" t="s">
        <v>349</v>
      </c>
      <c r="E47" s="154" t="s">
        <v>86</v>
      </c>
      <c r="F47" s="47" t="s">
        <v>86</v>
      </c>
      <c r="G47" s="47">
        <f>VLOOKUP(A47,'[1]Z8290 New Assets_output'!$A:$C,3,FALSE)</f>
        <v>294906</v>
      </c>
      <c r="H47" s="47">
        <v>3</v>
      </c>
      <c r="I47" s="47" t="s">
        <v>244</v>
      </c>
      <c r="J47" s="163">
        <v>83.394774062600149</v>
      </c>
      <c r="K47" s="56">
        <f t="shared" si="2"/>
        <v>250.18432218780043</v>
      </c>
      <c r="L47" s="93" t="s">
        <v>130</v>
      </c>
      <c r="M47" s="93" t="s">
        <v>416</v>
      </c>
      <c r="N47" s="93" t="str">
        <f t="array" ref="N47">IFERROR(IF($B47="Building","Buildings",INDEX(CoA_Schema[FinancialClass],MATCH(1,(CoA_Schema[AssetType]=$D47)*(CoA_Schema[AssetClass]=$B47)*(CoA_Schema[AssetSubClass]=$C47),0),0)),"")</f>
        <v>Infrastructure</v>
      </c>
      <c r="O47" s="93" t="str">
        <f t="array" ref="O47">IFERROR(IF($B47="Building","Buildings",INDEX(CoA_Schema[FinancialSubClass],MATCH(1,(CoA_Schema[AssetType]=$D47)*(CoA_Schema[AssetClass]=$B47)*(CoA_Schema[AssetSubClass]=$C47),0),0)),"")</f>
        <v>Traffic Signals</v>
      </c>
      <c r="P47" s="93" t="s">
        <v>243</v>
      </c>
      <c r="Q47" s="47" t="s">
        <v>1389</v>
      </c>
      <c r="R47" s="47" t="s">
        <v>1389</v>
      </c>
      <c r="S47" s="47">
        <v>20</v>
      </c>
      <c r="T47" s="47"/>
      <c r="U47" s="47"/>
      <c r="V47" s="47"/>
      <c r="W47" s="47"/>
      <c r="X47" s="47"/>
      <c r="Y47" s="119">
        <v>45974</v>
      </c>
      <c r="Z47" s="119">
        <v>45974</v>
      </c>
      <c r="AA47" s="47" t="s">
        <v>1563</v>
      </c>
      <c r="AB47" s="47"/>
      <c r="AC47" s="56">
        <f>IFERROR(VLOOKUP("New Assets:"&amp;ROW(),'Handover Cost Report'!$A:$U,17,FALSE),"")</f>
        <v>250.18</v>
      </c>
      <c r="AD47" s="56">
        <f>IFERROR(VLOOKUP("New Assets:"&amp;ROW(),'Handover Cost Report'!$A:$U,18,FALSE),"")</f>
        <v>0</v>
      </c>
      <c r="AE47" s="56">
        <f>IFERROR(VLOOKUP("New Assets:"&amp;ROW(),'Handover Cost Report'!$A:$U,19,FALSE),"")</f>
        <v>0</v>
      </c>
    </row>
    <row r="48" spans="1:31" s="3" customFormat="1" ht="16.149999999999999" customHeight="1" x14ac:dyDescent="0.2">
      <c r="A48" s="155" t="s">
        <v>1402</v>
      </c>
      <c r="B48" s="47" t="s">
        <v>363</v>
      </c>
      <c r="C48" s="47" t="s">
        <v>289</v>
      </c>
      <c r="D48" s="47" t="s">
        <v>349</v>
      </c>
      <c r="E48" s="47" t="s">
        <v>1403</v>
      </c>
      <c r="F48" s="47"/>
      <c r="G48" s="47">
        <f>VLOOKUP(A48,'[1]Z8290 New Assets_output'!$A:$C,3,FALSE)</f>
        <v>294906</v>
      </c>
      <c r="H48" s="47">
        <v>3</v>
      </c>
      <c r="I48" s="47" t="s">
        <v>244</v>
      </c>
      <c r="J48" s="164">
        <v>0</v>
      </c>
      <c r="K48" s="56">
        <f>H48*J48</f>
        <v>0</v>
      </c>
      <c r="L48" s="93" t="s">
        <v>130</v>
      </c>
      <c r="M48" s="93" t="s">
        <v>421</v>
      </c>
      <c r="N48" s="93" t="str">
        <f t="array" ref="N48">IFERROR(IF($B48="Building","Buildings",INDEX(CoA_Schema[FinancialClass],MATCH(1,(CoA_Schema[AssetType]=$D48)*(CoA_Schema[AssetClass]=$B48)*(CoA_Schema[AssetSubClass]=$C48),0),0)),"")</f>
        <v>Infrastructure</v>
      </c>
      <c r="O48" s="93" t="str">
        <f t="array" ref="O48">IFERROR(IF($B48="Building","Buildings",INDEX(CoA_Schema[FinancialSubClass],MATCH(1,(CoA_Schema[AssetType]=$D48)*(CoA_Schema[AssetClass]=$B48)*(CoA_Schema[AssetSubClass]=$C48),0),0)),"")</f>
        <v>Traffic Signals</v>
      </c>
      <c r="P48" s="93" t="str">
        <f>IFERROR(VLOOKUP($I48,UoM!$A:$C,2,FALSE),"")</f>
        <v>Length</v>
      </c>
      <c r="Q48" s="47" t="s">
        <v>1433</v>
      </c>
      <c r="R48" s="47" t="s">
        <v>1389</v>
      </c>
      <c r="S48" s="47">
        <v>20</v>
      </c>
      <c r="T48" s="47"/>
      <c r="U48" s="47"/>
      <c r="V48" s="47"/>
      <c r="W48" s="47"/>
      <c r="X48" s="47"/>
      <c r="Y48" s="119">
        <v>45974</v>
      </c>
      <c r="Z48" s="119">
        <v>45974</v>
      </c>
      <c r="AA48" s="47" t="s">
        <v>1563</v>
      </c>
      <c r="AB48" s="162" t="s">
        <v>1430</v>
      </c>
      <c r="AC48" s="56">
        <f>IFERROR(VLOOKUP("New Assets:"&amp;ROW(),'Handover Cost Report'!$A:$U,17,FALSE),"")</f>
        <v>0</v>
      </c>
      <c r="AD48" s="56">
        <f>IFERROR(VLOOKUP("New Assets:"&amp;ROW(),'Handover Cost Report'!$A:$U,18,FALSE),"")</f>
        <v>0</v>
      </c>
      <c r="AE48" s="56">
        <f>IFERROR(VLOOKUP("New Assets:"&amp;ROW(),'Handover Cost Report'!$A:$U,19,FALSE),"")</f>
        <v>0</v>
      </c>
    </row>
    <row r="49" spans="1:31" s="3" customFormat="1" ht="16.899999999999999" customHeight="1" x14ac:dyDescent="0.2">
      <c r="A49" s="156" t="s">
        <v>1404</v>
      </c>
      <c r="B49" s="47" t="s">
        <v>363</v>
      </c>
      <c r="C49" s="47" t="s">
        <v>289</v>
      </c>
      <c r="D49" s="47" t="s">
        <v>349</v>
      </c>
      <c r="E49" s="157" t="s">
        <v>1391</v>
      </c>
      <c r="F49" s="47" t="s">
        <v>1547</v>
      </c>
      <c r="G49" s="47">
        <f>VLOOKUP(A49,'[1]Z8290 New Assets_output'!$A:$C,3,FALSE)</f>
        <v>294907</v>
      </c>
      <c r="H49" s="47">
        <v>4</v>
      </c>
      <c r="I49" s="47" t="s">
        <v>244</v>
      </c>
      <c r="J49" s="163">
        <v>83.394774062600149</v>
      </c>
      <c r="K49" s="56">
        <f t="shared" ref="K49:K50" si="3">H49*J49</f>
        <v>333.5790962504006</v>
      </c>
      <c r="L49" s="93" t="s">
        <v>130</v>
      </c>
      <c r="M49" s="93" t="s">
        <v>421</v>
      </c>
      <c r="N49" s="93" t="str">
        <f t="array" ref="N49">IFERROR(IF($B49="Building","Buildings",INDEX(CoA_Schema[FinancialClass],MATCH(1,(CoA_Schema[AssetType]=$D49)*(CoA_Schema[AssetClass]=$B49)*(CoA_Schema[AssetSubClass]=$C49),0),0)),"")</f>
        <v>Infrastructure</v>
      </c>
      <c r="O49" s="93" t="str">
        <f t="array" ref="O49">IFERROR(IF($B49="Building","Buildings",INDEX(CoA_Schema[FinancialSubClass],MATCH(1,(CoA_Schema[AssetType]=$D49)*(CoA_Schema[AssetClass]=$B49)*(CoA_Schema[AssetSubClass]=$C49),0),0)),"")</f>
        <v>Traffic Signals</v>
      </c>
      <c r="P49" s="93" t="str">
        <f>IFERROR(VLOOKUP($I49,UoM!$A:$C,2,FALSE),"")</f>
        <v>Length</v>
      </c>
      <c r="Q49" s="47" t="s">
        <v>1389</v>
      </c>
      <c r="R49" s="47" t="s">
        <v>1389</v>
      </c>
      <c r="S49" s="47">
        <v>20</v>
      </c>
      <c r="T49" s="47"/>
      <c r="U49" s="47"/>
      <c r="V49" s="47"/>
      <c r="W49" s="47"/>
      <c r="X49" s="47"/>
      <c r="Y49" s="119">
        <v>45974</v>
      </c>
      <c r="Z49" s="119">
        <v>45974</v>
      </c>
      <c r="AA49" s="47" t="s">
        <v>1563</v>
      </c>
      <c r="AB49" s="47"/>
      <c r="AC49" s="56">
        <f>IFERROR(VLOOKUP("New Assets:"&amp;ROW(),'Handover Cost Report'!$A:$U,17,FALSE),"")</f>
        <v>333.58</v>
      </c>
      <c r="AD49" s="56">
        <f>IFERROR(VLOOKUP("New Assets:"&amp;ROW(),'Handover Cost Report'!$A:$U,18,FALSE),"")</f>
        <v>0</v>
      </c>
      <c r="AE49" s="56">
        <f>IFERROR(VLOOKUP("New Assets:"&amp;ROW(),'Handover Cost Report'!$A:$U,19,FALSE),"")</f>
        <v>0</v>
      </c>
    </row>
    <row r="50" spans="1:31" s="3" customFormat="1" x14ac:dyDescent="0.2">
      <c r="A50" s="3" t="s">
        <v>1404</v>
      </c>
      <c r="B50" s="47" t="s">
        <v>363</v>
      </c>
      <c r="C50" s="47" t="s">
        <v>289</v>
      </c>
      <c r="D50" s="47" t="s">
        <v>349</v>
      </c>
      <c r="E50" s="47" t="s">
        <v>1390</v>
      </c>
      <c r="F50" s="47" t="s">
        <v>1390</v>
      </c>
      <c r="G50" s="47">
        <f>VLOOKUP(A50,'[1]Z8290 New Assets_output'!$A:$C,3,FALSE)</f>
        <v>294907</v>
      </c>
      <c r="H50" s="47">
        <v>4</v>
      </c>
      <c r="I50" s="47" t="s">
        <v>244</v>
      </c>
      <c r="J50" s="164">
        <v>0</v>
      </c>
      <c r="K50" s="56">
        <f t="shared" si="3"/>
        <v>0</v>
      </c>
      <c r="L50" s="93" t="s">
        <v>130</v>
      </c>
      <c r="M50" s="93" t="s">
        <v>421</v>
      </c>
      <c r="N50" s="93" t="str">
        <f t="array" ref="N50">IFERROR(IF($B50="Building","Buildings",INDEX(CoA_Schema[FinancialClass],MATCH(1,(CoA_Schema[AssetType]=$D50)*(CoA_Schema[AssetClass]=$B50)*(CoA_Schema[AssetSubClass]=$C50),0),0)),"")</f>
        <v>Infrastructure</v>
      </c>
      <c r="O50" s="93" t="str">
        <f t="array" ref="O50">IFERROR(IF($B50="Building","Buildings",INDEX(CoA_Schema[FinancialSubClass],MATCH(1,(CoA_Schema[AssetType]=$D50)*(CoA_Schema[AssetClass]=$B50)*(CoA_Schema[AssetSubClass]=$C50),0),0)),"")</f>
        <v>Traffic Signals</v>
      </c>
      <c r="P50" s="93" t="str">
        <f>IFERROR(VLOOKUP($I50,UoM!$A:$C,2,FALSE),"")</f>
        <v>Length</v>
      </c>
      <c r="Q50" s="47" t="s">
        <v>1433</v>
      </c>
      <c r="R50" s="47" t="s">
        <v>1389</v>
      </c>
      <c r="S50" s="47">
        <v>20</v>
      </c>
      <c r="T50" s="47"/>
      <c r="U50" s="47"/>
      <c r="V50" s="47"/>
      <c r="W50" s="47"/>
      <c r="X50" s="47"/>
      <c r="Y50" s="119">
        <v>45974</v>
      </c>
      <c r="Z50" s="119">
        <v>45974</v>
      </c>
      <c r="AA50" s="47" t="s">
        <v>1563</v>
      </c>
      <c r="AB50" s="162" t="s">
        <v>1430</v>
      </c>
      <c r="AC50" s="56">
        <f>IFERROR(VLOOKUP("New Assets:"&amp;ROW(),'Handover Cost Report'!$A:$U,17,FALSE),"")</f>
        <v>0</v>
      </c>
      <c r="AD50" s="56">
        <f>IFERROR(VLOOKUP("New Assets:"&amp;ROW(),'Handover Cost Report'!$A:$U,18,FALSE),"")</f>
        <v>0</v>
      </c>
      <c r="AE50" s="56">
        <f>IFERROR(VLOOKUP("New Assets:"&amp;ROW(),'Handover Cost Report'!$A:$U,19,FALSE),"")</f>
        <v>0</v>
      </c>
    </row>
    <row r="51" spans="1:31" s="3" customFormat="1" ht="16.899999999999999" customHeight="1" x14ac:dyDescent="0.2">
      <c r="A51" s="156" t="s">
        <v>1405</v>
      </c>
      <c r="B51" s="47" t="s">
        <v>363</v>
      </c>
      <c r="C51" s="47" t="s">
        <v>289</v>
      </c>
      <c r="D51" s="47" t="s">
        <v>349</v>
      </c>
      <c r="E51" s="157" t="s">
        <v>1391</v>
      </c>
      <c r="F51" s="47" t="s">
        <v>1547</v>
      </c>
      <c r="G51" s="47">
        <f>VLOOKUP(A51,'[1]Z8290 New Assets_output'!$A:$C,3,FALSE)</f>
        <v>294908</v>
      </c>
      <c r="H51" s="47">
        <v>4</v>
      </c>
      <c r="I51" s="47" t="s">
        <v>244</v>
      </c>
      <c r="J51" s="163">
        <v>83.394774062600149</v>
      </c>
      <c r="K51" s="56">
        <f t="shared" ref="K51:K58" si="4">H51*J51</f>
        <v>333.5790962504006</v>
      </c>
      <c r="L51" s="93" t="s">
        <v>130</v>
      </c>
      <c r="M51" s="93" t="s">
        <v>421</v>
      </c>
      <c r="N51" s="93" t="str">
        <f t="array" ref="N51">IFERROR(IF($B51="Building","Buildings",INDEX(CoA_Schema[FinancialClass],MATCH(1,(CoA_Schema[AssetType]=$D51)*(CoA_Schema[AssetClass]=$B51)*(CoA_Schema[AssetSubClass]=$C51),0),0)),"")</f>
        <v>Infrastructure</v>
      </c>
      <c r="O51" s="93" t="str">
        <f t="array" ref="O51">IFERROR(IF($B51="Building","Buildings",INDEX(CoA_Schema[FinancialSubClass],MATCH(1,(CoA_Schema[AssetType]=$D51)*(CoA_Schema[AssetClass]=$B51)*(CoA_Schema[AssetSubClass]=$C51),0),0)),"")</f>
        <v>Traffic Signals</v>
      </c>
      <c r="P51" s="93" t="str">
        <f>IFERROR(VLOOKUP($I51,UoM!$A:$C,2,FALSE),"")</f>
        <v>Length</v>
      </c>
      <c r="Q51" s="47" t="s">
        <v>1389</v>
      </c>
      <c r="R51" s="47" t="s">
        <v>1389</v>
      </c>
      <c r="S51" s="47">
        <v>20</v>
      </c>
      <c r="T51" s="47"/>
      <c r="U51" s="47"/>
      <c r="V51" s="47"/>
      <c r="W51" s="47"/>
      <c r="X51" s="47"/>
      <c r="Y51" s="119">
        <v>45974</v>
      </c>
      <c r="Z51" s="119">
        <v>45974</v>
      </c>
      <c r="AA51" s="47" t="s">
        <v>1563</v>
      </c>
      <c r="AB51" s="47"/>
      <c r="AC51" s="56">
        <f>IFERROR(VLOOKUP("New Assets:"&amp;ROW(),'Handover Cost Report'!$A:$U,17,FALSE),"")</f>
        <v>333.58</v>
      </c>
      <c r="AD51" s="56">
        <f>IFERROR(VLOOKUP("New Assets:"&amp;ROW(),'Handover Cost Report'!$A:$U,18,FALSE),"")</f>
        <v>0</v>
      </c>
      <c r="AE51" s="56">
        <f>IFERROR(VLOOKUP("New Assets:"&amp;ROW(),'Handover Cost Report'!$A:$U,19,FALSE),"")</f>
        <v>0</v>
      </c>
    </row>
    <row r="52" spans="1:31" s="3" customFormat="1" x14ac:dyDescent="0.2">
      <c r="A52" s="3" t="s">
        <v>1405</v>
      </c>
      <c r="B52" s="47" t="s">
        <v>363</v>
      </c>
      <c r="C52" s="47" t="s">
        <v>289</v>
      </c>
      <c r="D52" s="47" t="s">
        <v>349</v>
      </c>
      <c r="E52" s="47" t="s">
        <v>1390</v>
      </c>
      <c r="F52" s="47" t="s">
        <v>1390</v>
      </c>
      <c r="G52" s="47">
        <f>VLOOKUP(A52,'[1]Z8290 New Assets_output'!$A:$C,3,FALSE)</f>
        <v>294908</v>
      </c>
      <c r="H52" s="47">
        <v>4</v>
      </c>
      <c r="I52" s="47" t="s">
        <v>244</v>
      </c>
      <c r="J52" s="164">
        <v>0</v>
      </c>
      <c r="K52" s="56">
        <f t="shared" si="4"/>
        <v>0</v>
      </c>
      <c r="L52" s="93" t="s">
        <v>130</v>
      </c>
      <c r="M52" s="93" t="s">
        <v>421</v>
      </c>
      <c r="N52" s="93" t="str">
        <f t="array" ref="N52">IFERROR(IF($B52="Building","Buildings",INDEX(CoA_Schema[FinancialClass],MATCH(1,(CoA_Schema[AssetType]=$D52)*(CoA_Schema[AssetClass]=$B52)*(CoA_Schema[AssetSubClass]=$C52),0),0)),"")</f>
        <v>Infrastructure</v>
      </c>
      <c r="O52" s="93" t="str">
        <f t="array" ref="O52">IFERROR(IF($B52="Building","Buildings",INDEX(CoA_Schema[FinancialSubClass],MATCH(1,(CoA_Schema[AssetType]=$D52)*(CoA_Schema[AssetClass]=$B52)*(CoA_Schema[AssetSubClass]=$C52),0),0)),"")</f>
        <v>Traffic Signals</v>
      </c>
      <c r="P52" s="93" t="str">
        <f>IFERROR(VLOOKUP($I52,UoM!$A:$C,2,FALSE),"")</f>
        <v>Length</v>
      </c>
      <c r="Q52" s="47" t="s">
        <v>1433</v>
      </c>
      <c r="R52" s="47" t="s">
        <v>1389</v>
      </c>
      <c r="S52" s="47">
        <v>20</v>
      </c>
      <c r="T52" s="47"/>
      <c r="U52" s="47"/>
      <c r="V52" s="47"/>
      <c r="W52" s="47"/>
      <c r="X52" s="47"/>
      <c r="Y52" s="119">
        <v>45974</v>
      </c>
      <c r="Z52" s="119">
        <v>45974</v>
      </c>
      <c r="AA52" s="47" t="s">
        <v>1563</v>
      </c>
      <c r="AB52" s="162" t="s">
        <v>1430</v>
      </c>
      <c r="AC52" s="56">
        <f>IFERROR(VLOOKUP("New Assets:"&amp;ROW(),'Handover Cost Report'!$A:$U,17,FALSE),"")</f>
        <v>0</v>
      </c>
      <c r="AD52" s="56">
        <f>IFERROR(VLOOKUP("New Assets:"&amp;ROW(),'Handover Cost Report'!$A:$U,18,FALSE),"")</f>
        <v>0</v>
      </c>
      <c r="AE52" s="56">
        <f>IFERROR(VLOOKUP("New Assets:"&amp;ROW(),'Handover Cost Report'!$A:$U,19,FALSE),"")</f>
        <v>0</v>
      </c>
    </row>
    <row r="53" spans="1:31" s="3" customFormat="1" x14ac:dyDescent="0.2">
      <c r="A53" s="3" t="s">
        <v>1406</v>
      </c>
      <c r="B53" s="47" t="s">
        <v>363</v>
      </c>
      <c r="C53" s="47" t="s">
        <v>289</v>
      </c>
      <c r="D53" s="47" t="s">
        <v>349</v>
      </c>
      <c r="E53" s="47" t="s">
        <v>1390</v>
      </c>
      <c r="F53" s="47" t="s">
        <v>1390</v>
      </c>
      <c r="G53" s="47">
        <f>VLOOKUP(A53,'[1]Z8290 New Assets_output'!$A:$C,3,FALSE)</f>
        <v>294911</v>
      </c>
      <c r="H53" s="47">
        <v>9</v>
      </c>
      <c r="I53" s="47" t="s">
        <v>244</v>
      </c>
      <c r="J53" s="164">
        <v>0</v>
      </c>
      <c r="K53" s="56">
        <f t="shared" ref="K53" si="5">H53*J53</f>
        <v>0</v>
      </c>
      <c r="L53" s="93" t="s">
        <v>130</v>
      </c>
      <c r="M53" s="93" t="s">
        <v>421</v>
      </c>
      <c r="N53" s="93" t="str">
        <f t="array" ref="N53">IFERROR(IF($B53="Building","Buildings",INDEX(CoA_Schema[FinancialClass],MATCH(1,(CoA_Schema[AssetType]=$D53)*(CoA_Schema[AssetClass]=$B53)*(CoA_Schema[AssetSubClass]=$C53),0),0)),"")</f>
        <v>Infrastructure</v>
      </c>
      <c r="O53" s="93" t="str">
        <f t="array" ref="O53">IFERROR(IF($B53="Building","Buildings",INDEX(CoA_Schema[FinancialSubClass],MATCH(1,(CoA_Schema[AssetType]=$D53)*(CoA_Schema[AssetClass]=$B53)*(CoA_Schema[AssetSubClass]=$C53),0),0)),"")</f>
        <v>Traffic Signals</v>
      </c>
      <c r="P53" s="93" t="str">
        <f>IFERROR(VLOOKUP($I53,UoM!$A:$C,2,FALSE),"")</f>
        <v>Length</v>
      </c>
      <c r="Q53" s="47" t="s">
        <v>1433</v>
      </c>
      <c r="R53" s="47" t="s">
        <v>1389</v>
      </c>
      <c r="S53" s="47">
        <v>20</v>
      </c>
      <c r="T53" s="47"/>
      <c r="U53" s="47"/>
      <c r="V53" s="47"/>
      <c r="W53" s="47"/>
      <c r="X53" s="47"/>
      <c r="Y53" s="119">
        <v>45974</v>
      </c>
      <c r="Z53" s="119">
        <v>45974</v>
      </c>
      <c r="AA53" s="47" t="s">
        <v>1563</v>
      </c>
      <c r="AB53" s="162" t="s">
        <v>1430</v>
      </c>
      <c r="AC53" s="56">
        <f>IFERROR(VLOOKUP("New Assets:"&amp;ROW(),'Handover Cost Report'!$A:$U,17,FALSE),"")</f>
        <v>0</v>
      </c>
      <c r="AD53" s="56">
        <f>IFERROR(VLOOKUP("New Assets:"&amp;ROW(),'Handover Cost Report'!$A:$U,18,FALSE),"")</f>
        <v>0</v>
      </c>
      <c r="AE53" s="56">
        <f>IFERROR(VLOOKUP("New Assets:"&amp;ROW(),'Handover Cost Report'!$A:$U,19,FALSE),"")</f>
        <v>0</v>
      </c>
    </row>
    <row r="54" spans="1:31" s="3" customFormat="1" x14ac:dyDescent="0.2">
      <c r="A54" s="158" t="s">
        <v>1406</v>
      </c>
      <c r="B54" s="47" t="s">
        <v>363</v>
      </c>
      <c r="C54" s="47" t="s">
        <v>289</v>
      </c>
      <c r="D54" s="47" t="s">
        <v>349</v>
      </c>
      <c r="E54" s="154" t="s">
        <v>1393</v>
      </c>
      <c r="F54" s="47" t="s">
        <v>1549</v>
      </c>
      <c r="G54" s="47">
        <f>VLOOKUP(A54,'[1]Z8290 New Assets_output'!$A:$C,3,FALSE)</f>
        <v>294911</v>
      </c>
      <c r="H54" s="47">
        <v>9</v>
      </c>
      <c r="I54" s="47" t="s">
        <v>244</v>
      </c>
      <c r="J54" s="163">
        <v>83.394774062600149</v>
      </c>
      <c r="K54" s="56">
        <f t="shared" si="4"/>
        <v>750.55296656340136</v>
      </c>
      <c r="L54" s="93" t="s">
        <v>130</v>
      </c>
      <c r="M54" s="93" t="s">
        <v>421</v>
      </c>
      <c r="N54" s="93" t="str">
        <f t="array" ref="N54">IFERROR(IF($B54="Building","Buildings",INDEX(CoA_Schema[FinancialClass],MATCH(1,(CoA_Schema[AssetType]=$D54)*(CoA_Schema[AssetClass]=$B54)*(CoA_Schema[AssetSubClass]=$C54),0),0)),"")</f>
        <v>Infrastructure</v>
      </c>
      <c r="O54" s="93" t="str">
        <f t="array" ref="O54">IFERROR(IF($B54="Building","Buildings",INDEX(CoA_Schema[FinancialSubClass],MATCH(1,(CoA_Schema[AssetType]=$D54)*(CoA_Schema[AssetClass]=$B54)*(CoA_Schema[AssetSubClass]=$C54),0),0)),"")</f>
        <v>Traffic Signals</v>
      </c>
      <c r="P54" s="93" t="str">
        <f>IFERROR(VLOOKUP($I54,UoM!$A:$C,2,FALSE),"")</f>
        <v>Length</v>
      </c>
      <c r="Q54" s="47" t="s">
        <v>1389</v>
      </c>
      <c r="R54" s="47" t="s">
        <v>1389</v>
      </c>
      <c r="S54" s="47">
        <v>20</v>
      </c>
      <c r="T54" s="47"/>
      <c r="U54" s="47"/>
      <c r="V54" s="47"/>
      <c r="W54" s="47"/>
      <c r="X54" s="47"/>
      <c r="Y54" s="119">
        <v>45974</v>
      </c>
      <c r="Z54" s="119">
        <v>45974</v>
      </c>
      <c r="AA54" s="47" t="s">
        <v>1563</v>
      </c>
      <c r="AB54" s="47"/>
      <c r="AC54" s="56">
        <f>IFERROR(VLOOKUP("New Assets:"&amp;ROW(),'Handover Cost Report'!$A:$U,17,FALSE),"")</f>
        <v>750.55</v>
      </c>
      <c r="AD54" s="56">
        <f>IFERROR(VLOOKUP("New Assets:"&amp;ROW(),'Handover Cost Report'!$A:$U,18,FALSE),"")</f>
        <v>0</v>
      </c>
      <c r="AE54" s="56">
        <f>IFERROR(VLOOKUP("New Assets:"&amp;ROW(),'Handover Cost Report'!$A:$U,19,FALSE),"")</f>
        <v>0</v>
      </c>
    </row>
    <row r="55" spans="1:31" s="3" customFormat="1" x14ac:dyDescent="0.2">
      <c r="A55" s="159" t="s">
        <v>1406</v>
      </c>
      <c r="B55" s="47" t="s">
        <v>363</v>
      </c>
      <c r="C55" s="47" t="s">
        <v>289</v>
      </c>
      <c r="D55" s="47" t="s">
        <v>349</v>
      </c>
      <c r="E55" s="160" t="s">
        <v>1394</v>
      </c>
      <c r="F55" s="47" t="s">
        <v>1548</v>
      </c>
      <c r="G55" s="47">
        <f>VLOOKUP(A55,'[1]Z8290 New Assets_output'!$A:$C,3,FALSE)</f>
        <v>294911</v>
      </c>
      <c r="H55" s="47">
        <v>9</v>
      </c>
      <c r="I55" s="47" t="s">
        <v>244</v>
      </c>
      <c r="J55" s="163">
        <v>157.21965601965601</v>
      </c>
      <c r="K55" s="56">
        <f t="shared" si="4"/>
        <v>1414.9769041769041</v>
      </c>
      <c r="L55" s="93" t="s">
        <v>130</v>
      </c>
      <c r="M55" s="93" t="s">
        <v>421</v>
      </c>
      <c r="N55" s="93" t="str">
        <f t="array" ref="N55">IFERROR(IF($B55="Building","Buildings",INDEX(CoA_Schema[FinancialClass],MATCH(1,(CoA_Schema[AssetType]=$D55)*(CoA_Schema[AssetClass]=$B55)*(CoA_Schema[AssetSubClass]=$C55),0),0)),"")</f>
        <v>Infrastructure</v>
      </c>
      <c r="O55" s="93" t="str">
        <f t="array" ref="O55">IFERROR(IF($B55="Building","Buildings",INDEX(CoA_Schema[FinancialSubClass],MATCH(1,(CoA_Schema[AssetType]=$D55)*(CoA_Schema[AssetClass]=$B55)*(CoA_Schema[AssetSubClass]=$C55),0),0)),"")</f>
        <v>Traffic Signals</v>
      </c>
      <c r="P55" s="93" t="str">
        <f>IFERROR(VLOOKUP($I55,UoM!$A:$C,2,FALSE),"")</f>
        <v>Length</v>
      </c>
      <c r="Q55" s="47" t="s">
        <v>1389</v>
      </c>
      <c r="R55" s="47" t="s">
        <v>1389</v>
      </c>
      <c r="S55" s="47">
        <v>20</v>
      </c>
      <c r="T55" s="47"/>
      <c r="U55" s="47"/>
      <c r="V55" s="47"/>
      <c r="W55" s="47"/>
      <c r="X55" s="47"/>
      <c r="Y55" s="119">
        <v>45974</v>
      </c>
      <c r="Z55" s="119">
        <v>45974</v>
      </c>
      <c r="AA55" s="47" t="s">
        <v>1563</v>
      </c>
      <c r="AB55" s="47"/>
      <c r="AC55" s="56">
        <f>IFERROR(VLOOKUP("New Assets:"&amp;ROW(),'Handover Cost Report'!$A:$U,17,FALSE),"")</f>
        <v>1414.98</v>
      </c>
      <c r="AD55" s="56">
        <f>IFERROR(VLOOKUP("New Assets:"&amp;ROW(),'Handover Cost Report'!$A:$U,18,FALSE),"")</f>
        <v>0</v>
      </c>
      <c r="AE55" s="56">
        <f>IFERROR(VLOOKUP("New Assets:"&amp;ROW(),'Handover Cost Report'!$A:$U,19,FALSE),"")</f>
        <v>0</v>
      </c>
    </row>
    <row r="56" spans="1:31" s="3" customFormat="1" x14ac:dyDescent="0.2">
      <c r="A56" s="3" t="s">
        <v>1407</v>
      </c>
      <c r="B56" s="47" t="s">
        <v>363</v>
      </c>
      <c r="C56" s="47" t="s">
        <v>289</v>
      </c>
      <c r="D56" s="47" t="s">
        <v>349</v>
      </c>
      <c r="E56" s="47" t="s">
        <v>1390</v>
      </c>
      <c r="F56" s="47" t="s">
        <v>1390</v>
      </c>
      <c r="G56" s="47">
        <f>VLOOKUP(A56,'[1]Z8290 New Assets_output'!$A:$C,3,FALSE)</f>
        <v>294913</v>
      </c>
      <c r="H56" s="47">
        <v>9</v>
      </c>
      <c r="I56" s="47" t="s">
        <v>244</v>
      </c>
      <c r="J56" s="164">
        <v>0</v>
      </c>
      <c r="K56" s="56">
        <f t="shared" si="4"/>
        <v>0</v>
      </c>
      <c r="L56" s="93" t="s">
        <v>130</v>
      </c>
      <c r="M56" s="93" t="s">
        <v>421</v>
      </c>
      <c r="N56" s="93" t="str">
        <f t="array" ref="N56">IFERROR(IF($B56="Building","Buildings",INDEX(CoA_Schema[FinancialClass],MATCH(1,(CoA_Schema[AssetType]=$D56)*(CoA_Schema[AssetClass]=$B56)*(CoA_Schema[AssetSubClass]=$C56),0),0)),"")</f>
        <v>Infrastructure</v>
      </c>
      <c r="O56" s="93" t="str">
        <f t="array" ref="O56">IFERROR(IF($B56="Building","Buildings",INDEX(CoA_Schema[FinancialSubClass],MATCH(1,(CoA_Schema[AssetType]=$D56)*(CoA_Schema[AssetClass]=$B56)*(CoA_Schema[AssetSubClass]=$C56),0),0)),"")</f>
        <v>Traffic Signals</v>
      </c>
      <c r="P56" s="93" t="str">
        <f>IFERROR(VLOOKUP($I56,UoM!$A:$C,2,FALSE),"")</f>
        <v>Length</v>
      </c>
      <c r="Q56" s="47" t="s">
        <v>1433</v>
      </c>
      <c r="R56" s="47" t="s">
        <v>1389</v>
      </c>
      <c r="S56" s="47">
        <v>20</v>
      </c>
      <c r="T56" s="47"/>
      <c r="U56" s="47"/>
      <c r="V56" s="47"/>
      <c r="W56" s="47"/>
      <c r="X56" s="47"/>
      <c r="Y56" s="119">
        <v>45974</v>
      </c>
      <c r="Z56" s="119">
        <v>45974</v>
      </c>
      <c r="AA56" s="47" t="s">
        <v>1563</v>
      </c>
      <c r="AB56" s="162" t="s">
        <v>1430</v>
      </c>
      <c r="AC56" s="56">
        <f>IFERROR(VLOOKUP("New Assets:"&amp;ROW(),'Handover Cost Report'!$A:$U,17,FALSE),"")</f>
        <v>0</v>
      </c>
      <c r="AD56" s="56">
        <f>IFERROR(VLOOKUP("New Assets:"&amp;ROW(),'Handover Cost Report'!$A:$U,18,FALSE),"")</f>
        <v>0</v>
      </c>
      <c r="AE56" s="56">
        <f>IFERROR(VLOOKUP("New Assets:"&amp;ROW(),'Handover Cost Report'!$A:$U,19,FALSE),"")</f>
        <v>0</v>
      </c>
    </row>
    <row r="57" spans="1:31" s="3" customFormat="1" x14ac:dyDescent="0.2">
      <c r="A57" s="158" t="s">
        <v>1407</v>
      </c>
      <c r="B57" s="47" t="s">
        <v>363</v>
      </c>
      <c r="C57" s="47" t="s">
        <v>289</v>
      </c>
      <c r="D57" s="47" t="s">
        <v>349</v>
      </c>
      <c r="E57" s="154" t="s">
        <v>1393</v>
      </c>
      <c r="F57" s="47" t="s">
        <v>1549</v>
      </c>
      <c r="G57" s="47">
        <f>VLOOKUP(A57,'[1]Z8290 New Assets_output'!$A:$C,3,FALSE)</f>
        <v>294913</v>
      </c>
      <c r="H57" s="47">
        <v>9</v>
      </c>
      <c r="I57" s="47" t="s">
        <v>244</v>
      </c>
      <c r="J57" s="163">
        <v>83.394774062600149</v>
      </c>
      <c r="K57" s="56">
        <f t="shared" si="4"/>
        <v>750.55296656340136</v>
      </c>
      <c r="L57" s="93" t="s">
        <v>130</v>
      </c>
      <c r="M57" s="93" t="s">
        <v>421</v>
      </c>
      <c r="N57" s="93" t="str">
        <f t="array" ref="N57">IFERROR(IF($B57="Building","Buildings",INDEX(CoA_Schema[FinancialClass],MATCH(1,(CoA_Schema[AssetType]=$D57)*(CoA_Schema[AssetClass]=$B57)*(CoA_Schema[AssetSubClass]=$C57),0),0)),"")</f>
        <v>Infrastructure</v>
      </c>
      <c r="O57" s="93" t="str">
        <f t="array" ref="O57">IFERROR(IF($B57="Building","Buildings",INDEX(CoA_Schema[FinancialSubClass],MATCH(1,(CoA_Schema[AssetType]=$D57)*(CoA_Schema[AssetClass]=$B57)*(CoA_Schema[AssetSubClass]=$C57),0),0)),"")</f>
        <v>Traffic Signals</v>
      </c>
      <c r="P57" s="93" t="str">
        <f>IFERROR(VLOOKUP($I57,UoM!$A:$C,2,FALSE),"")</f>
        <v>Length</v>
      </c>
      <c r="Q57" s="47" t="s">
        <v>1389</v>
      </c>
      <c r="R57" s="47" t="s">
        <v>1389</v>
      </c>
      <c r="S57" s="47">
        <v>20</v>
      </c>
      <c r="T57" s="47"/>
      <c r="U57" s="47"/>
      <c r="V57" s="47"/>
      <c r="W57" s="47"/>
      <c r="X57" s="47"/>
      <c r="Y57" s="119">
        <v>45974</v>
      </c>
      <c r="Z57" s="119">
        <v>45974</v>
      </c>
      <c r="AA57" s="47" t="s">
        <v>1563</v>
      </c>
      <c r="AB57" s="47"/>
      <c r="AC57" s="56">
        <f>IFERROR(VLOOKUP("New Assets:"&amp;ROW(),'Handover Cost Report'!$A:$U,17,FALSE),"")</f>
        <v>750.55</v>
      </c>
      <c r="AD57" s="56">
        <f>IFERROR(VLOOKUP("New Assets:"&amp;ROW(),'Handover Cost Report'!$A:$U,18,FALSE),"")</f>
        <v>0</v>
      </c>
      <c r="AE57" s="56">
        <f>IFERROR(VLOOKUP("New Assets:"&amp;ROW(),'Handover Cost Report'!$A:$U,19,FALSE),"")</f>
        <v>0</v>
      </c>
    </row>
    <row r="58" spans="1:31" s="3" customFormat="1" x14ac:dyDescent="0.2">
      <c r="A58" s="159" t="s">
        <v>1407</v>
      </c>
      <c r="B58" s="47" t="s">
        <v>363</v>
      </c>
      <c r="C58" s="47" t="s">
        <v>289</v>
      </c>
      <c r="D58" s="47" t="s">
        <v>349</v>
      </c>
      <c r="E58" s="160" t="s">
        <v>1394</v>
      </c>
      <c r="F58" s="47" t="s">
        <v>1548</v>
      </c>
      <c r="G58" s="47">
        <f>VLOOKUP(A58,'[1]Z8290 New Assets_output'!$A:$C,3,FALSE)</f>
        <v>294913</v>
      </c>
      <c r="H58" s="47">
        <v>9</v>
      </c>
      <c r="I58" s="47" t="s">
        <v>244</v>
      </c>
      <c r="J58" s="163">
        <v>157.21965601965601</v>
      </c>
      <c r="K58" s="56">
        <f t="shared" si="4"/>
        <v>1414.9769041769041</v>
      </c>
      <c r="L58" s="93" t="s">
        <v>130</v>
      </c>
      <c r="M58" s="93" t="s">
        <v>421</v>
      </c>
      <c r="N58" s="93" t="str">
        <f t="array" ref="N58">IFERROR(IF($B58="Building","Buildings",INDEX(CoA_Schema[FinancialClass],MATCH(1,(CoA_Schema[AssetType]=$D58)*(CoA_Schema[AssetClass]=$B58)*(CoA_Schema[AssetSubClass]=$C58),0),0)),"")</f>
        <v>Infrastructure</v>
      </c>
      <c r="O58" s="93" t="str">
        <f t="array" ref="O58">IFERROR(IF($B58="Building","Buildings",INDEX(CoA_Schema[FinancialSubClass],MATCH(1,(CoA_Schema[AssetType]=$D58)*(CoA_Schema[AssetClass]=$B58)*(CoA_Schema[AssetSubClass]=$C58),0),0)),"")</f>
        <v>Traffic Signals</v>
      </c>
      <c r="P58" s="93" t="str">
        <f>IFERROR(VLOOKUP($I58,UoM!$A:$C,2,FALSE),"")</f>
        <v>Length</v>
      </c>
      <c r="Q58" s="47" t="s">
        <v>1389</v>
      </c>
      <c r="R58" s="47" t="s">
        <v>1389</v>
      </c>
      <c r="S58" s="47">
        <v>20</v>
      </c>
      <c r="T58" s="47"/>
      <c r="U58" s="47"/>
      <c r="V58" s="47"/>
      <c r="W58" s="47"/>
      <c r="X58" s="47"/>
      <c r="Y58" s="119">
        <v>45974</v>
      </c>
      <c r="Z58" s="119">
        <v>45974</v>
      </c>
      <c r="AA58" s="47" t="s">
        <v>1563</v>
      </c>
      <c r="AB58" s="47"/>
      <c r="AC58" s="56">
        <f>IFERROR(VLOOKUP("New Assets:"&amp;ROW(),'Handover Cost Report'!$A:$U,17,FALSE),"")</f>
        <v>1414.98</v>
      </c>
      <c r="AD58" s="56">
        <f>IFERROR(VLOOKUP("New Assets:"&amp;ROW(),'Handover Cost Report'!$A:$U,18,FALSE),"")</f>
        <v>0</v>
      </c>
      <c r="AE58" s="56">
        <f>IFERROR(VLOOKUP("New Assets:"&amp;ROW(),'Handover Cost Report'!$A:$U,19,FALSE),"")</f>
        <v>0</v>
      </c>
    </row>
    <row r="59" spans="1:31" s="3" customFormat="1" x14ac:dyDescent="0.2">
      <c r="A59" s="3" t="s">
        <v>1408</v>
      </c>
      <c r="B59" s="47" t="s">
        <v>363</v>
      </c>
      <c r="C59" s="47" t="s">
        <v>289</v>
      </c>
      <c r="D59" s="47" t="s">
        <v>349</v>
      </c>
      <c r="E59" s="47" t="s">
        <v>1390</v>
      </c>
      <c r="F59" s="47" t="s">
        <v>1390</v>
      </c>
      <c r="G59" s="47">
        <f>VLOOKUP(A59,'[1]Z8290 New Assets_output'!$A:$C,3,FALSE)</f>
        <v>294914</v>
      </c>
      <c r="H59" s="47">
        <v>9</v>
      </c>
      <c r="I59" s="47" t="s">
        <v>244</v>
      </c>
      <c r="J59" s="164">
        <v>0</v>
      </c>
      <c r="K59" s="56">
        <f>H59*J59</f>
        <v>0</v>
      </c>
      <c r="L59" s="93" t="s">
        <v>130</v>
      </c>
      <c r="M59" s="93" t="s">
        <v>421</v>
      </c>
      <c r="N59" s="93" t="str">
        <f t="array" ref="N59">IFERROR(IF($B59="Building","Buildings",INDEX(CoA_Schema[FinancialClass],MATCH(1,(CoA_Schema[AssetType]=$D59)*(CoA_Schema[AssetClass]=$B59)*(CoA_Schema[AssetSubClass]=$C59),0),0)),"")</f>
        <v>Infrastructure</v>
      </c>
      <c r="O59" s="93" t="str">
        <f t="array" ref="O59">IFERROR(IF($B59="Building","Buildings",INDEX(CoA_Schema[FinancialSubClass],MATCH(1,(CoA_Schema[AssetType]=$D59)*(CoA_Schema[AssetClass]=$B59)*(CoA_Schema[AssetSubClass]=$C59),0),0)),"")</f>
        <v>Traffic Signals</v>
      </c>
      <c r="P59" s="93" t="str">
        <f>IFERROR(VLOOKUP($I59,UoM!$A:$C,2,FALSE),"")</f>
        <v>Length</v>
      </c>
      <c r="Q59" s="47" t="s">
        <v>1433</v>
      </c>
      <c r="R59" s="47" t="s">
        <v>1389</v>
      </c>
      <c r="S59" s="47">
        <v>20</v>
      </c>
      <c r="T59" s="47"/>
      <c r="U59" s="47"/>
      <c r="V59" s="47"/>
      <c r="W59" s="47"/>
      <c r="X59" s="47"/>
      <c r="Y59" s="119">
        <v>45974</v>
      </c>
      <c r="Z59" s="119">
        <v>45974</v>
      </c>
      <c r="AA59" s="47" t="s">
        <v>1563</v>
      </c>
      <c r="AB59" s="162" t="s">
        <v>1430</v>
      </c>
      <c r="AC59" s="56">
        <f>IFERROR(VLOOKUP("New Assets:"&amp;ROW(),'Handover Cost Report'!$A:$U,17,FALSE),"")</f>
        <v>0</v>
      </c>
      <c r="AD59" s="56">
        <f>IFERROR(VLOOKUP("New Assets:"&amp;ROW(),'Handover Cost Report'!$A:$U,18,FALSE),"")</f>
        <v>0</v>
      </c>
      <c r="AE59" s="56">
        <f>IFERROR(VLOOKUP("New Assets:"&amp;ROW(),'Handover Cost Report'!$A:$U,19,FALSE),"")</f>
        <v>0</v>
      </c>
    </row>
    <row r="60" spans="1:31" s="3" customFormat="1" x14ac:dyDescent="0.2">
      <c r="A60" s="158" t="s">
        <v>1408</v>
      </c>
      <c r="B60" s="47" t="s">
        <v>363</v>
      </c>
      <c r="C60" s="47" t="s">
        <v>289</v>
      </c>
      <c r="D60" s="47" t="s">
        <v>349</v>
      </c>
      <c r="E60" s="154" t="s">
        <v>1393</v>
      </c>
      <c r="F60" s="47" t="s">
        <v>1549</v>
      </c>
      <c r="G60" s="47">
        <f>VLOOKUP(A60,'[1]Z8290 New Assets_output'!$A:$C,3,FALSE)</f>
        <v>294914</v>
      </c>
      <c r="H60" s="47">
        <v>9</v>
      </c>
      <c r="I60" s="47" t="s">
        <v>244</v>
      </c>
      <c r="J60" s="163">
        <v>83.394774062600149</v>
      </c>
      <c r="K60" s="56">
        <f t="shared" ref="K60:K62" si="6">H60*J60</f>
        <v>750.55296656340136</v>
      </c>
      <c r="L60" s="93" t="s">
        <v>130</v>
      </c>
      <c r="M60" s="93" t="s">
        <v>421</v>
      </c>
      <c r="N60" s="93" t="str">
        <f t="array" ref="N60">IFERROR(IF($B60="Building","Buildings",INDEX(CoA_Schema[FinancialClass],MATCH(1,(CoA_Schema[AssetType]=$D60)*(CoA_Schema[AssetClass]=$B60)*(CoA_Schema[AssetSubClass]=$C60),0),0)),"")</f>
        <v>Infrastructure</v>
      </c>
      <c r="O60" s="93" t="str">
        <f t="array" ref="O60">IFERROR(IF($B60="Building","Buildings",INDEX(CoA_Schema[FinancialSubClass],MATCH(1,(CoA_Schema[AssetType]=$D60)*(CoA_Schema[AssetClass]=$B60)*(CoA_Schema[AssetSubClass]=$C60),0),0)),"")</f>
        <v>Traffic Signals</v>
      </c>
      <c r="P60" s="93" t="str">
        <f>IFERROR(VLOOKUP($I60,UoM!$A:$C,2,FALSE),"")</f>
        <v>Length</v>
      </c>
      <c r="Q60" s="47" t="s">
        <v>1389</v>
      </c>
      <c r="R60" s="47" t="s">
        <v>1389</v>
      </c>
      <c r="S60" s="47">
        <v>20</v>
      </c>
      <c r="T60" s="47"/>
      <c r="U60" s="47"/>
      <c r="V60" s="47"/>
      <c r="W60" s="47"/>
      <c r="X60" s="47"/>
      <c r="Y60" s="119">
        <v>45974</v>
      </c>
      <c r="Z60" s="119">
        <v>45974</v>
      </c>
      <c r="AA60" s="47" t="s">
        <v>1563</v>
      </c>
      <c r="AB60" s="47"/>
      <c r="AC60" s="56">
        <f>IFERROR(VLOOKUP("New Assets:"&amp;ROW(),'Handover Cost Report'!$A:$U,17,FALSE),"")</f>
        <v>750.55</v>
      </c>
      <c r="AD60" s="56">
        <f>IFERROR(VLOOKUP("New Assets:"&amp;ROW(),'Handover Cost Report'!$A:$U,18,FALSE),"")</f>
        <v>0</v>
      </c>
      <c r="AE60" s="56">
        <f>IFERROR(VLOOKUP("New Assets:"&amp;ROW(),'Handover Cost Report'!$A:$U,19,FALSE),"")</f>
        <v>0</v>
      </c>
    </row>
    <row r="61" spans="1:31" s="3" customFormat="1" x14ac:dyDescent="0.2">
      <c r="A61" s="159" t="s">
        <v>1408</v>
      </c>
      <c r="B61" s="47" t="s">
        <v>363</v>
      </c>
      <c r="C61" s="47" t="s">
        <v>289</v>
      </c>
      <c r="D61" s="47" t="s">
        <v>349</v>
      </c>
      <c r="E61" s="160" t="s">
        <v>1394</v>
      </c>
      <c r="F61" s="47" t="s">
        <v>1548</v>
      </c>
      <c r="G61" s="47">
        <f>VLOOKUP(A61,'[1]Z8290 New Assets_output'!$A:$C,3,FALSE)</f>
        <v>294914</v>
      </c>
      <c r="H61" s="47">
        <v>9</v>
      </c>
      <c r="I61" s="47" t="s">
        <v>244</v>
      </c>
      <c r="J61" s="163">
        <v>157.21965601965601</v>
      </c>
      <c r="K61" s="56">
        <f t="shared" si="6"/>
        <v>1414.9769041769041</v>
      </c>
      <c r="L61" s="93" t="s">
        <v>130</v>
      </c>
      <c r="M61" s="93" t="s">
        <v>421</v>
      </c>
      <c r="N61" s="93" t="str">
        <f t="array" ref="N61">IFERROR(IF($B61="Building","Buildings",INDEX(CoA_Schema[FinancialClass],MATCH(1,(CoA_Schema[AssetType]=$D61)*(CoA_Schema[AssetClass]=$B61)*(CoA_Schema[AssetSubClass]=$C61),0),0)),"")</f>
        <v>Infrastructure</v>
      </c>
      <c r="O61" s="93" t="str">
        <f t="array" ref="O61">IFERROR(IF($B61="Building","Buildings",INDEX(CoA_Schema[FinancialSubClass],MATCH(1,(CoA_Schema[AssetType]=$D61)*(CoA_Schema[AssetClass]=$B61)*(CoA_Schema[AssetSubClass]=$C61),0),0)),"")</f>
        <v>Traffic Signals</v>
      </c>
      <c r="P61" s="93" t="str">
        <f>IFERROR(VLOOKUP($I61,UoM!$A:$C,2,FALSE),"")</f>
        <v>Length</v>
      </c>
      <c r="Q61" s="47" t="s">
        <v>1389</v>
      </c>
      <c r="R61" s="47" t="s">
        <v>1389</v>
      </c>
      <c r="S61" s="47">
        <v>20</v>
      </c>
      <c r="T61" s="47"/>
      <c r="U61" s="47"/>
      <c r="V61" s="47"/>
      <c r="W61" s="47"/>
      <c r="X61" s="47"/>
      <c r="Y61" s="119">
        <v>45974</v>
      </c>
      <c r="Z61" s="119">
        <v>45974</v>
      </c>
      <c r="AA61" s="47" t="s">
        <v>1563</v>
      </c>
      <c r="AB61" s="47"/>
      <c r="AC61" s="56">
        <f>IFERROR(VLOOKUP("New Assets:"&amp;ROW(),'Handover Cost Report'!$A:$U,17,FALSE),"")</f>
        <v>1414.98</v>
      </c>
      <c r="AD61" s="56">
        <f>IFERROR(VLOOKUP("New Assets:"&amp;ROW(),'Handover Cost Report'!$A:$U,18,FALSE),"")</f>
        <v>0</v>
      </c>
      <c r="AE61" s="56">
        <f>IFERROR(VLOOKUP("New Assets:"&amp;ROW(),'Handover Cost Report'!$A:$U,19,FALSE),"")</f>
        <v>0</v>
      </c>
    </row>
    <row r="62" spans="1:31" s="3" customFormat="1" x14ac:dyDescent="0.2">
      <c r="A62" s="3" t="s">
        <v>1409</v>
      </c>
      <c r="B62" s="47" t="s">
        <v>363</v>
      </c>
      <c r="C62" s="47" t="s">
        <v>289</v>
      </c>
      <c r="D62" s="47" t="s">
        <v>349</v>
      </c>
      <c r="E62" s="47" t="s">
        <v>1390</v>
      </c>
      <c r="F62" s="47" t="s">
        <v>1390</v>
      </c>
      <c r="G62" s="47">
        <f>VLOOKUP(A62,'[1]Z8290 New Assets_output'!$A:$C,3,FALSE)</f>
        <v>294915</v>
      </c>
      <c r="H62" s="47">
        <v>26</v>
      </c>
      <c r="I62" s="47" t="s">
        <v>244</v>
      </c>
      <c r="J62" s="164">
        <v>0</v>
      </c>
      <c r="K62" s="56">
        <f t="shared" si="6"/>
        <v>0</v>
      </c>
      <c r="L62" s="93" t="s">
        <v>130</v>
      </c>
      <c r="M62" s="93" t="s">
        <v>421</v>
      </c>
      <c r="N62" s="93" t="str">
        <f t="array" ref="N62">IFERROR(IF($B62="Building","Buildings",INDEX(CoA_Schema[FinancialClass],MATCH(1,(CoA_Schema[AssetType]=$D62)*(CoA_Schema[AssetClass]=$B62)*(CoA_Schema[AssetSubClass]=$C62),0),0)),"")</f>
        <v>Infrastructure</v>
      </c>
      <c r="O62" s="93" t="str">
        <f t="array" ref="O62">IFERROR(IF($B62="Building","Buildings",INDEX(CoA_Schema[FinancialSubClass],MATCH(1,(CoA_Schema[AssetType]=$D62)*(CoA_Schema[AssetClass]=$B62)*(CoA_Schema[AssetSubClass]=$C62),0),0)),"")</f>
        <v>Traffic Signals</v>
      </c>
      <c r="P62" s="93" t="str">
        <f>IFERROR(VLOOKUP($I62,UoM!$A:$C,2,FALSE),"")</f>
        <v>Length</v>
      </c>
      <c r="Q62" s="47" t="s">
        <v>1433</v>
      </c>
      <c r="R62" s="47" t="s">
        <v>1389</v>
      </c>
      <c r="S62" s="47">
        <v>20</v>
      </c>
      <c r="T62" s="47"/>
      <c r="U62" s="47"/>
      <c r="V62" s="47"/>
      <c r="W62" s="47"/>
      <c r="X62" s="47"/>
      <c r="Y62" s="119">
        <v>45974</v>
      </c>
      <c r="Z62" s="119">
        <v>45974</v>
      </c>
      <c r="AA62" s="47" t="s">
        <v>1563</v>
      </c>
      <c r="AB62" s="162" t="s">
        <v>1430</v>
      </c>
      <c r="AC62" s="56">
        <f>IFERROR(VLOOKUP("New Assets:"&amp;ROW(),'Handover Cost Report'!$A:$U,17,FALSE),"")</f>
        <v>0</v>
      </c>
      <c r="AD62" s="56">
        <f>IFERROR(VLOOKUP("New Assets:"&amp;ROW(),'Handover Cost Report'!$A:$U,18,FALSE),"")</f>
        <v>0</v>
      </c>
      <c r="AE62" s="56">
        <f>IFERROR(VLOOKUP("New Assets:"&amp;ROW(),'Handover Cost Report'!$A:$U,19,FALSE),"")</f>
        <v>0</v>
      </c>
    </row>
    <row r="63" spans="1:31" s="3" customFormat="1" x14ac:dyDescent="0.2">
      <c r="A63" s="158" t="s">
        <v>1409</v>
      </c>
      <c r="B63" s="47" t="s">
        <v>363</v>
      </c>
      <c r="C63" s="47" t="s">
        <v>289</v>
      </c>
      <c r="D63" s="47" t="s">
        <v>349</v>
      </c>
      <c r="E63" s="154" t="s">
        <v>1393</v>
      </c>
      <c r="F63" s="47" t="s">
        <v>1549</v>
      </c>
      <c r="G63" s="47">
        <f>VLOOKUP(A63,'[1]Z8290 New Assets_output'!$A:$C,3,FALSE)</f>
        <v>294915</v>
      </c>
      <c r="H63" s="47">
        <v>26</v>
      </c>
      <c r="I63" s="47" t="s">
        <v>244</v>
      </c>
      <c r="J63" s="163">
        <v>83.394774062600149</v>
      </c>
      <c r="K63" s="56">
        <f t="shared" ref="K63:K83" si="7">H63*J63</f>
        <v>2168.2641256276038</v>
      </c>
      <c r="L63" s="93" t="s">
        <v>130</v>
      </c>
      <c r="M63" s="93" t="s">
        <v>421</v>
      </c>
      <c r="N63" s="93" t="str">
        <f t="array" ref="N63">IFERROR(IF($B63="Building","Buildings",INDEX(CoA_Schema[FinancialClass],MATCH(1,(CoA_Schema[AssetType]=$D63)*(CoA_Schema[AssetClass]=$B63)*(CoA_Schema[AssetSubClass]=$C63),0),0)),"")</f>
        <v>Infrastructure</v>
      </c>
      <c r="O63" s="93" t="str">
        <f t="array" ref="O63">IFERROR(IF($B63="Building","Buildings",INDEX(CoA_Schema[FinancialSubClass],MATCH(1,(CoA_Schema[AssetType]=$D63)*(CoA_Schema[AssetClass]=$B63)*(CoA_Schema[AssetSubClass]=$C63),0),0)),"")</f>
        <v>Traffic Signals</v>
      </c>
      <c r="P63" s="93" t="str">
        <f>IFERROR(VLOOKUP($I63,UoM!$A:$C,2,FALSE),"")</f>
        <v>Length</v>
      </c>
      <c r="Q63" s="47" t="s">
        <v>1389</v>
      </c>
      <c r="R63" s="47" t="s">
        <v>1389</v>
      </c>
      <c r="S63" s="47">
        <v>20</v>
      </c>
      <c r="T63" s="47"/>
      <c r="U63" s="47"/>
      <c r="V63" s="47"/>
      <c r="W63" s="47"/>
      <c r="X63" s="47"/>
      <c r="Y63" s="119">
        <v>45974</v>
      </c>
      <c r="Z63" s="119">
        <v>45974</v>
      </c>
      <c r="AA63" s="47" t="s">
        <v>1563</v>
      </c>
      <c r="AB63" s="47"/>
      <c r="AC63" s="56">
        <f>IFERROR(VLOOKUP("New Assets:"&amp;ROW(),'Handover Cost Report'!$A:$U,17,FALSE),"")</f>
        <v>2168.2600000000002</v>
      </c>
      <c r="AD63" s="56">
        <f>IFERROR(VLOOKUP("New Assets:"&amp;ROW(),'Handover Cost Report'!$A:$U,18,FALSE),"")</f>
        <v>0</v>
      </c>
      <c r="AE63" s="56">
        <f>IFERROR(VLOOKUP("New Assets:"&amp;ROW(),'Handover Cost Report'!$A:$U,19,FALSE),"")</f>
        <v>0</v>
      </c>
    </row>
    <row r="64" spans="1:31" s="3" customFormat="1" x14ac:dyDescent="0.2">
      <c r="A64" s="159" t="s">
        <v>1409</v>
      </c>
      <c r="B64" s="47" t="s">
        <v>363</v>
      </c>
      <c r="C64" s="47" t="s">
        <v>289</v>
      </c>
      <c r="D64" s="47" t="s">
        <v>349</v>
      </c>
      <c r="E64" s="160" t="s">
        <v>1394</v>
      </c>
      <c r="F64" s="47" t="s">
        <v>1548</v>
      </c>
      <c r="G64" s="47">
        <f>VLOOKUP(A64,'[1]Z8290 New Assets_output'!$A:$C,3,FALSE)</f>
        <v>294915</v>
      </c>
      <c r="H64" s="47">
        <v>26</v>
      </c>
      <c r="I64" s="47" t="s">
        <v>244</v>
      </c>
      <c r="J64" s="163">
        <v>157.21965601965601</v>
      </c>
      <c r="K64" s="56">
        <f t="shared" si="7"/>
        <v>4087.7110565110565</v>
      </c>
      <c r="L64" s="93" t="s">
        <v>130</v>
      </c>
      <c r="M64" s="93" t="s">
        <v>421</v>
      </c>
      <c r="N64" s="93" t="str">
        <f t="array" ref="N64">IFERROR(IF($B64="Building","Buildings",INDEX(CoA_Schema[FinancialClass],MATCH(1,(CoA_Schema[AssetType]=$D64)*(CoA_Schema[AssetClass]=$B64)*(CoA_Schema[AssetSubClass]=$C64),0),0)),"")</f>
        <v>Infrastructure</v>
      </c>
      <c r="O64" s="93" t="str">
        <f t="array" ref="O64">IFERROR(IF($B64="Building","Buildings",INDEX(CoA_Schema[FinancialSubClass],MATCH(1,(CoA_Schema[AssetType]=$D64)*(CoA_Schema[AssetClass]=$B64)*(CoA_Schema[AssetSubClass]=$C64),0),0)),"")</f>
        <v>Traffic Signals</v>
      </c>
      <c r="P64" s="93" t="str">
        <f>IFERROR(VLOOKUP($I64,UoM!$A:$C,2,FALSE),"")</f>
        <v>Length</v>
      </c>
      <c r="Q64" s="47" t="s">
        <v>1389</v>
      </c>
      <c r="R64" s="47" t="s">
        <v>1389</v>
      </c>
      <c r="S64" s="47">
        <v>20</v>
      </c>
      <c r="T64" s="47"/>
      <c r="U64" s="47"/>
      <c r="V64" s="47"/>
      <c r="W64" s="47"/>
      <c r="X64" s="47"/>
      <c r="Y64" s="119">
        <v>45974</v>
      </c>
      <c r="Z64" s="119">
        <v>45974</v>
      </c>
      <c r="AA64" s="47" t="s">
        <v>1563</v>
      </c>
      <c r="AB64" s="47"/>
      <c r="AC64" s="56">
        <f>IFERROR(VLOOKUP("New Assets:"&amp;ROW(),'Handover Cost Report'!$A:$U,17,FALSE),"")</f>
        <v>4087.71</v>
      </c>
      <c r="AD64" s="56">
        <f>IFERROR(VLOOKUP("New Assets:"&amp;ROW(),'Handover Cost Report'!$A:$U,18,FALSE),"")</f>
        <v>0</v>
      </c>
      <c r="AE64" s="56">
        <f>IFERROR(VLOOKUP("New Assets:"&amp;ROW(),'Handover Cost Report'!$A:$U,19,FALSE),"")</f>
        <v>0</v>
      </c>
    </row>
    <row r="65" spans="1:31" s="3" customFormat="1" x14ac:dyDescent="0.2">
      <c r="A65" s="3" t="s">
        <v>1410</v>
      </c>
      <c r="B65" s="47" t="s">
        <v>363</v>
      </c>
      <c r="C65" s="47" t="s">
        <v>289</v>
      </c>
      <c r="D65" s="47" t="s">
        <v>349</v>
      </c>
      <c r="E65" s="47" t="s">
        <v>1390</v>
      </c>
      <c r="F65" s="47" t="s">
        <v>1390</v>
      </c>
      <c r="G65" s="47">
        <f>VLOOKUP(A65,'[1]Z8290 New Assets_output'!$A:$C,3,FALSE)</f>
        <v>294912</v>
      </c>
      <c r="H65" s="47">
        <v>26</v>
      </c>
      <c r="I65" s="47" t="s">
        <v>244</v>
      </c>
      <c r="J65" s="164">
        <v>0</v>
      </c>
      <c r="K65" s="56">
        <f t="shared" si="7"/>
        <v>0</v>
      </c>
      <c r="L65" s="93" t="s">
        <v>130</v>
      </c>
      <c r="M65" s="93" t="s">
        <v>421</v>
      </c>
      <c r="N65" s="93" t="str">
        <f t="array" ref="N65">IFERROR(IF($B65="Building","Buildings",INDEX(CoA_Schema[FinancialClass],MATCH(1,(CoA_Schema[AssetType]=$D65)*(CoA_Schema[AssetClass]=$B65)*(CoA_Schema[AssetSubClass]=$C65),0),0)),"")</f>
        <v>Infrastructure</v>
      </c>
      <c r="O65" s="93" t="str">
        <f t="array" ref="O65">IFERROR(IF($B65="Building","Buildings",INDEX(CoA_Schema[FinancialSubClass],MATCH(1,(CoA_Schema[AssetType]=$D65)*(CoA_Schema[AssetClass]=$B65)*(CoA_Schema[AssetSubClass]=$C65),0),0)),"")</f>
        <v>Traffic Signals</v>
      </c>
      <c r="P65" s="93" t="str">
        <f>IFERROR(VLOOKUP($I65,UoM!$A:$C,2,FALSE),"")</f>
        <v>Length</v>
      </c>
      <c r="Q65" s="47" t="s">
        <v>1433</v>
      </c>
      <c r="R65" s="47" t="s">
        <v>1389</v>
      </c>
      <c r="S65" s="47">
        <v>20</v>
      </c>
      <c r="T65" s="47"/>
      <c r="U65" s="47"/>
      <c r="V65" s="47"/>
      <c r="W65" s="47"/>
      <c r="X65" s="47"/>
      <c r="Y65" s="119">
        <v>45974</v>
      </c>
      <c r="Z65" s="119">
        <v>45974</v>
      </c>
      <c r="AA65" s="47" t="s">
        <v>1563</v>
      </c>
      <c r="AB65" s="162" t="s">
        <v>1430</v>
      </c>
      <c r="AC65" s="56">
        <f>IFERROR(VLOOKUP("New Assets:"&amp;ROW(),'Handover Cost Report'!$A:$U,17,FALSE),"")</f>
        <v>0</v>
      </c>
      <c r="AD65" s="56">
        <f>IFERROR(VLOOKUP("New Assets:"&amp;ROW(),'Handover Cost Report'!$A:$U,18,FALSE),"")</f>
        <v>0</v>
      </c>
      <c r="AE65" s="56">
        <f>IFERROR(VLOOKUP("New Assets:"&amp;ROW(),'Handover Cost Report'!$A:$U,19,FALSE),"")</f>
        <v>0</v>
      </c>
    </row>
    <row r="66" spans="1:31" s="3" customFormat="1" x14ac:dyDescent="0.2">
      <c r="A66" s="158" t="s">
        <v>1410</v>
      </c>
      <c r="B66" s="47" t="s">
        <v>363</v>
      </c>
      <c r="C66" s="47" t="s">
        <v>289</v>
      </c>
      <c r="D66" s="47" t="s">
        <v>349</v>
      </c>
      <c r="E66" s="154" t="s">
        <v>1393</v>
      </c>
      <c r="F66" s="47" t="s">
        <v>1549</v>
      </c>
      <c r="G66" s="47">
        <f>VLOOKUP(A66,'[1]Z8290 New Assets_output'!$A:$C,3,FALSE)</f>
        <v>294912</v>
      </c>
      <c r="H66" s="47">
        <v>26</v>
      </c>
      <c r="I66" s="47" t="s">
        <v>244</v>
      </c>
      <c r="J66" s="163">
        <v>83.394774062600149</v>
      </c>
      <c r="K66" s="56">
        <f t="shared" si="7"/>
        <v>2168.2641256276038</v>
      </c>
      <c r="L66" s="93" t="s">
        <v>130</v>
      </c>
      <c r="M66" s="93" t="s">
        <v>421</v>
      </c>
      <c r="N66" s="93" t="str">
        <f t="array" ref="N66">IFERROR(IF($B66="Building","Buildings",INDEX(CoA_Schema[FinancialClass],MATCH(1,(CoA_Schema[AssetType]=$D66)*(CoA_Schema[AssetClass]=$B66)*(CoA_Schema[AssetSubClass]=$C66),0),0)),"")</f>
        <v>Infrastructure</v>
      </c>
      <c r="O66" s="93" t="str">
        <f t="array" ref="O66">IFERROR(IF($B66="Building","Buildings",INDEX(CoA_Schema[FinancialSubClass],MATCH(1,(CoA_Schema[AssetType]=$D66)*(CoA_Schema[AssetClass]=$B66)*(CoA_Schema[AssetSubClass]=$C66),0),0)),"")</f>
        <v>Traffic Signals</v>
      </c>
      <c r="P66" s="93" t="str">
        <f>IFERROR(VLOOKUP($I66,UoM!$A:$C,2,FALSE),"")</f>
        <v>Length</v>
      </c>
      <c r="Q66" s="47" t="s">
        <v>1389</v>
      </c>
      <c r="R66" s="47" t="s">
        <v>1389</v>
      </c>
      <c r="S66" s="47">
        <v>20</v>
      </c>
      <c r="T66" s="47"/>
      <c r="U66" s="47"/>
      <c r="V66" s="47"/>
      <c r="W66" s="47"/>
      <c r="X66" s="47"/>
      <c r="Y66" s="119">
        <v>45974</v>
      </c>
      <c r="Z66" s="119">
        <v>45974</v>
      </c>
      <c r="AA66" s="47" t="s">
        <v>1563</v>
      </c>
      <c r="AB66" s="47"/>
      <c r="AC66" s="56">
        <f>IFERROR(VLOOKUP("New Assets:"&amp;ROW(),'Handover Cost Report'!$A:$U,17,FALSE),"")</f>
        <v>2168.2600000000002</v>
      </c>
      <c r="AD66" s="56">
        <f>IFERROR(VLOOKUP("New Assets:"&amp;ROW(),'Handover Cost Report'!$A:$U,18,FALSE),"")</f>
        <v>0</v>
      </c>
      <c r="AE66" s="56">
        <f>IFERROR(VLOOKUP("New Assets:"&amp;ROW(),'Handover Cost Report'!$A:$U,19,FALSE),"")</f>
        <v>0</v>
      </c>
    </row>
    <row r="67" spans="1:31" s="3" customFormat="1" x14ac:dyDescent="0.2">
      <c r="A67" s="159" t="s">
        <v>1410</v>
      </c>
      <c r="B67" s="47" t="s">
        <v>363</v>
      </c>
      <c r="C67" s="47" t="s">
        <v>289</v>
      </c>
      <c r="D67" s="47" t="s">
        <v>349</v>
      </c>
      <c r="E67" s="160" t="s">
        <v>1394</v>
      </c>
      <c r="F67" s="47" t="s">
        <v>1548</v>
      </c>
      <c r="G67" s="47">
        <f>VLOOKUP(A67,'[1]Z8290 New Assets_output'!$A:$C,3,FALSE)</f>
        <v>294912</v>
      </c>
      <c r="H67" s="47">
        <v>26</v>
      </c>
      <c r="I67" s="47" t="s">
        <v>244</v>
      </c>
      <c r="J67" s="163">
        <v>157.21965601965601</v>
      </c>
      <c r="K67" s="56">
        <f t="shared" si="7"/>
        <v>4087.7110565110565</v>
      </c>
      <c r="L67" s="93" t="s">
        <v>130</v>
      </c>
      <c r="M67" s="93" t="s">
        <v>421</v>
      </c>
      <c r="N67" s="93" t="str">
        <f t="array" ref="N67">IFERROR(IF($B67="Building","Buildings",INDEX(CoA_Schema[FinancialClass],MATCH(1,(CoA_Schema[AssetType]=$D67)*(CoA_Schema[AssetClass]=$B67)*(CoA_Schema[AssetSubClass]=$C67),0),0)),"")</f>
        <v>Infrastructure</v>
      </c>
      <c r="O67" s="93" t="str">
        <f t="array" ref="O67">IFERROR(IF($B67="Building","Buildings",INDEX(CoA_Schema[FinancialSubClass],MATCH(1,(CoA_Schema[AssetType]=$D67)*(CoA_Schema[AssetClass]=$B67)*(CoA_Schema[AssetSubClass]=$C67),0),0)),"")</f>
        <v>Traffic Signals</v>
      </c>
      <c r="P67" s="93" t="str">
        <f>IFERROR(VLOOKUP($I67,UoM!$A:$C,2,FALSE),"")</f>
        <v>Length</v>
      </c>
      <c r="Q67" s="47" t="s">
        <v>1389</v>
      </c>
      <c r="R67" s="47" t="s">
        <v>1389</v>
      </c>
      <c r="S67" s="47">
        <v>20</v>
      </c>
      <c r="T67" s="47"/>
      <c r="U67" s="47"/>
      <c r="V67" s="47"/>
      <c r="W67" s="47"/>
      <c r="X67" s="47"/>
      <c r="Y67" s="119">
        <v>45974</v>
      </c>
      <c r="Z67" s="119">
        <v>45974</v>
      </c>
      <c r="AA67" s="47" t="s">
        <v>1563</v>
      </c>
      <c r="AB67" s="47"/>
      <c r="AC67" s="56">
        <f>IFERROR(VLOOKUP("New Assets:"&amp;ROW(),'Handover Cost Report'!$A:$U,17,FALSE),"")</f>
        <v>4087.71</v>
      </c>
      <c r="AD67" s="56">
        <f>IFERROR(VLOOKUP("New Assets:"&amp;ROW(),'Handover Cost Report'!$A:$U,18,FALSE),"")</f>
        <v>0</v>
      </c>
      <c r="AE67" s="56">
        <f>IFERROR(VLOOKUP("New Assets:"&amp;ROW(),'Handover Cost Report'!$A:$U,19,FALSE),"")</f>
        <v>0</v>
      </c>
    </row>
    <row r="68" spans="1:31" s="3" customFormat="1" x14ac:dyDescent="0.2">
      <c r="A68" s="3" t="s">
        <v>1411</v>
      </c>
      <c r="B68" s="47" t="s">
        <v>363</v>
      </c>
      <c r="C68" s="47" t="s">
        <v>289</v>
      </c>
      <c r="D68" s="47" t="s">
        <v>349</v>
      </c>
      <c r="E68" s="47" t="s">
        <v>1390</v>
      </c>
      <c r="F68" s="47" t="s">
        <v>1390</v>
      </c>
      <c r="G68" s="47">
        <f>VLOOKUP(A68,'[1]Z8290 New Assets_output'!$A:$C,3,FALSE)</f>
        <v>294916</v>
      </c>
      <c r="H68" s="47">
        <v>26</v>
      </c>
      <c r="I68" s="47" t="s">
        <v>244</v>
      </c>
      <c r="J68" s="164">
        <v>0</v>
      </c>
      <c r="K68" s="56">
        <f>H68*J68</f>
        <v>0</v>
      </c>
      <c r="L68" s="93" t="s">
        <v>130</v>
      </c>
      <c r="M68" s="93" t="s">
        <v>421</v>
      </c>
      <c r="N68" s="93" t="str">
        <f t="array" ref="N68">IFERROR(IF($B68="Building","Buildings",INDEX(CoA_Schema[FinancialClass],MATCH(1,(CoA_Schema[AssetType]=$D68)*(CoA_Schema[AssetClass]=$B68)*(CoA_Schema[AssetSubClass]=$C68),0),0)),"")</f>
        <v>Infrastructure</v>
      </c>
      <c r="O68" s="93" t="str">
        <f t="array" ref="O68">IFERROR(IF($B68="Building","Buildings",INDEX(CoA_Schema[FinancialSubClass],MATCH(1,(CoA_Schema[AssetType]=$D68)*(CoA_Schema[AssetClass]=$B68)*(CoA_Schema[AssetSubClass]=$C68),0),0)),"")</f>
        <v>Traffic Signals</v>
      </c>
      <c r="P68" s="93" t="str">
        <f>IFERROR(VLOOKUP($I68,UoM!$A:$C,2,FALSE),"")</f>
        <v>Length</v>
      </c>
      <c r="Q68" s="47" t="s">
        <v>1433</v>
      </c>
      <c r="R68" s="47" t="s">
        <v>1389</v>
      </c>
      <c r="S68" s="47">
        <v>20</v>
      </c>
      <c r="T68" s="47"/>
      <c r="U68" s="47"/>
      <c r="V68" s="47"/>
      <c r="W68" s="47"/>
      <c r="X68" s="47"/>
      <c r="Y68" s="119">
        <v>45974</v>
      </c>
      <c r="Z68" s="119">
        <v>45974</v>
      </c>
      <c r="AA68" s="47" t="s">
        <v>1563</v>
      </c>
      <c r="AB68" s="162" t="s">
        <v>1430</v>
      </c>
      <c r="AC68" s="56">
        <f>IFERROR(VLOOKUP("New Assets:"&amp;ROW(),'Handover Cost Report'!$A:$U,17,FALSE),"")</f>
        <v>0</v>
      </c>
      <c r="AD68" s="56">
        <f>IFERROR(VLOOKUP("New Assets:"&amp;ROW(),'Handover Cost Report'!$A:$U,18,FALSE),"")</f>
        <v>0</v>
      </c>
      <c r="AE68" s="56">
        <f>IFERROR(VLOOKUP("New Assets:"&amp;ROW(),'Handover Cost Report'!$A:$U,19,FALSE),"")</f>
        <v>0</v>
      </c>
    </row>
    <row r="69" spans="1:31" s="3" customFormat="1" x14ac:dyDescent="0.2">
      <c r="A69" s="158" t="s">
        <v>1411</v>
      </c>
      <c r="B69" s="47" t="s">
        <v>363</v>
      </c>
      <c r="C69" s="47" t="s">
        <v>289</v>
      </c>
      <c r="D69" s="47" t="s">
        <v>349</v>
      </c>
      <c r="E69" s="154" t="s">
        <v>1393</v>
      </c>
      <c r="F69" s="47" t="s">
        <v>1549</v>
      </c>
      <c r="G69" s="47">
        <f>VLOOKUP(A69,'[1]Z8290 New Assets_output'!$A:$C,3,FALSE)</f>
        <v>294916</v>
      </c>
      <c r="H69" s="47">
        <v>26</v>
      </c>
      <c r="I69" s="47" t="s">
        <v>244</v>
      </c>
      <c r="J69" s="163">
        <v>83.394774062600149</v>
      </c>
      <c r="K69" s="56">
        <f t="shared" ref="K69:K70" si="8">H69*J69</f>
        <v>2168.2641256276038</v>
      </c>
      <c r="L69" s="93" t="s">
        <v>130</v>
      </c>
      <c r="M69" s="93" t="s">
        <v>421</v>
      </c>
      <c r="N69" s="93" t="str">
        <f t="array" ref="N69">IFERROR(IF($B69="Building","Buildings",INDEX(CoA_Schema[FinancialClass],MATCH(1,(CoA_Schema[AssetType]=$D69)*(CoA_Schema[AssetClass]=$B69)*(CoA_Schema[AssetSubClass]=$C69),0),0)),"")</f>
        <v>Infrastructure</v>
      </c>
      <c r="O69" s="93" t="str">
        <f t="array" ref="O69">IFERROR(IF($B69="Building","Buildings",INDEX(CoA_Schema[FinancialSubClass],MATCH(1,(CoA_Schema[AssetType]=$D69)*(CoA_Schema[AssetClass]=$B69)*(CoA_Schema[AssetSubClass]=$C69),0),0)),"")</f>
        <v>Traffic Signals</v>
      </c>
      <c r="P69" s="93" t="str">
        <f>IFERROR(VLOOKUP($I69,UoM!$A:$C,2,FALSE),"")</f>
        <v>Length</v>
      </c>
      <c r="Q69" s="47" t="s">
        <v>1389</v>
      </c>
      <c r="R69" s="47" t="s">
        <v>1389</v>
      </c>
      <c r="S69" s="47">
        <v>20</v>
      </c>
      <c r="T69" s="47"/>
      <c r="U69" s="47"/>
      <c r="V69" s="47"/>
      <c r="W69" s="47"/>
      <c r="X69" s="47"/>
      <c r="Y69" s="119">
        <v>45974</v>
      </c>
      <c r="Z69" s="119">
        <v>45974</v>
      </c>
      <c r="AA69" s="47" t="s">
        <v>1563</v>
      </c>
      <c r="AB69" s="47"/>
      <c r="AC69" s="56">
        <f>IFERROR(VLOOKUP("New Assets:"&amp;ROW(),'Handover Cost Report'!$A:$U,17,FALSE),"")</f>
        <v>2168.2600000000002</v>
      </c>
      <c r="AD69" s="56">
        <f>IFERROR(VLOOKUP("New Assets:"&amp;ROW(),'Handover Cost Report'!$A:$U,18,FALSE),"")</f>
        <v>0</v>
      </c>
      <c r="AE69" s="56">
        <f>IFERROR(VLOOKUP("New Assets:"&amp;ROW(),'Handover Cost Report'!$A:$U,19,FALSE),"")</f>
        <v>0</v>
      </c>
    </row>
    <row r="70" spans="1:31" s="3" customFormat="1" x14ac:dyDescent="0.2">
      <c r="A70" s="159" t="s">
        <v>1411</v>
      </c>
      <c r="B70" s="47" t="s">
        <v>363</v>
      </c>
      <c r="C70" s="47" t="s">
        <v>289</v>
      </c>
      <c r="D70" s="47" t="s">
        <v>349</v>
      </c>
      <c r="E70" s="160" t="s">
        <v>1394</v>
      </c>
      <c r="F70" s="47" t="s">
        <v>1548</v>
      </c>
      <c r="G70" s="47">
        <f>VLOOKUP(A70,'[1]Z8290 New Assets_output'!$A:$C,3,FALSE)</f>
        <v>294916</v>
      </c>
      <c r="H70" s="47">
        <v>26</v>
      </c>
      <c r="I70" s="47" t="s">
        <v>244</v>
      </c>
      <c r="J70" s="163">
        <v>157.21965601965601</v>
      </c>
      <c r="K70" s="56">
        <f t="shared" si="8"/>
        <v>4087.7110565110565</v>
      </c>
      <c r="L70" s="93" t="s">
        <v>130</v>
      </c>
      <c r="M70" s="93" t="s">
        <v>421</v>
      </c>
      <c r="N70" s="93" t="str">
        <f t="array" ref="N70">IFERROR(IF($B70="Building","Buildings",INDEX(CoA_Schema[FinancialClass],MATCH(1,(CoA_Schema[AssetType]=$D70)*(CoA_Schema[AssetClass]=$B70)*(CoA_Schema[AssetSubClass]=$C70),0),0)),"")</f>
        <v>Infrastructure</v>
      </c>
      <c r="O70" s="93" t="str">
        <f t="array" ref="O70">IFERROR(IF($B70="Building","Buildings",INDEX(CoA_Schema[FinancialSubClass],MATCH(1,(CoA_Schema[AssetType]=$D70)*(CoA_Schema[AssetClass]=$B70)*(CoA_Schema[AssetSubClass]=$C70),0),0)),"")</f>
        <v>Traffic Signals</v>
      </c>
      <c r="P70" s="93" t="str">
        <f>IFERROR(VLOOKUP($I70,UoM!$A:$C,2,FALSE),"")</f>
        <v>Length</v>
      </c>
      <c r="Q70" s="47" t="s">
        <v>1389</v>
      </c>
      <c r="R70" s="47" t="s">
        <v>1389</v>
      </c>
      <c r="S70" s="47">
        <v>20</v>
      </c>
      <c r="T70" s="47"/>
      <c r="U70" s="47"/>
      <c r="V70" s="47"/>
      <c r="W70" s="47"/>
      <c r="X70" s="47"/>
      <c r="Y70" s="119">
        <v>45974</v>
      </c>
      <c r="Z70" s="119">
        <v>45974</v>
      </c>
      <c r="AA70" s="47" t="s">
        <v>1563</v>
      </c>
      <c r="AB70" s="47"/>
      <c r="AC70" s="56">
        <f>IFERROR(VLOOKUP("New Assets:"&amp;ROW(),'Handover Cost Report'!$A:$U,17,FALSE),"")</f>
        <v>4087.71</v>
      </c>
      <c r="AD70" s="56">
        <f>IFERROR(VLOOKUP("New Assets:"&amp;ROW(),'Handover Cost Report'!$A:$U,18,FALSE),"")</f>
        <v>0</v>
      </c>
      <c r="AE70" s="56">
        <f>IFERROR(VLOOKUP("New Assets:"&amp;ROW(),'Handover Cost Report'!$A:$U,19,FALSE),"")</f>
        <v>0</v>
      </c>
    </row>
    <row r="71" spans="1:31" s="3" customFormat="1" x14ac:dyDescent="0.2">
      <c r="A71" s="159" t="s">
        <v>1412</v>
      </c>
      <c r="B71" s="47" t="s">
        <v>363</v>
      </c>
      <c r="C71" s="47" t="s">
        <v>289</v>
      </c>
      <c r="D71" s="47" t="s">
        <v>349</v>
      </c>
      <c r="E71" s="160" t="s">
        <v>1394</v>
      </c>
      <c r="F71" s="47" t="s">
        <v>1548</v>
      </c>
      <c r="G71" s="47">
        <f>VLOOKUP(A71,'[1]Z8290 New Assets_output'!$A:$C,3,FALSE)</f>
        <v>294917</v>
      </c>
      <c r="H71" s="47">
        <v>4</v>
      </c>
      <c r="I71" s="47" t="s">
        <v>244</v>
      </c>
      <c r="J71" s="163">
        <v>157.21965601965601</v>
      </c>
      <c r="K71" s="56">
        <f t="shared" ref="K71:K72" si="9">H71*J71</f>
        <v>628.87862407862406</v>
      </c>
      <c r="L71" s="93" t="s">
        <v>130</v>
      </c>
      <c r="M71" s="93" t="s">
        <v>421</v>
      </c>
      <c r="N71" s="93" t="str">
        <f t="array" ref="N71">IFERROR(IF($B71="Building","Buildings",INDEX(CoA_Schema[FinancialClass],MATCH(1,(CoA_Schema[AssetType]=$D71)*(CoA_Schema[AssetClass]=$B71)*(CoA_Schema[AssetSubClass]=$C71),0),0)),"")</f>
        <v>Infrastructure</v>
      </c>
      <c r="O71" s="93" t="str">
        <f t="array" ref="O71">IFERROR(IF($B71="Building","Buildings",INDEX(CoA_Schema[FinancialSubClass],MATCH(1,(CoA_Schema[AssetType]=$D71)*(CoA_Schema[AssetClass]=$B71)*(CoA_Schema[AssetSubClass]=$C71),0),0)),"")</f>
        <v>Traffic Signals</v>
      </c>
      <c r="P71" s="93" t="str">
        <f>IFERROR(VLOOKUP($I71,UoM!$A:$C,2,FALSE),"")</f>
        <v>Length</v>
      </c>
      <c r="Q71" s="47" t="s">
        <v>1389</v>
      </c>
      <c r="R71" s="47" t="s">
        <v>1389</v>
      </c>
      <c r="S71" s="47">
        <v>20</v>
      </c>
      <c r="T71" s="47"/>
      <c r="U71" s="47"/>
      <c r="V71" s="47"/>
      <c r="W71" s="47"/>
      <c r="X71" s="47"/>
      <c r="Y71" s="119">
        <v>45974</v>
      </c>
      <c r="Z71" s="119">
        <v>45974</v>
      </c>
      <c r="AA71" s="47" t="s">
        <v>1563</v>
      </c>
      <c r="AB71" s="47"/>
      <c r="AC71" s="56">
        <f>IFERROR(VLOOKUP("New Assets:"&amp;ROW(),'Handover Cost Report'!$A:$U,17,FALSE),"")</f>
        <v>628.88</v>
      </c>
      <c r="AD71" s="56">
        <f>IFERROR(VLOOKUP("New Assets:"&amp;ROW(),'Handover Cost Report'!$A:$U,18,FALSE),"")</f>
        <v>0</v>
      </c>
      <c r="AE71" s="56">
        <f>IFERROR(VLOOKUP("New Assets:"&amp;ROW(),'Handover Cost Report'!$A:$U,19,FALSE),"")</f>
        <v>0</v>
      </c>
    </row>
    <row r="72" spans="1:31" s="3" customFormat="1" x14ac:dyDescent="0.2">
      <c r="A72" s="3" t="s">
        <v>1412</v>
      </c>
      <c r="B72" s="47" t="s">
        <v>363</v>
      </c>
      <c r="C72" s="47" t="s">
        <v>289</v>
      </c>
      <c r="D72" s="47" t="s">
        <v>349</v>
      </c>
      <c r="E72" s="47" t="s">
        <v>1403</v>
      </c>
      <c r="F72" s="47" t="s">
        <v>1403</v>
      </c>
      <c r="G72" s="47">
        <f>VLOOKUP(A72,'[1]Z8290 New Assets_output'!$A:$C,3,FALSE)</f>
        <v>294917</v>
      </c>
      <c r="H72" s="47">
        <v>4</v>
      </c>
      <c r="I72" s="47" t="s">
        <v>244</v>
      </c>
      <c r="J72" s="164">
        <v>0</v>
      </c>
      <c r="K72" s="56">
        <f t="shared" si="9"/>
        <v>0</v>
      </c>
      <c r="L72" s="93" t="s">
        <v>130</v>
      </c>
      <c r="M72" s="93" t="s">
        <v>421</v>
      </c>
      <c r="N72" s="93" t="str">
        <f t="array" ref="N72">IFERROR(IF($B72="Building","Buildings",INDEX(CoA_Schema[FinancialClass],MATCH(1,(CoA_Schema[AssetType]=$D72)*(CoA_Schema[AssetClass]=$B72)*(CoA_Schema[AssetSubClass]=$C72),0),0)),"")</f>
        <v>Infrastructure</v>
      </c>
      <c r="O72" s="93" t="str">
        <f t="array" ref="O72">IFERROR(IF($B72="Building","Buildings",INDEX(CoA_Schema[FinancialSubClass],MATCH(1,(CoA_Schema[AssetType]=$D72)*(CoA_Schema[AssetClass]=$B72)*(CoA_Schema[AssetSubClass]=$C72),0),0)),"")</f>
        <v>Traffic Signals</v>
      </c>
      <c r="P72" s="93" t="str">
        <f>IFERROR(VLOOKUP($I72,UoM!$A:$C,2,FALSE),"")</f>
        <v>Length</v>
      </c>
      <c r="Q72" s="47" t="s">
        <v>1433</v>
      </c>
      <c r="R72" s="47" t="s">
        <v>1389</v>
      </c>
      <c r="S72" s="47">
        <v>20</v>
      </c>
      <c r="T72" s="47"/>
      <c r="U72" s="47"/>
      <c r="V72" s="47"/>
      <c r="W72" s="47"/>
      <c r="X72" s="47"/>
      <c r="Y72" s="119">
        <v>45974</v>
      </c>
      <c r="Z72" s="119">
        <v>45974</v>
      </c>
      <c r="AA72" s="47" t="s">
        <v>1563</v>
      </c>
      <c r="AB72" s="162" t="s">
        <v>1430</v>
      </c>
      <c r="AC72" s="56">
        <f>IFERROR(VLOOKUP("New Assets:"&amp;ROW(),'Handover Cost Report'!$A:$U,17,FALSE),"")</f>
        <v>0</v>
      </c>
      <c r="AD72" s="56">
        <f>IFERROR(VLOOKUP("New Assets:"&amp;ROW(),'Handover Cost Report'!$A:$U,18,FALSE),"")</f>
        <v>0</v>
      </c>
      <c r="AE72" s="56">
        <f>IFERROR(VLOOKUP("New Assets:"&amp;ROW(),'Handover Cost Report'!$A:$U,19,FALSE),"")</f>
        <v>0</v>
      </c>
    </row>
    <row r="73" spans="1:31" s="3" customFormat="1" x14ac:dyDescent="0.2">
      <c r="A73" s="159" t="s">
        <v>1413</v>
      </c>
      <c r="B73" s="47" t="s">
        <v>363</v>
      </c>
      <c r="C73" s="47" t="s">
        <v>289</v>
      </c>
      <c r="D73" s="47" t="s">
        <v>349</v>
      </c>
      <c r="E73" s="160" t="s">
        <v>1394</v>
      </c>
      <c r="F73" s="47" t="s">
        <v>1548</v>
      </c>
      <c r="G73" s="47">
        <f>VLOOKUP(A73,'[1]Z8290 New Assets_output'!$A:$C,3,FALSE)</f>
        <v>294919</v>
      </c>
      <c r="H73" s="47">
        <v>0.5</v>
      </c>
      <c r="I73" s="47" t="s">
        <v>244</v>
      </c>
      <c r="J73" s="163">
        <v>157.21965601965601</v>
      </c>
      <c r="K73" s="56">
        <f t="shared" si="7"/>
        <v>78.609828009828007</v>
      </c>
      <c r="L73" s="93" t="s">
        <v>130</v>
      </c>
      <c r="M73" s="93" t="s">
        <v>421</v>
      </c>
      <c r="N73" s="93" t="str">
        <f t="array" ref="N73">IFERROR(IF($B73="Building","Buildings",INDEX(CoA_Schema[FinancialClass],MATCH(1,(CoA_Schema[AssetType]=$D73)*(CoA_Schema[AssetClass]=$B73)*(CoA_Schema[AssetSubClass]=$C73),0),0)),"")</f>
        <v>Infrastructure</v>
      </c>
      <c r="O73" s="93" t="str">
        <f t="array" ref="O73">IFERROR(IF($B73="Building","Buildings",INDEX(CoA_Schema[FinancialSubClass],MATCH(1,(CoA_Schema[AssetType]=$D73)*(CoA_Schema[AssetClass]=$B73)*(CoA_Schema[AssetSubClass]=$C73),0),0)),"")</f>
        <v>Traffic Signals</v>
      </c>
      <c r="P73" s="93" t="str">
        <f>IFERROR(VLOOKUP($I73,UoM!$A:$C,2,FALSE),"")</f>
        <v>Length</v>
      </c>
      <c r="Q73" s="47" t="s">
        <v>1389</v>
      </c>
      <c r="R73" s="47" t="s">
        <v>1389</v>
      </c>
      <c r="S73" s="47">
        <v>20</v>
      </c>
      <c r="T73" s="47"/>
      <c r="U73" s="47"/>
      <c r="V73" s="47"/>
      <c r="W73" s="47"/>
      <c r="X73" s="47"/>
      <c r="Y73" s="119">
        <v>45974</v>
      </c>
      <c r="Z73" s="119">
        <v>45974</v>
      </c>
      <c r="AA73" s="47" t="s">
        <v>1563</v>
      </c>
      <c r="AB73" s="47"/>
      <c r="AC73" s="56">
        <f>IFERROR(VLOOKUP("New Assets:"&amp;ROW(),'Handover Cost Report'!$A:$U,17,FALSE),"")</f>
        <v>78.61</v>
      </c>
      <c r="AD73" s="56">
        <f>IFERROR(VLOOKUP("New Assets:"&amp;ROW(),'Handover Cost Report'!$A:$U,18,FALSE),"")</f>
        <v>0</v>
      </c>
      <c r="AE73" s="56">
        <f>IFERROR(VLOOKUP("New Assets:"&amp;ROW(),'Handover Cost Report'!$A:$U,19,FALSE),"")</f>
        <v>0</v>
      </c>
    </row>
    <row r="74" spans="1:31" s="3" customFormat="1" x14ac:dyDescent="0.2">
      <c r="A74" s="3" t="s">
        <v>1413</v>
      </c>
      <c r="B74" s="47" t="s">
        <v>363</v>
      </c>
      <c r="C74" s="47" t="s">
        <v>289</v>
      </c>
      <c r="D74" s="47" t="s">
        <v>349</v>
      </c>
      <c r="E74" s="47" t="s">
        <v>1390</v>
      </c>
      <c r="F74" s="47" t="s">
        <v>1390</v>
      </c>
      <c r="G74" s="47">
        <f>VLOOKUP(A74,'[1]Z8290 New Assets_output'!$A:$C,3,FALSE)</f>
        <v>294919</v>
      </c>
      <c r="H74" s="47">
        <v>0.5</v>
      </c>
      <c r="I74" s="47" t="s">
        <v>244</v>
      </c>
      <c r="J74" s="164">
        <v>0</v>
      </c>
      <c r="K74" s="56">
        <f t="shared" si="7"/>
        <v>0</v>
      </c>
      <c r="L74" s="93" t="s">
        <v>130</v>
      </c>
      <c r="M74" s="93" t="s">
        <v>421</v>
      </c>
      <c r="N74" s="93" t="str">
        <f t="array" ref="N74">IFERROR(IF($B74="Building","Buildings",INDEX(CoA_Schema[FinancialClass],MATCH(1,(CoA_Schema[AssetType]=$D74)*(CoA_Schema[AssetClass]=$B74)*(CoA_Schema[AssetSubClass]=$C74),0),0)),"")</f>
        <v>Infrastructure</v>
      </c>
      <c r="O74" s="93" t="str">
        <f t="array" ref="O74">IFERROR(IF($B74="Building","Buildings",INDEX(CoA_Schema[FinancialSubClass],MATCH(1,(CoA_Schema[AssetType]=$D74)*(CoA_Schema[AssetClass]=$B74)*(CoA_Schema[AssetSubClass]=$C74),0),0)),"")</f>
        <v>Traffic Signals</v>
      </c>
      <c r="P74" s="93" t="str">
        <f>IFERROR(VLOOKUP($I74,UoM!$A:$C,2,FALSE),"")</f>
        <v>Length</v>
      </c>
      <c r="Q74" s="47" t="s">
        <v>1433</v>
      </c>
      <c r="R74" s="47" t="s">
        <v>1389</v>
      </c>
      <c r="S74" s="47">
        <v>20</v>
      </c>
      <c r="T74" s="47"/>
      <c r="U74" s="47"/>
      <c r="V74" s="47"/>
      <c r="W74" s="47"/>
      <c r="X74" s="47"/>
      <c r="Y74" s="119">
        <v>45974</v>
      </c>
      <c r="Z74" s="119">
        <v>45974</v>
      </c>
      <c r="AA74" s="47" t="s">
        <v>1563</v>
      </c>
      <c r="AB74" s="162" t="s">
        <v>1430</v>
      </c>
      <c r="AC74" s="56">
        <f>IFERROR(VLOOKUP("New Assets:"&amp;ROW(),'Handover Cost Report'!$A:$U,17,FALSE),"")</f>
        <v>0</v>
      </c>
      <c r="AD74" s="56">
        <f>IFERROR(VLOOKUP("New Assets:"&amp;ROW(),'Handover Cost Report'!$A:$U,18,FALSE),"")</f>
        <v>0</v>
      </c>
      <c r="AE74" s="56">
        <f>IFERROR(VLOOKUP("New Assets:"&amp;ROW(),'Handover Cost Report'!$A:$U,19,FALSE),"")</f>
        <v>0</v>
      </c>
    </row>
    <row r="75" spans="1:31" s="3" customFormat="1" x14ac:dyDescent="0.2">
      <c r="A75" s="159" t="s">
        <v>1414</v>
      </c>
      <c r="B75" s="47" t="s">
        <v>363</v>
      </c>
      <c r="C75" s="47" t="s">
        <v>289</v>
      </c>
      <c r="D75" s="47" t="s">
        <v>349</v>
      </c>
      <c r="E75" s="160" t="s">
        <v>1394</v>
      </c>
      <c r="F75" s="47" t="s">
        <v>1548</v>
      </c>
      <c r="G75" s="47">
        <f>VLOOKUP(A75,'[1]Z8290 New Assets_output'!$A:$C,3,FALSE)</f>
        <v>294920</v>
      </c>
      <c r="H75" s="47">
        <v>0.5</v>
      </c>
      <c r="I75" s="47" t="s">
        <v>244</v>
      </c>
      <c r="J75" s="163">
        <v>157.21965601965601</v>
      </c>
      <c r="K75" s="56">
        <f t="shared" ref="K75:K78" si="10">H75*J75</f>
        <v>78.609828009828007</v>
      </c>
      <c r="L75" s="93" t="s">
        <v>130</v>
      </c>
      <c r="M75" s="93" t="s">
        <v>421</v>
      </c>
      <c r="N75" s="93" t="str">
        <f t="array" ref="N75">IFERROR(IF($B75="Building","Buildings",INDEX(CoA_Schema[FinancialClass],MATCH(1,(CoA_Schema[AssetType]=$D75)*(CoA_Schema[AssetClass]=$B75)*(CoA_Schema[AssetSubClass]=$C75),0),0)),"")</f>
        <v>Infrastructure</v>
      </c>
      <c r="O75" s="93" t="str">
        <f t="array" ref="O75">IFERROR(IF($B75="Building","Buildings",INDEX(CoA_Schema[FinancialSubClass],MATCH(1,(CoA_Schema[AssetType]=$D75)*(CoA_Schema[AssetClass]=$B75)*(CoA_Schema[AssetSubClass]=$C75),0),0)),"")</f>
        <v>Traffic Signals</v>
      </c>
      <c r="P75" s="93" t="str">
        <f>IFERROR(VLOOKUP($I75,UoM!$A:$C,2,FALSE),"")</f>
        <v>Length</v>
      </c>
      <c r="Q75" s="47" t="s">
        <v>1389</v>
      </c>
      <c r="R75" s="47" t="s">
        <v>1389</v>
      </c>
      <c r="S75" s="47">
        <v>20</v>
      </c>
      <c r="T75" s="47"/>
      <c r="U75" s="47"/>
      <c r="V75" s="47"/>
      <c r="W75" s="47"/>
      <c r="X75" s="47"/>
      <c r="Y75" s="119">
        <v>45974</v>
      </c>
      <c r="Z75" s="119">
        <v>45974</v>
      </c>
      <c r="AA75" s="47" t="s">
        <v>1563</v>
      </c>
      <c r="AB75" s="47"/>
      <c r="AC75" s="56">
        <f>IFERROR(VLOOKUP("New Assets:"&amp;ROW(),'Handover Cost Report'!$A:$U,17,FALSE),"")</f>
        <v>78.61</v>
      </c>
      <c r="AD75" s="56">
        <f>IFERROR(VLOOKUP("New Assets:"&amp;ROW(),'Handover Cost Report'!$A:$U,18,FALSE),"")</f>
        <v>0</v>
      </c>
      <c r="AE75" s="56">
        <f>IFERROR(VLOOKUP("New Assets:"&amp;ROW(),'Handover Cost Report'!$A:$U,19,FALSE),"")</f>
        <v>0</v>
      </c>
    </row>
    <row r="76" spans="1:31" s="3" customFormat="1" x14ac:dyDescent="0.2">
      <c r="A76" s="3" t="s">
        <v>1414</v>
      </c>
      <c r="B76" s="47" t="s">
        <v>363</v>
      </c>
      <c r="C76" s="47" t="s">
        <v>289</v>
      </c>
      <c r="D76" s="47" t="s">
        <v>349</v>
      </c>
      <c r="E76" s="47" t="s">
        <v>1390</v>
      </c>
      <c r="F76" s="47" t="s">
        <v>1390</v>
      </c>
      <c r="G76" s="47">
        <f>VLOOKUP(A76,'[1]Z8290 New Assets_output'!$A:$C,3,FALSE)</f>
        <v>294920</v>
      </c>
      <c r="H76" s="47">
        <v>0.5</v>
      </c>
      <c r="I76" s="47" t="s">
        <v>244</v>
      </c>
      <c r="J76" s="164">
        <v>0</v>
      </c>
      <c r="K76" s="56">
        <f t="shared" si="10"/>
        <v>0</v>
      </c>
      <c r="L76" s="93" t="s">
        <v>130</v>
      </c>
      <c r="M76" s="93" t="s">
        <v>421</v>
      </c>
      <c r="N76" s="93" t="str">
        <f t="array" ref="N76">IFERROR(IF($B76="Building","Buildings",INDEX(CoA_Schema[FinancialClass],MATCH(1,(CoA_Schema[AssetType]=$D76)*(CoA_Schema[AssetClass]=$B76)*(CoA_Schema[AssetSubClass]=$C76),0),0)),"")</f>
        <v>Infrastructure</v>
      </c>
      <c r="O76" s="93" t="str">
        <f t="array" ref="O76">IFERROR(IF($B76="Building","Buildings",INDEX(CoA_Schema[FinancialSubClass],MATCH(1,(CoA_Schema[AssetType]=$D76)*(CoA_Schema[AssetClass]=$B76)*(CoA_Schema[AssetSubClass]=$C76),0),0)),"")</f>
        <v>Traffic Signals</v>
      </c>
      <c r="P76" s="93" t="str">
        <f>IFERROR(VLOOKUP($I76,UoM!$A:$C,2,FALSE),"")</f>
        <v>Length</v>
      </c>
      <c r="Q76" s="47" t="s">
        <v>1433</v>
      </c>
      <c r="R76" s="47" t="s">
        <v>1389</v>
      </c>
      <c r="S76" s="47">
        <v>20</v>
      </c>
      <c r="T76" s="47"/>
      <c r="U76" s="47"/>
      <c r="V76" s="47"/>
      <c r="W76" s="47"/>
      <c r="X76" s="47"/>
      <c r="Y76" s="119">
        <v>45974</v>
      </c>
      <c r="Z76" s="119">
        <v>45974</v>
      </c>
      <c r="AA76" s="47" t="s">
        <v>1563</v>
      </c>
      <c r="AB76" s="162" t="s">
        <v>1430</v>
      </c>
      <c r="AC76" s="56">
        <f>IFERROR(VLOOKUP("New Assets:"&amp;ROW(),'Handover Cost Report'!$A:$U,17,FALSE),"")</f>
        <v>0</v>
      </c>
      <c r="AD76" s="56">
        <f>IFERROR(VLOOKUP("New Assets:"&amp;ROW(),'Handover Cost Report'!$A:$U,18,FALSE),"")</f>
        <v>0</v>
      </c>
      <c r="AE76" s="56">
        <f>IFERROR(VLOOKUP("New Assets:"&amp;ROW(),'Handover Cost Report'!$A:$U,19,FALSE),"")</f>
        <v>0</v>
      </c>
    </row>
    <row r="77" spans="1:31" s="3" customFormat="1" x14ac:dyDescent="0.2">
      <c r="A77" s="159" t="s">
        <v>1415</v>
      </c>
      <c r="B77" s="47" t="s">
        <v>363</v>
      </c>
      <c r="C77" s="47" t="s">
        <v>289</v>
      </c>
      <c r="D77" s="47" t="s">
        <v>349</v>
      </c>
      <c r="E77" s="160" t="s">
        <v>1394</v>
      </c>
      <c r="F77" s="47" t="s">
        <v>1548</v>
      </c>
      <c r="G77" s="47">
        <f>VLOOKUP(A77,'[1]Z8290 New Assets_output'!$A:$C,3,FALSE)</f>
        <v>294918</v>
      </c>
      <c r="H77" s="47">
        <v>0.5</v>
      </c>
      <c r="I77" s="47" t="s">
        <v>244</v>
      </c>
      <c r="J77" s="163">
        <v>157.21965601965601</v>
      </c>
      <c r="K77" s="56">
        <f t="shared" si="10"/>
        <v>78.609828009828007</v>
      </c>
      <c r="L77" s="93" t="s">
        <v>130</v>
      </c>
      <c r="M77" s="93" t="s">
        <v>421</v>
      </c>
      <c r="N77" s="93" t="str">
        <f t="array" ref="N77">IFERROR(IF($B77="Building","Buildings",INDEX(CoA_Schema[FinancialClass],MATCH(1,(CoA_Schema[AssetType]=$D77)*(CoA_Schema[AssetClass]=$B77)*(CoA_Schema[AssetSubClass]=$C77),0),0)),"")</f>
        <v>Infrastructure</v>
      </c>
      <c r="O77" s="93" t="str">
        <f t="array" ref="O77">IFERROR(IF($B77="Building","Buildings",INDEX(CoA_Schema[FinancialSubClass],MATCH(1,(CoA_Schema[AssetType]=$D77)*(CoA_Schema[AssetClass]=$B77)*(CoA_Schema[AssetSubClass]=$C77),0),0)),"")</f>
        <v>Traffic Signals</v>
      </c>
      <c r="P77" s="93" t="str">
        <f>IFERROR(VLOOKUP($I77,UoM!$A:$C,2,FALSE),"")</f>
        <v>Length</v>
      </c>
      <c r="Q77" s="47" t="s">
        <v>1389</v>
      </c>
      <c r="R77" s="47" t="s">
        <v>1389</v>
      </c>
      <c r="S77" s="47">
        <v>20</v>
      </c>
      <c r="T77" s="47"/>
      <c r="U77" s="47"/>
      <c r="V77" s="47"/>
      <c r="W77" s="47"/>
      <c r="X77" s="47"/>
      <c r="Y77" s="119">
        <v>45974</v>
      </c>
      <c r="Z77" s="119">
        <v>45974</v>
      </c>
      <c r="AA77" s="47" t="s">
        <v>1563</v>
      </c>
      <c r="AB77" s="47"/>
      <c r="AC77" s="56">
        <f>IFERROR(VLOOKUP("New Assets:"&amp;ROW(),'Handover Cost Report'!$A:$U,17,FALSE),"")</f>
        <v>78.61</v>
      </c>
      <c r="AD77" s="56">
        <f>IFERROR(VLOOKUP("New Assets:"&amp;ROW(),'Handover Cost Report'!$A:$U,18,FALSE),"")</f>
        <v>0</v>
      </c>
      <c r="AE77" s="56">
        <f>IFERROR(VLOOKUP("New Assets:"&amp;ROW(),'Handover Cost Report'!$A:$U,19,FALSE),"")</f>
        <v>0</v>
      </c>
    </row>
    <row r="78" spans="1:31" s="3" customFormat="1" x14ac:dyDescent="0.2">
      <c r="A78" s="3" t="s">
        <v>1415</v>
      </c>
      <c r="B78" s="47" t="s">
        <v>363</v>
      </c>
      <c r="C78" s="47" t="s">
        <v>289</v>
      </c>
      <c r="D78" s="47" t="s">
        <v>349</v>
      </c>
      <c r="E78" s="47" t="s">
        <v>1390</v>
      </c>
      <c r="F78" s="47" t="s">
        <v>1390</v>
      </c>
      <c r="G78" s="47">
        <f>VLOOKUP(A78,'[1]Z8290 New Assets_output'!$A:$C,3,FALSE)</f>
        <v>294918</v>
      </c>
      <c r="H78" s="47">
        <v>0.5</v>
      </c>
      <c r="I78" s="47" t="s">
        <v>244</v>
      </c>
      <c r="J78" s="164">
        <v>0</v>
      </c>
      <c r="K78" s="56">
        <f t="shared" si="10"/>
        <v>0</v>
      </c>
      <c r="L78" s="93" t="s">
        <v>130</v>
      </c>
      <c r="M78" s="93" t="s">
        <v>421</v>
      </c>
      <c r="N78" s="93" t="str">
        <f t="array" ref="N78">IFERROR(IF($B78="Building","Buildings",INDEX(CoA_Schema[FinancialClass],MATCH(1,(CoA_Schema[AssetType]=$D78)*(CoA_Schema[AssetClass]=$B78)*(CoA_Schema[AssetSubClass]=$C78),0),0)),"")</f>
        <v>Infrastructure</v>
      </c>
      <c r="O78" s="93" t="str">
        <f t="array" ref="O78">IFERROR(IF($B78="Building","Buildings",INDEX(CoA_Schema[FinancialSubClass],MATCH(1,(CoA_Schema[AssetType]=$D78)*(CoA_Schema[AssetClass]=$B78)*(CoA_Schema[AssetSubClass]=$C78),0),0)),"")</f>
        <v>Traffic Signals</v>
      </c>
      <c r="P78" s="93" t="str">
        <f>IFERROR(VLOOKUP($I78,UoM!$A:$C,2,FALSE),"")</f>
        <v>Length</v>
      </c>
      <c r="Q78" s="47" t="s">
        <v>1433</v>
      </c>
      <c r="R78" s="47" t="s">
        <v>1389</v>
      </c>
      <c r="S78" s="47">
        <v>20</v>
      </c>
      <c r="T78" s="47"/>
      <c r="U78" s="47"/>
      <c r="V78" s="47"/>
      <c r="W78" s="47"/>
      <c r="X78" s="47"/>
      <c r="Y78" s="119">
        <v>45974</v>
      </c>
      <c r="Z78" s="119">
        <v>45974</v>
      </c>
      <c r="AA78" s="47" t="s">
        <v>1563</v>
      </c>
      <c r="AB78" s="162" t="s">
        <v>1430</v>
      </c>
      <c r="AC78" s="56">
        <f>IFERROR(VLOOKUP("New Assets:"&amp;ROW(),'Handover Cost Report'!$A:$U,17,FALSE),"")</f>
        <v>0</v>
      </c>
      <c r="AD78" s="56">
        <f>IFERROR(VLOOKUP("New Assets:"&amp;ROW(),'Handover Cost Report'!$A:$U,18,FALSE),"")</f>
        <v>0</v>
      </c>
      <c r="AE78" s="56">
        <f>IFERROR(VLOOKUP("New Assets:"&amp;ROW(),'Handover Cost Report'!$A:$U,19,FALSE),"")</f>
        <v>0</v>
      </c>
    </row>
    <row r="79" spans="1:31" s="3" customFormat="1" x14ac:dyDescent="0.2">
      <c r="A79" s="159" t="s">
        <v>1416</v>
      </c>
      <c r="B79" s="47" t="s">
        <v>363</v>
      </c>
      <c r="C79" s="47" t="s">
        <v>289</v>
      </c>
      <c r="D79" s="47" t="s">
        <v>349</v>
      </c>
      <c r="E79" s="160" t="s">
        <v>1394</v>
      </c>
      <c r="F79" s="47" t="s">
        <v>1548</v>
      </c>
      <c r="G79" s="47">
        <f>VLOOKUP(A79,'[1]Z8290 New Assets_output'!$A:$C,3,FALSE)</f>
        <v>294921</v>
      </c>
      <c r="H79" s="47">
        <v>3</v>
      </c>
      <c r="I79" s="47" t="s">
        <v>244</v>
      </c>
      <c r="J79" s="163">
        <v>157.21965601965601</v>
      </c>
      <c r="K79" s="56">
        <f t="shared" si="7"/>
        <v>471.65896805896807</v>
      </c>
      <c r="L79" s="93" t="s">
        <v>130</v>
      </c>
      <c r="M79" s="93" t="s">
        <v>421</v>
      </c>
      <c r="N79" s="93" t="str">
        <f t="array" ref="N79">IFERROR(IF($B79="Building","Buildings",INDEX(CoA_Schema[FinancialClass],MATCH(1,(CoA_Schema[AssetType]=$D79)*(CoA_Schema[AssetClass]=$B79)*(CoA_Schema[AssetSubClass]=$C79),0),0)),"")</f>
        <v>Infrastructure</v>
      </c>
      <c r="O79" s="93" t="str">
        <f t="array" ref="O79">IFERROR(IF($B79="Building","Buildings",INDEX(CoA_Schema[FinancialSubClass],MATCH(1,(CoA_Schema[AssetType]=$D79)*(CoA_Schema[AssetClass]=$B79)*(CoA_Schema[AssetSubClass]=$C79),0),0)),"")</f>
        <v>Traffic Signals</v>
      </c>
      <c r="P79" s="93" t="str">
        <f>IFERROR(VLOOKUP($I79,UoM!$A:$C,2,FALSE),"")</f>
        <v>Length</v>
      </c>
      <c r="Q79" s="47" t="s">
        <v>1389</v>
      </c>
      <c r="R79" s="47" t="s">
        <v>1389</v>
      </c>
      <c r="S79" s="47">
        <v>20</v>
      </c>
      <c r="T79" s="47"/>
      <c r="U79" s="47"/>
      <c r="V79" s="47"/>
      <c r="W79" s="47"/>
      <c r="X79" s="47"/>
      <c r="Y79" s="119">
        <v>45974</v>
      </c>
      <c r="Z79" s="119">
        <v>45974</v>
      </c>
      <c r="AA79" s="47" t="s">
        <v>1563</v>
      </c>
      <c r="AB79" s="47"/>
      <c r="AC79" s="56">
        <f>IFERROR(VLOOKUP("New Assets:"&amp;ROW(),'Handover Cost Report'!$A:$U,17,FALSE),"")</f>
        <v>471.66</v>
      </c>
      <c r="AD79" s="56">
        <f>IFERROR(VLOOKUP("New Assets:"&amp;ROW(),'Handover Cost Report'!$A:$U,18,FALSE),"")</f>
        <v>0</v>
      </c>
      <c r="AE79" s="56">
        <f>IFERROR(VLOOKUP("New Assets:"&amp;ROW(),'Handover Cost Report'!$A:$U,19,FALSE),"")</f>
        <v>0</v>
      </c>
    </row>
    <row r="80" spans="1:31" s="3" customFormat="1" x14ac:dyDescent="0.2">
      <c r="A80" s="3" t="s">
        <v>1416</v>
      </c>
      <c r="B80" s="47" t="s">
        <v>363</v>
      </c>
      <c r="C80" s="47" t="s">
        <v>289</v>
      </c>
      <c r="D80" s="47" t="s">
        <v>349</v>
      </c>
      <c r="E80" s="47" t="s">
        <v>1390</v>
      </c>
      <c r="F80" s="47" t="s">
        <v>1390</v>
      </c>
      <c r="G80" s="47">
        <f>VLOOKUP(A80,'[1]Z8290 New Assets_output'!$A:$C,3,FALSE)</f>
        <v>294921</v>
      </c>
      <c r="H80" s="47">
        <v>3</v>
      </c>
      <c r="I80" s="47" t="s">
        <v>244</v>
      </c>
      <c r="J80" s="164">
        <v>0</v>
      </c>
      <c r="K80" s="56">
        <f t="shared" si="7"/>
        <v>0</v>
      </c>
      <c r="L80" s="93" t="s">
        <v>130</v>
      </c>
      <c r="M80" s="93" t="s">
        <v>421</v>
      </c>
      <c r="N80" s="93" t="str">
        <f t="array" ref="N80">IFERROR(IF($B80="Building","Buildings",INDEX(CoA_Schema[FinancialClass],MATCH(1,(CoA_Schema[AssetType]=$D80)*(CoA_Schema[AssetClass]=$B80)*(CoA_Schema[AssetSubClass]=$C80),0),0)),"")</f>
        <v>Infrastructure</v>
      </c>
      <c r="O80" s="93" t="str">
        <f t="array" ref="O80">IFERROR(IF($B80="Building","Buildings",INDEX(CoA_Schema[FinancialSubClass],MATCH(1,(CoA_Schema[AssetType]=$D80)*(CoA_Schema[AssetClass]=$B80)*(CoA_Schema[AssetSubClass]=$C80),0),0)),"")</f>
        <v>Traffic Signals</v>
      </c>
      <c r="P80" s="93" t="str">
        <f>IFERROR(VLOOKUP($I80,UoM!$A:$C,2,FALSE),"")</f>
        <v>Length</v>
      </c>
      <c r="Q80" s="47" t="s">
        <v>1433</v>
      </c>
      <c r="R80" s="47" t="s">
        <v>1389</v>
      </c>
      <c r="S80" s="47">
        <v>20</v>
      </c>
      <c r="T80" s="47"/>
      <c r="U80" s="47"/>
      <c r="V80" s="47"/>
      <c r="W80" s="47"/>
      <c r="X80" s="47"/>
      <c r="Y80" s="119">
        <v>45974</v>
      </c>
      <c r="Z80" s="119">
        <v>45974</v>
      </c>
      <c r="AA80" s="47" t="s">
        <v>1563</v>
      </c>
      <c r="AB80" s="162" t="s">
        <v>1430</v>
      </c>
      <c r="AC80" s="56">
        <f>IFERROR(VLOOKUP("New Assets:"&amp;ROW(),'Handover Cost Report'!$A:$U,17,FALSE),"")</f>
        <v>0</v>
      </c>
      <c r="AD80" s="56">
        <f>IFERROR(VLOOKUP("New Assets:"&amp;ROW(),'Handover Cost Report'!$A:$U,18,FALSE),"")</f>
        <v>0</v>
      </c>
      <c r="AE80" s="56">
        <f>IFERROR(VLOOKUP("New Assets:"&amp;ROW(),'Handover Cost Report'!$A:$U,19,FALSE),"")</f>
        <v>0</v>
      </c>
    </row>
    <row r="81" spans="1:31" s="3" customFormat="1" x14ac:dyDescent="0.2">
      <c r="A81" s="158" t="s">
        <v>1417</v>
      </c>
      <c r="B81" s="47" t="s">
        <v>363</v>
      </c>
      <c r="C81" s="47" t="s">
        <v>289</v>
      </c>
      <c r="D81" s="47" t="s">
        <v>349</v>
      </c>
      <c r="E81" s="154" t="s">
        <v>1393</v>
      </c>
      <c r="F81" s="47" t="s">
        <v>1549</v>
      </c>
      <c r="G81" s="47">
        <f>VLOOKUP(A81,'[1]Z8290 New Assets_output'!$A:$C,3,FALSE)</f>
        <v>294922</v>
      </c>
      <c r="H81" s="47">
        <v>16</v>
      </c>
      <c r="I81" s="47" t="s">
        <v>244</v>
      </c>
      <c r="J81" s="163">
        <v>83.394774062600149</v>
      </c>
      <c r="K81" s="56">
        <f t="shared" si="7"/>
        <v>1334.3163850016024</v>
      </c>
      <c r="L81" s="93" t="s">
        <v>130</v>
      </c>
      <c r="M81" s="93" t="s">
        <v>421</v>
      </c>
      <c r="N81" s="93" t="str">
        <f t="array" ref="N81">IFERROR(IF($B81="Building","Buildings",INDEX(CoA_Schema[FinancialClass],MATCH(1,(CoA_Schema[AssetType]=$D81)*(CoA_Schema[AssetClass]=$B81)*(CoA_Schema[AssetSubClass]=$C81),0),0)),"")</f>
        <v>Infrastructure</v>
      </c>
      <c r="O81" s="93" t="str">
        <f t="array" ref="O81">IFERROR(IF($B81="Building","Buildings",INDEX(CoA_Schema[FinancialSubClass],MATCH(1,(CoA_Schema[AssetType]=$D81)*(CoA_Schema[AssetClass]=$B81)*(CoA_Schema[AssetSubClass]=$C81),0),0)),"")</f>
        <v>Traffic Signals</v>
      </c>
      <c r="P81" s="93" t="str">
        <f>IFERROR(VLOOKUP($I81,UoM!$A:$C,2,FALSE),"")</f>
        <v>Length</v>
      </c>
      <c r="Q81" s="47" t="s">
        <v>1389</v>
      </c>
      <c r="R81" s="47" t="s">
        <v>1389</v>
      </c>
      <c r="S81" s="47">
        <v>20</v>
      </c>
      <c r="T81" s="47"/>
      <c r="U81" s="47"/>
      <c r="V81" s="47"/>
      <c r="W81" s="47"/>
      <c r="X81" s="47"/>
      <c r="Y81" s="119">
        <v>45974</v>
      </c>
      <c r="Z81" s="119">
        <v>45974</v>
      </c>
      <c r="AA81" s="47" t="s">
        <v>1563</v>
      </c>
      <c r="AB81" s="47"/>
      <c r="AC81" s="56">
        <f>IFERROR(VLOOKUP("New Assets:"&amp;ROW(),'Handover Cost Report'!$A:$U,17,FALSE),"")</f>
        <v>1334.32</v>
      </c>
      <c r="AD81" s="56">
        <f>IFERROR(VLOOKUP("New Assets:"&amp;ROW(),'Handover Cost Report'!$A:$U,18,FALSE),"")</f>
        <v>0</v>
      </c>
      <c r="AE81" s="56">
        <f>IFERROR(VLOOKUP("New Assets:"&amp;ROW(),'Handover Cost Report'!$A:$U,19,FALSE),"")</f>
        <v>0</v>
      </c>
    </row>
    <row r="82" spans="1:31" s="3" customFormat="1" x14ac:dyDescent="0.2">
      <c r="A82" s="159" t="s">
        <v>1417</v>
      </c>
      <c r="B82" s="47" t="s">
        <v>363</v>
      </c>
      <c r="C82" s="47" t="s">
        <v>289</v>
      </c>
      <c r="D82" s="47" t="s">
        <v>349</v>
      </c>
      <c r="E82" s="160" t="s">
        <v>1394</v>
      </c>
      <c r="F82" s="47" t="s">
        <v>1548</v>
      </c>
      <c r="G82" s="47">
        <f>VLOOKUP(A82,'[1]Z8290 New Assets_output'!$A:$C,3,FALSE)</f>
        <v>294922</v>
      </c>
      <c r="H82" s="47">
        <v>16</v>
      </c>
      <c r="I82" s="47" t="s">
        <v>244</v>
      </c>
      <c r="J82" s="163">
        <v>157.21965601965601</v>
      </c>
      <c r="K82" s="56">
        <f t="shared" si="7"/>
        <v>2515.5144963144962</v>
      </c>
      <c r="L82" s="93" t="s">
        <v>130</v>
      </c>
      <c r="M82" s="93" t="s">
        <v>421</v>
      </c>
      <c r="N82" s="93" t="str">
        <f t="array" ref="N82">IFERROR(IF($B82="Building","Buildings",INDEX(CoA_Schema[FinancialClass],MATCH(1,(CoA_Schema[AssetType]=$D82)*(CoA_Schema[AssetClass]=$B82)*(CoA_Schema[AssetSubClass]=$C82),0),0)),"")</f>
        <v>Infrastructure</v>
      </c>
      <c r="O82" s="93" t="str">
        <f t="array" ref="O82">IFERROR(IF($B82="Building","Buildings",INDEX(CoA_Schema[FinancialSubClass],MATCH(1,(CoA_Schema[AssetType]=$D82)*(CoA_Schema[AssetClass]=$B82)*(CoA_Schema[AssetSubClass]=$C82),0),0)),"")</f>
        <v>Traffic Signals</v>
      </c>
      <c r="P82" s="93" t="str">
        <f>IFERROR(VLOOKUP($I82,UoM!$A:$C,2,FALSE),"")</f>
        <v>Length</v>
      </c>
      <c r="Q82" s="47" t="s">
        <v>1389</v>
      </c>
      <c r="R82" s="47" t="s">
        <v>1389</v>
      </c>
      <c r="S82" s="47">
        <v>20</v>
      </c>
      <c r="T82" s="47"/>
      <c r="U82" s="47"/>
      <c r="V82" s="47"/>
      <c r="W82" s="47"/>
      <c r="X82" s="47"/>
      <c r="Y82" s="119">
        <v>45974</v>
      </c>
      <c r="Z82" s="119">
        <v>45974</v>
      </c>
      <c r="AA82" s="47" t="s">
        <v>1563</v>
      </c>
      <c r="AB82" s="47"/>
      <c r="AC82" s="56">
        <f>IFERROR(VLOOKUP("New Assets:"&amp;ROW(),'Handover Cost Report'!$A:$U,17,FALSE),"")</f>
        <v>2515.5100000000002</v>
      </c>
      <c r="AD82" s="56">
        <f>IFERROR(VLOOKUP("New Assets:"&amp;ROW(),'Handover Cost Report'!$A:$U,18,FALSE),"")</f>
        <v>0</v>
      </c>
      <c r="AE82" s="56">
        <f>IFERROR(VLOOKUP("New Assets:"&amp;ROW(),'Handover Cost Report'!$A:$U,19,FALSE),"")</f>
        <v>0</v>
      </c>
    </row>
    <row r="83" spans="1:31" s="3" customFormat="1" x14ac:dyDescent="0.2">
      <c r="A83" s="3" t="s">
        <v>1417</v>
      </c>
      <c r="B83" s="47" t="s">
        <v>363</v>
      </c>
      <c r="C83" s="47" t="s">
        <v>289</v>
      </c>
      <c r="D83" s="47" t="s">
        <v>349</v>
      </c>
      <c r="E83" s="47" t="s">
        <v>1390</v>
      </c>
      <c r="F83" s="47" t="s">
        <v>1390</v>
      </c>
      <c r="G83" s="47">
        <f>VLOOKUP(A83,'[1]Z8290 New Assets_output'!$A:$C,3,FALSE)</f>
        <v>294922</v>
      </c>
      <c r="H83" s="47">
        <v>16</v>
      </c>
      <c r="I83" s="47" t="s">
        <v>244</v>
      </c>
      <c r="J83" s="164">
        <v>0</v>
      </c>
      <c r="K83" s="56">
        <f t="shared" si="7"/>
        <v>0</v>
      </c>
      <c r="L83" s="93" t="s">
        <v>130</v>
      </c>
      <c r="M83" s="93" t="s">
        <v>421</v>
      </c>
      <c r="N83" s="93" t="str">
        <f t="array" ref="N83">IFERROR(IF($B83="Building","Buildings",INDEX(CoA_Schema[FinancialClass],MATCH(1,(CoA_Schema[AssetType]=$D83)*(CoA_Schema[AssetClass]=$B83)*(CoA_Schema[AssetSubClass]=$C83),0),0)),"")</f>
        <v>Infrastructure</v>
      </c>
      <c r="O83" s="93" t="str">
        <f t="array" ref="O83">IFERROR(IF($B83="Building","Buildings",INDEX(CoA_Schema[FinancialSubClass],MATCH(1,(CoA_Schema[AssetType]=$D83)*(CoA_Schema[AssetClass]=$B83)*(CoA_Schema[AssetSubClass]=$C83),0),0)),"")</f>
        <v>Traffic Signals</v>
      </c>
      <c r="P83" s="93" t="str">
        <f>IFERROR(VLOOKUP($I83,UoM!$A:$C,2,FALSE),"")</f>
        <v>Length</v>
      </c>
      <c r="Q83" s="47" t="s">
        <v>1433</v>
      </c>
      <c r="R83" s="47" t="s">
        <v>1389</v>
      </c>
      <c r="S83" s="47">
        <v>20</v>
      </c>
      <c r="T83" s="47"/>
      <c r="U83" s="47"/>
      <c r="V83" s="47"/>
      <c r="W83" s="47"/>
      <c r="X83" s="47"/>
      <c r="Y83" s="119">
        <v>45974</v>
      </c>
      <c r="Z83" s="119">
        <v>45974</v>
      </c>
      <c r="AA83" s="47" t="s">
        <v>1563</v>
      </c>
      <c r="AB83" s="162" t="s">
        <v>1430</v>
      </c>
      <c r="AC83" s="56">
        <f>IFERROR(VLOOKUP("New Assets:"&amp;ROW(),'Handover Cost Report'!$A:$U,17,FALSE),"")</f>
        <v>0</v>
      </c>
      <c r="AD83" s="56">
        <f>IFERROR(VLOOKUP("New Assets:"&amp;ROW(),'Handover Cost Report'!$A:$U,18,FALSE),"")</f>
        <v>0</v>
      </c>
      <c r="AE83" s="56">
        <f>IFERROR(VLOOKUP("New Assets:"&amp;ROW(),'Handover Cost Report'!$A:$U,19,FALSE),"")</f>
        <v>0</v>
      </c>
    </row>
    <row r="84" spans="1:31" s="3" customFormat="1" x14ac:dyDescent="0.2">
      <c r="A84" s="158" t="s">
        <v>1418</v>
      </c>
      <c r="B84" s="47" t="s">
        <v>363</v>
      </c>
      <c r="C84" s="47" t="s">
        <v>289</v>
      </c>
      <c r="D84" s="47" t="s">
        <v>349</v>
      </c>
      <c r="E84" s="154" t="s">
        <v>1393</v>
      </c>
      <c r="F84" s="47" t="s">
        <v>1549</v>
      </c>
      <c r="G84" s="47">
        <f>VLOOKUP(A84,'[1]Z8290 New Assets_output'!$A:$C,3,FALSE)</f>
        <v>294924</v>
      </c>
      <c r="H84" s="47">
        <v>16</v>
      </c>
      <c r="I84" s="47" t="s">
        <v>244</v>
      </c>
      <c r="J84" s="163">
        <v>83.394774062600149</v>
      </c>
      <c r="K84" s="56">
        <f t="shared" ref="K84:K90" si="11">H84*J84</f>
        <v>1334.3163850016024</v>
      </c>
      <c r="L84" s="93" t="s">
        <v>130</v>
      </c>
      <c r="M84" s="93" t="s">
        <v>421</v>
      </c>
      <c r="N84" s="93" t="str">
        <f t="array" ref="N84">IFERROR(IF($B84="Building","Buildings",INDEX(CoA_Schema[FinancialClass],MATCH(1,(CoA_Schema[AssetType]=$D84)*(CoA_Schema[AssetClass]=$B84)*(CoA_Schema[AssetSubClass]=$C84),0),0)),"")</f>
        <v>Infrastructure</v>
      </c>
      <c r="O84" s="93" t="str">
        <f t="array" ref="O84">IFERROR(IF($B84="Building","Buildings",INDEX(CoA_Schema[FinancialSubClass],MATCH(1,(CoA_Schema[AssetType]=$D84)*(CoA_Schema[AssetClass]=$B84)*(CoA_Schema[AssetSubClass]=$C84),0),0)),"")</f>
        <v>Traffic Signals</v>
      </c>
      <c r="P84" s="93" t="str">
        <f>IFERROR(VLOOKUP($I84,UoM!$A:$C,2,FALSE),"")</f>
        <v>Length</v>
      </c>
      <c r="Q84" s="47" t="s">
        <v>1389</v>
      </c>
      <c r="R84" s="47" t="s">
        <v>1389</v>
      </c>
      <c r="S84" s="47">
        <v>20</v>
      </c>
      <c r="T84" s="47"/>
      <c r="U84" s="47"/>
      <c r="V84" s="47"/>
      <c r="W84" s="47"/>
      <c r="X84" s="47"/>
      <c r="Y84" s="119">
        <v>45974</v>
      </c>
      <c r="Z84" s="119">
        <v>45974</v>
      </c>
      <c r="AA84" s="47" t="s">
        <v>1563</v>
      </c>
      <c r="AB84" s="47"/>
      <c r="AC84" s="56">
        <f>IFERROR(VLOOKUP("New Assets:"&amp;ROW(),'Handover Cost Report'!$A:$U,17,FALSE),"")</f>
        <v>1334.32</v>
      </c>
      <c r="AD84" s="56">
        <f>IFERROR(VLOOKUP("New Assets:"&amp;ROW(),'Handover Cost Report'!$A:$U,18,FALSE),"")</f>
        <v>0</v>
      </c>
      <c r="AE84" s="56">
        <f>IFERROR(VLOOKUP("New Assets:"&amp;ROW(),'Handover Cost Report'!$A:$U,19,FALSE),"")</f>
        <v>0</v>
      </c>
    </row>
    <row r="85" spans="1:31" s="3" customFormat="1" x14ac:dyDescent="0.2">
      <c r="A85" s="159" t="s">
        <v>1418</v>
      </c>
      <c r="B85" s="47" t="s">
        <v>363</v>
      </c>
      <c r="C85" s="47" t="s">
        <v>289</v>
      </c>
      <c r="D85" s="47" t="s">
        <v>349</v>
      </c>
      <c r="E85" s="160" t="s">
        <v>1394</v>
      </c>
      <c r="F85" s="47" t="s">
        <v>1548</v>
      </c>
      <c r="G85" s="47">
        <f>VLOOKUP(A85,'[1]Z8290 New Assets_output'!$A:$C,3,FALSE)</f>
        <v>294924</v>
      </c>
      <c r="H85" s="47">
        <v>16</v>
      </c>
      <c r="I85" s="47" t="s">
        <v>244</v>
      </c>
      <c r="J85" s="163">
        <v>157.21965601965601</v>
      </c>
      <c r="K85" s="56">
        <f t="shared" si="11"/>
        <v>2515.5144963144962</v>
      </c>
      <c r="L85" s="93" t="s">
        <v>130</v>
      </c>
      <c r="M85" s="93" t="s">
        <v>421</v>
      </c>
      <c r="N85" s="93" t="str">
        <f t="array" ref="N85">IFERROR(IF($B85="Building","Buildings",INDEX(CoA_Schema[FinancialClass],MATCH(1,(CoA_Schema[AssetType]=$D85)*(CoA_Schema[AssetClass]=$B85)*(CoA_Schema[AssetSubClass]=$C85),0),0)),"")</f>
        <v>Infrastructure</v>
      </c>
      <c r="O85" s="93" t="str">
        <f t="array" ref="O85">IFERROR(IF($B85="Building","Buildings",INDEX(CoA_Schema[FinancialSubClass],MATCH(1,(CoA_Schema[AssetType]=$D85)*(CoA_Schema[AssetClass]=$B85)*(CoA_Schema[AssetSubClass]=$C85),0),0)),"")</f>
        <v>Traffic Signals</v>
      </c>
      <c r="P85" s="93" t="str">
        <f>IFERROR(VLOOKUP($I85,UoM!$A:$C,2,FALSE),"")</f>
        <v>Length</v>
      </c>
      <c r="Q85" s="47" t="s">
        <v>1389</v>
      </c>
      <c r="R85" s="47" t="s">
        <v>1389</v>
      </c>
      <c r="S85" s="47">
        <v>20</v>
      </c>
      <c r="T85" s="47"/>
      <c r="U85" s="47"/>
      <c r="V85" s="47"/>
      <c r="W85" s="47"/>
      <c r="X85" s="47"/>
      <c r="Y85" s="119">
        <v>45974</v>
      </c>
      <c r="Z85" s="119">
        <v>45974</v>
      </c>
      <c r="AA85" s="47" t="s">
        <v>1563</v>
      </c>
      <c r="AB85" s="47"/>
      <c r="AC85" s="56">
        <f>IFERROR(VLOOKUP("New Assets:"&amp;ROW(),'Handover Cost Report'!$A:$U,17,FALSE),"")</f>
        <v>2515.5100000000002</v>
      </c>
      <c r="AD85" s="56">
        <f>IFERROR(VLOOKUP("New Assets:"&amp;ROW(),'Handover Cost Report'!$A:$U,18,FALSE),"")</f>
        <v>0</v>
      </c>
      <c r="AE85" s="56">
        <f>IFERROR(VLOOKUP("New Assets:"&amp;ROW(),'Handover Cost Report'!$A:$U,19,FALSE),"")</f>
        <v>0</v>
      </c>
    </row>
    <row r="86" spans="1:31" s="3" customFormat="1" x14ac:dyDescent="0.2">
      <c r="A86" s="3" t="s">
        <v>1418</v>
      </c>
      <c r="B86" s="47" t="s">
        <v>363</v>
      </c>
      <c r="C86" s="47" t="s">
        <v>289</v>
      </c>
      <c r="D86" s="47" t="s">
        <v>349</v>
      </c>
      <c r="E86" s="47" t="s">
        <v>1390</v>
      </c>
      <c r="F86" s="47" t="s">
        <v>1390</v>
      </c>
      <c r="G86" s="47">
        <f>VLOOKUP(A86,'[1]Z8290 New Assets_output'!$A:$C,3,FALSE)</f>
        <v>294924</v>
      </c>
      <c r="H86" s="47">
        <v>16</v>
      </c>
      <c r="I86" s="47" t="s">
        <v>244</v>
      </c>
      <c r="J86" s="164">
        <v>0</v>
      </c>
      <c r="K86" s="56">
        <f t="shared" si="11"/>
        <v>0</v>
      </c>
      <c r="L86" s="93" t="s">
        <v>130</v>
      </c>
      <c r="M86" s="93" t="s">
        <v>421</v>
      </c>
      <c r="N86" s="93" t="str">
        <f t="array" ref="N86">IFERROR(IF($B86="Building","Buildings",INDEX(CoA_Schema[FinancialClass],MATCH(1,(CoA_Schema[AssetType]=$D86)*(CoA_Schema[AssetClass]=$B86)*(CoA_Schema[AssetSubClass]=$C86),0),0)),"")</f>
        <v>Infrastructure</v>
      </c>
      <c r="O86" s="93" t="str">
        <f t="array" ref="O86">IFERROR(IF($B86="Building","Buildings",INDEX(CoA_Schema[FinancialSubClass],MATCH(1,(CoA_Schema[AssetType]=$D86)*(CoA_Schema[AssetClass]=$B86)*(CoA_Schema[AssetSubClass]=$C86),0),0)),"")</f>
        <v>Traffic Signals</v>
      </c>
      <c r="P86" s="93" t="str">
        <f>IFERROR(VLOOKUP($I86,UoM!$A:$C,2,FALSE),"")</f>
        <v>Length</v>
      </c>
      <c r="Q86" s="47" t="s">
        <v>1433</v>
      </c>
      <c r="R86" s="47" t="s">
        <v>1389</v>
      </c>
      <c r="S86" s="47">
        <v>20</v>
      </c>
      <c r="T86" s="47"/>
      <c r="U86" s="47"/>
      <c r="V86" s="47"/>
      <c r="W86" s="47"/>
      <c r="X86" s="47"/>
      <c r="Y86" s="119">
        <v>45974</v>
      </c>
      <c r="Z86" s="119">
        <v>45974</v>
      </c>
      <c r="AA86" s="47" t="s">
        <v>1563</v>
      </c>
      <c r="AB86" s="162" t="s">
        <v>1430</v>
      </c>
      <c r="AC86" s="56">
        <f>IFERROR(VLOOKUP("New Assets:"&amp;ROW(),'Handover Cost Report'!$A:$U,17,FALSE),"")</f>
        <v>0</v>
      </c>
      <c r="AD86" s="56">
        <f>IFERROR(VLOOKUP("New Assets:"&amp;ROW(),'Handover Cost Report'!$A:$U,18,FALSE),"")</f>
        <v>0</v>
      </c>
      <c r="AE86" s="56">
        <f>IFERROR(VLOOKUP("New Assets:"&amp;ROW(),'Handover Cost Report'!$A:$U,19,FALSE),"")</f>
        <v>0</v>
      </c>
    </row>
    <row r="87" spans="1:31" s="3" customFormat="1" x14ac:dyDescent="0.2">
      <c r="A87" s="158" t="s">
        <v>1419</v>
      </c>
      <c r="B87" s="47" t="s">
        <v>363</v>
      </c>
      <c r="C87" s="47" t="s">
        <v>289</v>
      </c>
      <c r="D87" s="47" t="s">
        <v>349</v>
      </c>
      <c r="E87" s="154" t="s">
        <v>1393</v>
      </c>
      <c r="F87" s="47" t="s">
        <v>1549</v>
      </c>
      <c r="G87" s="47">
        <f>VLOOKUP(A87,'[1]Z8290 New Assets_output'!$A:$C,3,FALSE)</f>
        <v>294923</v>
      </c>
      <c r="H87" s="47">
        <v>16</v>
      </c>
      <c r="I87" s="47" t="s">
        <v>244</v>
      </c>
      <c r="J87" s="163">
        <v>83.394774062600149</v>
      </c>
      <c r="K87" s="56">
        <f t="shared" si="11"/>
        <v>1334.3163850016024</v>
      </c>
      <c r="L87" s="93" t="s">
        <v>130</v>
      </c>
      <c r="M87" s="93" t="s">
        <v>421</v>
      </c>
      <c r="N87" s="93" t="str">
        <f t="array" ref="N87">IFERROR(IF($B87="Building","Buildings",INDEX(CoA_Schema[FinancialClass],MATCH(1,(CoA_Schema[AssetType]=$D87)*(CoA_Schema[AssetClass]=$B87)*(CoA_Schema[AssetSubClass]=$C87),0),0)),"")</f>
        <v>Infrastructure</v>
      </c>
      <c r="O87" s="93" t="str">
        <f t="array" ref="O87">IFERROR(IF($B87="Building","Buildings",INDEX(CoA_Schema[FinancialSubClass],MATCH(1,(CoA_Schema[AssetType]=$D87)*(CoA_Schema[AssetClass]=$B87)*(CoA_Schema[AssetSubClass]=$C87),0),0)),"")</f>
        <v>Traffic Signals</v>
      </c>
      <c r="P87" s="93" t="str">
        <f>IFERROR(VLOOKUP($I87,UoM!$A:$C,2,FALSE),"")</f>
        <v>Length</v>
      </c>
      <c r="Q87" s="47" t="s">
        <v>1389</v>
      </c>
      <c r="R87" s="47" t="s">
        <v>1389</v>
      </c>
      <c r="S87" s="47">
        <v>20</v>
      </c>
      <c r="T87" s="47"/>
      <c r="U87" s="47"/>
      <c r="V87" s="47"/>
      <c r="W87" s="47"/>
      <c r="X87" s="47"/>
      <c r="Y87" s="119">
        <v>45974</v>
      </c>
      <c r="Z87" s="119">
        <v>45974</v>
      </c>
      <c r="AA87" s="47" t="s">
        <v>1563</v>
      </c>
      <c r="AB87" s="47"/>
      <c r="AC87" s="56">
        <f>IFERROR(VLOOKUP("New Assets:"&amp;ROW(),'Handover Cost Report'!$A:$U,17,FALSE),"")</f>
        <v>1334.32</v>
      </c>
      <c r="AD87" s="56">
        <f>IFERROR(VLOOKUP("New Assets:"&amp;ROW(),'Handover Cost Report'!$A:$U,18,FALSE),"")</f>
        <v>0</v>
      </c>
      <c r="AE87" s="56">
        <f>IFERROR(VLOOKUP("New Assets:"&amp;ROW(),'Handover Cost Report'!$A:$U,19,FALSE),"")</f>
        <v>0</v>
      </c>
    </row>
    <row r="88" spans="1:31" s="3" customFormat="1" x14ac:dyDescent="0.2">
      <c r="A88" s="159" t="s">
        <v>1419</v>
      </c>
      <c r="B88" s="47" t="s">
        <v>363</v>
      </c>
      <c r="C88" s="47" t="s">
        <v>289</v>
      </c>
      <c r="D88" s="47" t="s">
        <v>349</v>
      </c>
      <c r="E88" s="160" t="s">
        <v>1394</v>
      </c>
      <c r="F88" s="47" t="s">
        <v>1548</v>
      </c>
      <c r="G88" s="47">
        <f>VLOOKUP(A88,'[1]Z8290 New Assets_output'!$A:$C,3,FALSE)</f>
        <v>294923</v>
      </c>
      <c r="H88" s="47">
        <v>16</v>
      </c>
      <c r="I88" s="47" t="s">
        <v>244</v>
      </c>
      <c r="J88" s="163">
        <v>157.21965601965601</v>
      </c>
      <c r="K88" s="56">
        <f t="shared" si="11"/>
        <v>2515.5144963144962</v>
      </c>
      <c r="L88" s="93" t="s">
        <v>130</v>
      </c>
      <c r="M88" s="93" t="s">
        <v>421</v>
      </c>
      <c r="N88" s="93" t="str">
        <f t="array" ref="N88">IFERROR(IF($B88="Building","Buildings",INDEX(CoA_Schema[FinancialClass],MATCH(1,(CoA_Schema[AssetType]=$D88)*(CoA_Schema[AssetClass]=$B88)*(CoA_Schema[AssetSubClass]=$C88),0),0)),"")</f>
        <v>Infrastructure</v>
      </c>
      <c r="O88" s="93" t="str">
        <f t="array" ref="O88">IFERROR(IF($B88="Building","Buildings",INDEX(CoA_Schema[FinancialSubClass],MATCH(1,(CoA_Schema[AssetType]=$D88)*(CoA_Schema[AssetClass]=$B88)*(CoA_Schema[AssetSubClass]=$C88),0),0)),"")</f>
        <v>Traffic Signals</v>
      </c>
      <c r="P88" s="93" t="str">
        <f>IFERROR(VLOOKUP($I88,UoM!$A:$C,2,FALSE),"")</f>
        <v>Length</v>
      </c>
      <c r="Q88" s="47" t="s">
        <v>1389</v>
      </c>
      <c r="R88" s="47" t="s">
        <v>1389</v>
      </c>
      <c r="S88" s="47">
        <v>20</v>
      </c>
      <c r="T88" s="47"/>
      <c r="U88" s="47"/>
      <c r="V88" s="47"/>
      <c r="W88" s="47"/>
      <c r="X88" s="47"/>
      <c r="Y88" s="119">
        <v>45974</v>
      </c>
      <c r="Z88" s="119">
        <v>45974</v>
      </c>
      <c r="AA88" s="47" t="s">
        <v>1563</v>
      </c>
      <c r="AB88" s="47"/>
      <c r="AC88" s="56">
        <f>IFERROR(VLOOKUP("New Assets:"&amp;ROW(),'Handover Cost Report'!$A:$U,17,FALSE),"")</f>
        <v>2515.5100000000002</v>
      </c>
      <c r="AD88" s="56">
        <f>IFERROR(VLOOKUP("New Assets:"&amp;ROW(),'Handover Cost Report'!$A:$U,18,FALSE),"")</f>
        <v>0</v>
      </c>
      <c r="AE88" s="56">
        <f>IFERROR(VLOOKUP("New Assets:"&amp;ROW(),'Handover Cost Report'!$A:$U,19,FALSE),"")</f>
        <v>0</v>
      </c>
    </row>
    <row r="89" spans="1:31" s="3" customFormat="1" x14ac:dyDescent="0.2">
      <c r="A89" s="3" t="s">
        <v>1419</v>
      </c>
      <c r="B89" s="47" t="s">
        <v>363</v>
      </c>
      <c r="C89" s="47" t="s">
        <v>289</v>
      </c>
      <c r="D89" s="47" t="s">
        <v>349</v>
      </c>
      <c r="E89" s="47" t="s">
        <v>1390</v>
      </c>
      <c r="F89" s="47" t="s">
        <v>1390</v>
      </c>
      <c r="G89" s="47">
        <f>VLOOKUP(A89,'[1]Z8290 New Assets_output'!$A:$C,3,FALSE)</f>
        <v>294923</v>
      </c>
      <c r="H89" s="47">
        <v>16</v>
      </c>
      <c r="I89" s="47" t="s">
        <v>244</v>
      </c>
      <c r="J89" s="164">
        <v>0</v>
      </c>
      <c r="K89" s="56">
        <f t="shared" si="11"/>
        <v>0</v>
      </c>
      <c r="L89" s="93" t="s">
        <v>130</v>
      </c>
      <c r="M89" s="93" t="s">
        <v>421</v>
      </c>
      <c r="N89" s="93" t="str">
        <f t="array" ref="N89">IFERROR(IF($B89="Building","Buildings",INDEX(CoA_Schema[FinancialClass],MATCH(1,(CoA_Schema[AssetType]=$D89)*(CoA_Schema[AssetClass]=$B89)*(CoA_Schema[AssetSubClass]=$C89),0),0)),"")</f>
        <v>Infrastructure</v>
      </c>
      <c r="O89" s="93" t="str">
        <f t="array" ref="O89">IFERROR(IF($B89="Building","Buildings",INDEX(CoA_Schema[FinancialSubClass],MATCH(1,(CoA_Schema[AssetType]=$D89)*(CoA_Schema[AssetClass]=$B89)*(CoA_Schema[AssetSubClass]=$C89),0),0)),"")</f>
        <v>Traffic Signals</v>
      </c>
      <c r="P89" s="93" t="str">
        <f>IFERROR(VLOOKUP($I89,UoM!$A:$C,2,FALSE),"")</f>
        <v>Length</v>
      </c>
      <c r="Q89" s="47" t="s">
        <v>1433</v>
      </c>
      <c r="R89" s="47" t="s">
        <v>1389</v>
      </c>
      <c r="S89" s="47">
        <v>20</v>
      </c>
      <c r="T89" s="47"/>
      <c r="U89" s="47"/>
      <c r="V89" s="47"/>
      <c r="W89" s="47"/>
      <c r="X89" s="47"/>
      <c r="Y89" s="119">
        <v>45974</v>
      </c>
      <c r="Z89" s="119">
        <v>45974</v>
      </c>
      <c r="AA89" s="47" t="s">
        <v>1563</v>
      </c>
      <c r="AB89" s="162" t="s">
        <v>1430</v>
      </c>
      <c r="AC89" s="56">
        <f>IFERROR(VLOOKUP("New Assets:"&amp;ROW(),'Handover Cost Report'!$A:$U,17,FALSE),"")</f>
        <v>0</v>
      </c>
      <c r="AD89" s="56">
        <f>IFERROR(VLOOKUP("New Assets:"&amp;ROW(),'Handover Cost Report'!$A:$U,18,FALSE),"")</f>
        <v>0</v>
      </c>
      <c r="AE89" s="56">
        <f>IFERROR(VLOOKUP("New Assets:"&amp;ROW(),'Handover Cost Report'!$A:$U,19,FALSE),"")</f>
        <v>0</v>
      </c>
    </row>
    <row r="90" spans="1:31" s="3" customFormat="1" ht="18" customHeight="1" x14ac:dyDescent="0.2">
      <c r="A90" s="3" t="s">
        <v>1420</v>
      </c>
      <c r="B90" s="47" t="s">
        <v>363</v>
      </c>
      <c r="C90" s="47" t="s">
        <v>289</v>
      </c>
      <c r="D90" s="47" t="s">
        <v>349</v>
      </c>
      <c r="E90" s="154" t="s">
        <v>86</v>
      </c>
      <c r="F90" s="47" t="s">
        <v>86</v>
      </c>
      <c r="G90" s="47">
        <f>VLOOKUP(A90,'[1]Z8290 New Assets_output'!$A:$C,3,FALSE)</f>
        <v>294925</v>
      </c>
      <c r="H90" s="47">
        <v>5</v>
      </c>
      <c r="I90" s="47" t="s">
        <v>244</v>
      </c>
      <c r="J90" s="163">
        <v>83.394774062600149</v>
      </c>
      <c r="K90" s="56">
        <f t="shared" si="11"/>
        <v>416.97387031300076</v>
      </c>
      <c r="L90" s="93" t="s">
        <v>130</v>
      </c>
      <c r="M90" s="93" t="s">
        <v>416</v>
      </c>
      <c r="N90" s="93" t="str">
        <f t="array" ref="N90">IFERROR(IF($B90="Building","Buildings",INDEX(CoA_Schema[FinancialClass],MATCH(1,(CoA_Schema[AssetType]=$D90)*(CoA_Schema[AssetClass]=$B90)*(CoA_Schema[AssetSubClass]=$C90),0),0)),"")</f>
        <v>Infrastructure</v>
      </c>
      <c r="O90" s="93" t="str">
        <f t="array" ref="O90">IFERROR(IF($B90="Building","Buildings",INDEX(CoA_Schema[FinancialSubClass],MATCH(1,(CoA_Schema[AssetType]=$D90)*(CoA_Schema[AssetClass]=$B90)*(CoA_Schema[AssetSubClass]=$C90),0),0)),"")</f>
        <v>Traffic Signals</v>
      </c>
      <c r="P90" s="93" t="s">
        <v>243</v>
      </c>
      <c r="Q90" s="47" t="s">
        <v>1389</v>
      </c>
      <c r="R90" s="47" t="s">
        <v>1389</v>
      </c>
      <c r="S90" s="47">
        <v>20</v>
      </c>
      <c r="T90" s="47"/>
      <c r="U90" s="47"/>
      <c r="V90" s="47"/>
      <c r="W90" s="47"/>
      <c r="X90" s="47"/>
      <c r="Y90" s="119">
        <v>45974</v>
      </c>
      <c r="Z90" s="119">
        <v>45974</v>
      </c>
      <c r="AA90" s="47" t="s">
        <v>1563</v>
      </c>
      <c r="AB90" s="47"/>
      <c r="AC90" s="56">
        <f>IFERROR(VLOOKUP("New Assets:"&amp;ROW(),'Handover Cost Report'!$A:$U,17,FALSE),"")</f>
        <v>416.97</v>
      </c>
      <c r="AD90" s="56">
        <f>IFERROR(VLOOKUP("New Assets:"&amp;ROW(),'Handover Cost Report'!$A:$U,18,FALSE),"")</f>
        <v>0</v>
      </c>
      <c r="AE90" s="56">
        <f>IFERROR(VLOOKUP("New Assets:"&amp;ROW(),'Handover Cost Report'!$A:$U,19,FALSE),"")</f>
        <v>0</v>
      </c>
    </row>
    <row r="91" spans="1:31" s="3" customFormat="1" ht="16.149999999999999" customHeight="1" x14ac:dyDescent="0.2">
      <c r="A91" s="155" t="s">
        <v>1420</v>
      </c>
      <c r="B91" s="47" t="s">
        <v>363</v>
      </c>
      <c r="C91" s="47" t="s">
        <v>289</v>
      </c>
      <c r="D91" s="47" t="s">
        <v>349</v>
      </c>
      <c r="E91" s="47" t="s">
        <v>1390</v>
      </c>
      <c r="F91" s="47"/>
      <c r="G91" s="47">
        <f>VLOOKUP(A91,'[1]Z8290 New Assets_output'!$A:$C,3,FALSE)</f>
        <v>294925</v>
      </c>
      <c r="H91" s="47">
        <v>5</v>
      </c>
      <c r="I91" s="47" t="s">
        <v>244</v>
      </c>
      <c r="J91" s="164">
        <v>0</v>
      </c>
      <c r="K91" s="56">
        <f>H91*J91</f>
        <v>0</v>
      </c>
      <c r="L91" s="93" t="s">
        <v>130</v>
      </c>
      <c r="M91" s="93" t="s">
        <v>421</v>
      </c>
      <c r="N91" s="93" t="str">
        <f t="array" ref="N91">IFERROR(IF($B91="Building","Buildings",INDEX(CoA_Schema[FinancialClass],MATCH(1,(CoA_Schema[AssetType]=$D91)*(CoA_Schema[AssetClass]=$B91)*(CoA_Schema[AssetSubClass]=$C91),0),0)),"")</f>
        <v>Infrastructure</v>
      </c>
      <c r="O91" s="93" t="str">
        <f t="array" ref="O91">IFERROR(IF($B91="Building","Buildings",INDEX(CoA_Schema[FinancialSubClass],MATCH(1,(CoA_Schema[AssetType]=$D91)*(CoA_Schema[AssetClass]=$B91)*(CoA_Schema[AssetSubClass]=$C91),0),0)),"")</f>
        <v>Traffic Signals</v>
      </c>
      <c r="P91" s="93" t="str">
        <f>IFERROR(VLOOKUP($I91,UoM!$A:$C,2,FALSE),"")</f>
        <v>Length</v>
      </c>
      <c r="Q91" s="47" t="s">
        <v>1433</v>
      </c>
      <c r="R91" s="47" t="s">
        <v>1389</v>
      </c>
      <c r="S91" s="47">
        <v>20</v>
      </c>
      <c r="T91" s="47"/>
      <c r="U91" s="47"/>
      <c r="V91" s="47"/>
      <c r="W91" s="47"/>
      <c r="X91" s="47"/>
      <c r="Y91" s="119">
        <v>45974</v>
      </c>
      <c r="Z91" s="119">
        <v>45974</v>
      </c>
      <c r="AA91" s="47" t="s">
        <v>1563</v>
      </c>
      <c r="AB91" s="162" t="s">
        <v>1430</v>
      </c>
      <c r="AC91" s="56">
        <f>IFERROR(VLOOKUP("New Assets:"&amp;ROW(),'Handover Cost Report'!$A:$U,17,FALSE),"")</f>
        <v>0</v>
      </c>
      <c r="AD91" s="56">
        <f>IFERROR(VLOOKUP("New Assets:"&amp;ROW(),'Handover Cost Report'!$A:$U,18,FALSE),"")</f>
        <v>0</v>
      </c>
      <c r="AE91" s="56">
        <f>IFERROR(VLOOKUP("New Assets:"&amp;ROW(),'Handover Cost Report'!$A:$U,19,FALSE),"")</f>
        <v>0</v>
      </c>
    </row>
    <row r="92" spans="1:31" s="3" customFormat="1" ht="16.899999999999999" customHeight="1" x14ac:dyDescent="0.2">
      <c r="A92" s="156" t="s">
        <v>1421</v>
      </c>
      <c r="B92" s="47" t="s">
        <v>363</v>
      </c>
      <c r="C92" s="47" t="s">
        <v>289</v>
      </c>
      <c r="D92" s="47" t="s">
        <v>349</v>
      </c>
      <c r="E92" s="157" t="s">
        <v>1391</v>
      </c>
      <c r="F92" s="47" t="s">
        <v>1547</v>
      </c>
      <c r="G92" s="47">
        <f>VLOOKUP(A92,'[1]Z8290 New Assets_output'!$A:$C,3,FALSE)</f>
        <v>294926</v>
      </c>
      <c r="H92" s="47">
        <v>7</v>
      </c>
      <c r="I92" s="47" t="s">
        <v>244</v>
      </c>
      <c r="J92" s="163">
        <v>83.394774062600149</v>
      </c>
      <c r="K92" s="56">
        <f t="shared" ref="K92:K102" si="12">H92*J92</f>
        <v>583.76341843820103</v>
      </c>
      <c r="L92" s="93" t="s">
        <v>130</v>
      </c>
      <c r="M92" s="93" t="s">
        <v>421</v>
      </c>
      <c r="N92" s="93" t="str">
        <f t="array" ref="N92">IFERROR(IF($B92="Building","Buildings",INDEX(CoA_Schema[FinancialClass],MATCH(1,(CoA_Schema[AssetType]=$D92)*(CoA_Schema[AssetClass]=$B92)*(CoA_Schema[AssetSubClass]=$C92),0),0)),"")</f>
        <v>Infrastructure</v>
      </c>
      <c r="O92" s="93" t="str">
        <f t="array" ref="O92">IFERROR(IF($B92="Building","Buildings",INDEX(CoA_Schema[FinancialSubClass],MATCH(1,(CoA_Schema[AssetType]=$D92)*(CoA_Schema[AssetClass]=$B92)*(CoA_Schema[AssetSubClass]=$C92),0),0)),"")</f>
        <v>Traffic Signals</v>
      </c>
      <c r="P92" s="93" t="str">
        <f>IFERROR(VLOOKUP($I92,UoM!$A:$C,2,FALSE),"")</f>
        <v>Length</v>
      </c>
      <c r="Q92" s="47" t="s">
        <v>1389</v>
      </c>
      <c r="R92" s="47" t="s">
        <v>1389</v>
      </c>
      <c r="S92" s="47">
        <v>20</v>
      </c>
      <c r="T92" s="47"/>
      <c r="U92" s="47"/>
      <c r="V92" s="47"/>
      <c r="W92" s="47"/>
      <c r="X92" s="47"/>
      <c r="Y92" s="119">
        <v>45974</v>
      </c>
      <c r="Z92" s="119">
        <v>45974</v>
      </c>
      <c r="AA92" s="47" t="s">
        <v>1563</v>
      </c>
      <c r="AB92" s="47"/>
      <c r="AC92" s="56">
        <f>IFERROR(VLOOKUP("New Assets:"&amp;ROW(),'Handover Cost Report'!$A:$U,17,FALSE),"")</f>
        <v>583.76</v>
      </c>
      <c r="AD92" s="56">
        <f>IFERROR(VLOOKUP("New Assets:"&amp;ROW(),'Handover Cost Report'!$A:$U,18,FALSE),"")</f>
        <v>0</v>
      </c>
      <c r="AE92" s="56">
        <f>IFERROR(VLOOKUP("New Assets:"&amp;ROW(),'Handover Cost Report'!$A:$U,19,FALSE),"")</f>
        <v>0</v>
      </c>
    </row>
    <row r="93" spans="1:31" s="3" customFormat="1" x14ac:dyDescent="0.2">
      <c r="A93" s="3" t="s">
        <v>1421</v>
      </c>
      <c r="B93" s="47" t="s">
        <v>363</v>
      </c>
      <c r="C93" s="47" t="s">
        <v>289</v>
      </c>
      <c r="D93" s="47" t="s">
        <v>349</v>
      </c>
      <c r="E93" s="47" t="s">
        <v>1390</v>
      </c>
      <c r="F93" s="47" t="s">
        <v>1390</v>
      </c>
      <c r="G93" s="47">
        <f>VLOOKUP(A93,'[1]Z8290 New Assets_output'!$A:$C,3,FALSE)</f>
        <v>294926</v>
      </c>
      <c r="H93" s="47">
        <v>7</v>
      </c>
      <c r="I93" s="47" t="s">
        <v>244</v>
      </c>
      <c r="J93" s="164">
        <v>0</v>
      </c>
      <c r="K93" s="56">
        <f t="shared" si="12"/>
        <v>0</v>
      </c>
      <c r="L93" s="93" t="s">
        <v>130</v>
      </c>
      <c r="M93" s="93" t="s">
        <v>421</v>
      </c>
      <c r="N93" s="93" t="str">
        <f t="array" ref="N93">IFERROR(IF($B93="Building","Buildings",INDEX(CoA_Schema[FinancialClass],MATCH(1,(CoA_Schema[AssetType]=$D93)*(CoA_Schema[AssetClass]=$B93)*(CoA_Schema[AssetSubClass]=$C93),0),0)),"")</f>
        <v>Infrastructure</v>
      </c>
      <c r="O93" s="93" t="str">
        <f t="array" ref="O93">IFERROR(IF($B93="Building","Buildings",INDEX(CoA_Schema[FinancialSubClass],MATCH(1,(CoA_Schema[AssetType]=$D93)*(CoA_Schema[AssetClass]=$B93)*(CoA_Schema[AssetSubClass]=$C93),0),0)),"")</f>
        <v>Traffic Signals</v>
      </c>
      <c r="P93" s="93" t="str">
        <f>IFERROR(VLOOKUP($I93,UoM!$A:$C,2,FALSE),"")</f>
        <v>Length</v>
      </c>
      <c r="Q93" s="47" t="s">
        <v>1433</v>
      </c>
      <c r="R93" s="47" t="s">
        <v>1389</v>
      </c>
      <c r="S93" s="47">
        <v>20</v>
      </c>
      <c r="T93" s="47"/>
      <c r="U93" s="47"/>
      <c r="V93" s="47"/>
      <c r="W93" s="47"/>
      <c r="X93" s="47"/>
      <c r="Y93" s="119">
        <v>45974</v>
      </c>
      <c r="Z93" s="119">
        <v>45974</v>
      </c>
      <c r="AA93" s="47" t="s">
        <v>1563</v>
      </c>
      <c r="AB93" s="162" t="s">
        <v>1430</v>
      </c>
      <c r="AC93" s="56">
        <f>IFERROR(VLOOKUP("New Assets:"&amp;ROW(),'Handover Cost Report'!$A:$U,17,FALSE),"")</f>
        <v>0</v>
      </c>
      <c r="AD93" s="56">
        <f>IFERROR(VLOOKUP("New Assets:"&amp;ROW(),'Handover Cost Report'!$A:$U,18,FALSE),"")</f>
        <v>0</v>
      </c>
      <c r="AE93" s="56">
        <f>IFERROR(VLOOKUP("New Assets:"&amp;ROW(),'Handover Cost Report'!$A:$U,19,FALSE),"")</f>
        <v>0</v>
      </c>
    </row>
    <row r="94" spans="1:31" s="3" customFormat="1" ht="16.899999999999999" customHeight="1" x14ac:dyDescent="0.2">
      <c r="A94" s="156" t="s">
        <v>1422</v>
      </c>
      <c r="B94" s="47" t="s">
        <v>363</v>
      </c>
      <c r="C94" s="47" t="s">
        <v>289</v>
      </c>
      <c r="D94" s="47" t="s">
        <v>349</v>
      </c>
      <c r="E94" s="157" t="s">
        <v>1391</v>
      </c>
      <c r="F94" s="47" t="s">
        <v>1547</v>
      </c>
      <c r="G94" s="47">
        <f>VLOOKUP(A94,'[1]Z8290 New Assets_output'!$A:$C,3,FALSE)</f>
        <v>294927</v>
      </c>
      <c r="H94" s="47">
        <v>1</v>
      </c>
      <c r="I94" s="47" t="s">
        <v>244</v>
      </c>
      <c r="J94" s="163">
        <v>83.394774062600149</v>
      </c>
      <c r="K94" s="56">
        <f t="shared" ref="K94:K95" si="13">H94*J94</f>
        <v>83.394774062600149</v>
      </c>
      <c r="L94" s="93" t="s">
        <v>130</v>
      </c>
      <c r="M94" s="93" t="s">
        <v>421</v>
      </c>
      <c r="N94" s="93" t="str">
        <f t="array" ref="N94">IFERROR(IF($B94="Building","Buildings",INDEX(CoA_Schema[FinancialClass],MATCH(1,(CoA_Schema[AssetType]=$D94)*(CoA_Schema[AssetClass]=$B94)*(CoA_Schema[AssetSubClass]=$C94),0),0)),"")</f>
        <v>Infrastructure</v>
      </c>
      <c r="O94" s="93" t="str">
        <f t="array" ref="O94">IFERROR(IF($B94="Building","Buildings",INDEX(CoA_Schema[FinancialSubClass],MATCH(1,(CoA_Schema[AssetType]=$D94)*(CoA_Schema[AssetClass]=$B94)*(CoA_Schema[AssetSubClass]=$C94),0),0)),"")</f>
        <v>Traffic Signals</v>
      </c>
      <c r="P94" s="93" t="str">
        <f>IFERROR(VLOOKUP($I94,UoM!$A:$C,2,FALSE),"")</f>
        <v>Length</v>
      </c>
      <c r="Q94" s="47" t="s">
        <v>1389</v>
      </c>
      <c r="R94" s="47" t="s">
        <v>1389</v>
      </c>
      <c r="S94" s="47">
        <v>20</v>
      </c>
      <c r="T94" s="47"/>
      <c r="U94" s="47"/>
      <c r="V94" s="47"/>
      <c r="W94" s="47"/>
      <c r="X94" s="47"/>
      <c r="Y94" s="119">
        <v>45974</v>
      </c>
      <c r="Z94" s="119">
        <v>45974</v>
      </c>
      <c r="AA94" s="47" t="s">
        <v>1563</v>
      </c>
      <c r="AB94" s="47"/>
      <c r="AC94" s="56">
        <f>IFERROR(VLOOKUP("New Assets:"&amp;ROW(),'Handover Cost Report'!$A:$U,17,FALSE),"")</f>
        <v>83.39</v>
      </c>
      <c r="AD94" s="56">
        <f>IFERROR(VLOOKUP("New Assets:"&amp;ROW(),'Handover Cost Report'!$A:$U,18,FALSE),"")</f>
        <v>0</v>
      </c>
      <c r="AE94" s="56">
        <f>IFERROR(VLOOKUP("New Assets:"&amp;ROW(),'Handover Cost Report'!$A:$U,19,FALSE),"")</f>
        <v>0</v>
      </c>
    </row>
    <row r="95" spans="1:31" s="3" customFormat="1" x14ac:dyDescent="0.2">
      <c r="A95" s="3" t="s">
        <v>1422</v>
      </c>
      <c r="B95" s="47" t="s">
        <v>363</v>
      </c>
      <c r="C95" s="47" t="s">
        <v>289</v>
      </c>
      <c r="D95" s="47" t="s">
        <v>349</v>
      </c>
      <c r="E95" s="47" t="s">
        <v>1390</v>
      </c>
      <c r="F95" s="47" t="s">
        <v>1390</v>
      </c>
      <c r="G95" s="47">
        <f>VLOOKUP(A95,'[1]Z8290 New Assets_output'!$A:$C,3,FALSE)</f>
        <v>294927</v>
      </c>
      <c r="H95" s="47">
        <v>1</v>
      </c>
      <c r="I95" s="47" t="s">
        <v>244</v>
      </c>
      <c r="J95" s="164">
        <v>0</v>
      </c>
      <c r="K95" s="56">
        <f t="shared" si="13"/>
        <v>0</v>
      </c>
      <c r="L95" s="93" t="s">
        <v>130</v>
      </c>
      <c r="M95" s="93" t="s">
        <v>421</v>
      </c>
      <c r="N95" s="93" t="str">
        <f t="array" ref="N95">IFERROR(IF($B95="Building","Buildings",INDEX(CoA_Schema[FinancialClass],MATCH(1,(CoA_Schema[AssetType]=$D95)*(CoA_Schema[AssetClass]=$B95)*(CoA_Schema[AssetSubClass]=$C95),0),0)),"")</f>
        <v>Infrastructure</v>
      </c>
      <c r="O95" s="93" t="str">
        <f t="array" ref="O95">IFERROR(IF($B95="Building","Buildings",INDEX(CoA_Schema[FinancialSubClass],MATCH(1,(CoA_Schema[AssetType]=$D95)*(CoA_Schema[AssetClass]=$B95)*(CoA_Schema[AssetSubClass]=$C95),0),0)),"")</f>
        <v>Traffic Signals</v>
      </c>
      <c r="P95" s="93" t="str">
        <f>IFERROR(VLOOKUP($I95,UoM!$A:$C,2,FALSE),"")</f>
        <v>Length</v>
      </c>
      <c r="Q95" s="47" t="s">
        <v>1433</v>
      </c>
      <c r="R95" s="47" t="s">
        <v>1389</v>
      </c>
      <c r="S95" s="47">
        <v>20</v>
      </c>
      <c r="T95" s="47"/>
      <c r="U95" s="47"/>
      <c r="V95" s="47"/>
      <c r="W95" s="47"/>
      <c r="X95" s="47"/>
      <c r="Y95" s="119">
        <v>45974</v>
      </c>
      <c r="Z95" s="119">
        <v>45974</v>
      </c>
      <c r="AA95" s="47" t="s">
        <v>1563</v>
      </c>
      <c r="AB95" s="162" t="s">
        <v>1430</v>
      </c>
      <c r="AC95" s="56">
        <f>IFERROR(VLOOKUP("New Assets:"&amp;ROW(),'Handover Cost Report'!$A:$U,17,FALSE),"")</f>
        <v>0</v>
      </c>
      <c r="AD95" s="56">
        <f>IFERROR(VLOOKUP("New Assets:"&amp;ROW(),'Handover Cost Report'!$A:$U,18,FALSE),"")</f>
        <v>0</v>
      </c>
      <c r="AE95" s="56">
        <f>IFERROR(VLOOKUP("New Assets:"&amp;ROW(),'Handover Cost Report'!$A:$U,19,FALSE),"")</f>
        <v>0</v>
      </c>
    </row>
    <row r="96" spans="1:31" s="3" customFormat="1" x14ac:dyDescent="0.2">
      <c r="A96" s="158" t="s">
        <v>1423</v>
      </c>
      <c r="B96" s="47" t="s">
        <v>363</v>
      </c>
      <c r="C96" s="47" t="s">
        <v>289</v>
      </c>
      <c r="D96" s="47" t="s">
        <v>349</v>
      </c>
      <c r="E96" s="154" t="s">
        <v>1393</v>
      </c>
      <c r="F96" s="47" t="s">
        <v>1549</v>
      </c>
      <c r="G96" s="47">
        <f>VLOOKUP(A96,'[1]Z8290 New Assets_output'!$A:$C,3,FALSE)</f>
        <v>294929</v>
      </c>
      <c r="H96" s="47">
        <v>23</v>
      </c>
      <c r="I96" s="47" t="s">
        <v>244</v>
      </c>
      <c r="J96" s="163">
        <v>83.394774062600149</v>
      </c>
      <c r="K96" s="56">
        <f t="shared" si="12"/>
        <v>1918.0798034398035</v>
      </c>
      <c r="L96" s="93" t="s">
        <v>130</v>
      </c>
      <c r="M96" s="93" t="s">
        <v>421</v>
      </c>
      <c r="N96" s="93" t="str">
        <f t="array" ref="N96">IFERROR(IF($B96="Building","Buildings",INDEX(CoA_Schema[FinancialClass],MATCH(1,(CoA_Schema[AssetType]=$D96)*(CoA_Schema[AssetClass]=$B96)*(CoA_Schema[AssetSubClass]=$C96),0),0)),"")</f>
        <v>Infrastructure</v>
      </c>
      <c r="O96" s="93" t="str">
        <f t="array" ref="O96">IFERROR(IF($B96="Building","Buildings",INDEX(CoA_Schema[FinancialSubClass],MATCH(1,(CoA_Schema[AssetType]=$D96)*(CoA_Schema[AssetClass]=$B96)*(CoA_Schema[AssetSubClass]=$C96),0),0)),"")</f>
        <v>Traffic Signals</v>
      </c>
      <c r="P96" s="93" t="str">
        <f>IFERROR(VLOOKUP($I96,UoM!$A:$C,2,FALSE),"")</f>
        <v>Length</v>
      </c>
      <c r="Q96" s="47" t="s">
        <v>1389</v>
      </c>
      <c r="R96" s="47" t="s">
        <v>1389</v>
      </c>
      <c r="S96" s="47">
        <v>20</v>
      </c>
      <c r="T96" s="47"/>
      <c r="U96" s="47"/>
      <c r="V96" s="47"/>
      <c r="W96" s="47"/>
      <c r="X96" s="47"/>
      <c r="Y96" s="119">
        <v>45974</v>
      </c>
      <c r="Z96" s="119">
        <v>45974</v>
      </c>
      <c r="AA96" s="47" t="s">
        <v>1563</v>
      </c>
      <c r="AB96" s="47"/>
      <c r="AC96" s="56">
        <f>IFERROR(VLOOKUP("New Assets:"&amp;ROW(),'Handover Cost Report'!$A:$U,17,FALSE),"")</f>
        <v>1918.08</v>
      </c>
      <c r="AD96" s="56">
        <f>IFERROR(VLOOKUP("New Assets:"&amp;ROW(),'Handover Cost Report'!$A:$U,18,FALSE),"")</f>
        <v>0</v>
      </c>
      <c r="AE96" s="56">
        <f>IFERROR(VLOOKUP("New Assets:"&amp;ROW(),'Handover Cost Report'!$A:$U,19,FALSE),"")</f>
        <v>0</v>
      </c>
    </row>
    <row r="97" spans="1:31" s="3" customFormat="1" x14ac:dyDescent="0.2">
      <c r="A97" s="159" t="s">
        <v>1423</v>
      </c>
      <c r="B97" s="47" t="s">
        <v>363</v>
      </c>
      <c r="C97" s="47" t="s">
        <v>289</v>
      </c>
      <c r="D97" s="47" t="s">
        <v>349</v>
      </c>
      <c r="E97" s="160" t="s">
        <v>1394</v>
      </c>
      <c r="F97" s="47" t="s">
        <v>1548</v>
      </c>
      <c r="G97" s="47">
        <f>VLOOKUP(A97,'[1]Z8290 New Assets_output'!$A:$C,3,FALSE)</f>
        <v>294929</v>
      </c>
      <c r="H97" s="47">
        <v>23</v>
      </c>
      <c r="I97" s="47" t="s">
        <v>244</v>
      </c>
      <c r="J97" s="163">
        <v>157.21965601965601</v>
      </c>
      <c r="K97" s="56">
        <f t="shared" si="12"/>
        <v>3616.0520884520884</v>
      </c>
      <c r="L97" s="93" t="s">
        <v>130</v>
      </c>
      <c r="M97" s="93" t="s">
        <v>421</v>
      </c>
      <c r="N97" s="93" t="str">
        <f t="array" ref="N97">IFERROR(IF($B97="Building","Buildings",INDEX(CoA_Schema[FinancialClass],MATCH(1,(CoA_Schema[AssetType]=$D97)*(CoA_Schema[AssetClass]=$B97)*(CoA_Schema[AssetSubClass]=$C97),0),0)),"")</f>
        <v>Infrastructure</v>
      </c>
      <c r="O97" s="93" t="str">
        <f t="array" ref="O97">IFERROR(IF($B97="Building","Buildings",INDEX(CoA_Schema[FinancialSubClass],MATCH(1,(CoA_Schema[AssetType]=$D97)*(CoA_Schema[AssetClass]=$B97)*(CoA_Schema[AssetSubClass]=$C97),0),0)),"")</f>
        <v>Traffic Signals</v>
      </c>
      <c r="P97" s="93" t="str">
        <f>IFERROR(VLOOKUP($I97,UoM!$A:$C,2,FALSE),"")</f>
        <v>Length</v>
      </c>
      <c r="Q97" s="47" t="s">
        <v>1389</v>
      </c>
      <c r="R97" s="47" t="s">
        <v>1389</v>
      </c>
      <c r="S97" s="47">
        <v>20</v>
      </c>
      <c r="T97" s="47"/>
      <c r="U97" s="47"/>
      <c r="V97" s="47"/>
      <c r="W97" s="47"/>
      <c r="X97" s="47"/>
      <c r="Y97" s="119">
        <v>45974</v>
      </c>
      <c r="Z97" s="119">
        <v>45974</v>
      </c>
      <c r="AA97" s="47" t="s">
        <v>1563</v>
      </c>
      <c r="AB97" s="47"/>
      <c r="AC97" s="56">
        <f>IFERROR(VLOOKUP("New Assets:"&amp;ROW(),'Handover Cost Report'!$A:$U,17,FALSE),"")</f>
        <v>3616.05</v>
      </c>
      <c r="AD97" s="56">
        <f>IFERROR(VLOOKUP("New Assets:"&amp;ROW(),'Handover Cost Report'!$A:$U,18,FALSE),"")</f>
        <v>0</v>
      </c>
      <c r="AE97" s="56">
        <f>IFERROR(VLOOKUP("New Assets:"&amp;ROW(),'Handover Cost Report'!$A:$U,19,FALSE),"")</f>
        <v>0</v>
      </c>
    </row>
    <row r="98" spans="1:31" s="3" customFormat="1" x14ac:dyDescent="0.2">
      <c r="A98" s="3" t="s">
        <v>1423</v>
      </c>
      <c r="B98" s="47" t="s">
        <v>363</v>
      </c>
      <c r="C98" s="47" t="s">
        <v>289</v>
      </c>
      <c r="D98" s="47" t="s">
        <v>349</v>
      </c>
      <c r="E98" s="47" t="s">
        <v>1390</v>
      </c>
      <c r="F98" s="47" t="s">
        <v>1390</v>
      </c>
      <c r="G98" s="47">
        <f>VLOOKUP(A98,'[1]Z8290 New Assets_output'!$A:$C,3,FALSE)</f>
        <v>294929</v>
      </c>
      <c r="H98" s="47">
        <v>23</v>
      </c>
      <c r="I98" s="47" t="s">
        <v>244</v>
      </c>
      <c r="J98" s="164">
        <v>0</v>
      </c>
      <c r="K98" s="56">
        <f t="shared" si="12"/>
        <v>0</v>
      </c>
      <c r="L98" s="93" t="s">
        <v>130</v>
      </c>
      <c r="M98" s="93" t="s">
        <v>421</v>
      </c>
      <c r="N98" s="93" t="str">
        <f t="array" ref="N98">IFERROR(IF($B98="Building","Buildings",INDEX(CoA_Schema[FinancialClass],MATCH(1,(CoA_Schema[AssetType]=$D98)*(CoA_Schema[AssetClass]=$B98)*(CoA_Schema[AssetSubClass]=$C98),0),0)),"")</f>
        <v>Infrastructure</v>
      </c>
      <c r="O98" s="93" t="str">
        <f t="array" ref="O98">IFERROR(IF($B98="Building","Buildings",INDEX(CoA_Schema[FinancialSubClass],MATCH(1,(CoA_Schema[AssetType]=$D98)*(CoA_Schema[AssetClass]=$B98)*(CoA_Schema[AssetSubClass]=$C98),0),0)),"")</f>
        <v>Traffic Signals</v>
      </c>
      <c r="P98" s="93" t="str">
        <f>IFERROR(VLOOKUP($I98,UoM!$A:$C,2,FALSE),"")</f>
        <v>Length</v>
      </c>
      <c r="Q98" s="47" t="s">
        <v>1433</v>
      </c>
      <c r="R98" s="47" t="s">
        <v>1389</v>
      </c>
      <c r="S98" s="47">
        <v>20</v>
      </c>
      <c r="T98" s="47"/>
      <c r="U98" s="47"/>
      <c r="V98" s="47"/>
      <c r="W98" s="47"/>
      <c r="X98" s="47"/>
      <c r="Y98" s="119">
        <v>45974</v>
      </c>
      <c r="Z98" s="119">
        <v>45974</v>
      </c>
      <c r="AA98" s="47" t="s">
        <v>1563</v>
      </c>
      <c r="AB98" s="162" t="s">
        <v>1430</v>
      </c>
      <c r="AC98" s="56">
        <f>IFERROR(VLOOKUP("New Assets:"&amp;ROW(),'Handover Cost Report'!$A:$U,17,FALSE),"")</f>
        <v>0</v>
      </c>
      <c r="AD98" s="56">
        <f>IFERROR(VLOOKUP("New Assets:"&amp;ROW(),'Handover Cost Report'!$A:$U,18,FALSE),"")</f>
        <v>0</v>
      </c>
      <c r="AE98" s="56">
        <f>IFERROR(VLOOKUP("New Assets:"&amp;ROW(),'Handover Cost Report'!$A:$U,19,FALSE),"")</f>
        <v>0</v>
      </c>
    </row>
    <row r="99" spans="1:31" s="3" customFormat="1" ht="18" customHeight="1" x14ac:dyDescent="0.2">
      <c r="A99" s="3" t="s">
        <v>1424</v>
      </c>
      <c r="B99" s="47" t="s">
        <v>363</v>
      </c>
      <c r="C99" s="47" t="s">
        <v>289</v>
      </c>
      <c r="D99" s="47" t="s">
        <v>349</v>
      </c>
      <c r="E99" s="154" t="s">
        <v>86</v>
      </c>
      <c r="F99" s="47" t="s">
        <v>86</v>
      </c>
      <c r="G99" s="47">
        <f>VLOOKUP(A99,'[1]Z8290 New Assets_output'!$A:$C,3,FALSE)</f>
        <v>294930</v>
      </c>
      <c r="H99" s="47">
        <v>0.5</v>
      </c>
      <c r="I99" s="47" t="s">
        <v>244</v>
      </c>
      <c r="J99" s="163">
        <v>83.394774062600149</v>
      </c>
      <c r="K99" s="56">
        <f t="shared" si="12"/>
        <v>41.697387031300075</v>
      </c>
      <c r="L99" s="93" t="s">
        <v>130</v>
      </c>
      <c r="M99" s="93" t="s">
        <v>416</v>
      </c>
      <c r="N99" s="93" t="str">
        <f t="array" ref="N99">IFERROR(IF($B99="Building","Buildings",INDEX(CoA_Schema[FinancialClass],MATCH(1,(CoA_Schema[AssetType]=$D99)*(CoA_Schema[AssetClass]=$B99)*(CoA_Schema[AssetSubClass]=$C99),0),0)),"")</f>
        <v>Infrastructure</v>
      </c>
      <c r="O99" s="93" t="str">
        <f t="array" ref="O99">IFERROR(IF($B99="Building","Buildings",INDEX(CoA_Schema[FinancialSubClass],MATCH(1,(CoA_Schema[AssetType]=$D99)*(CoA_Schema[AssetClass]=$B99)*(CoA_Schema[AssetSubClass]=$C99),0),0)),"")</f>
        <v>Traffic Signals</v>
      </c>
      <c r="P99" s="93" t="s">
        <v>243</v>
      </c>
      <c r="Q99" s="47" t="s">
        <v>1389</v>
      </c>
      <c r="R99" s="47" t="s">
        <v>1389</v>
      </c>
      <c r="S99" s="47">
        <v>20</v>
      </c>
      <c r="T99" s="47"/>
      <c r="U99" s="47"/>
      <c r="V99" s="47"/>
      <c r="W99" s="47"/>
      <c r="X99" s="47"/>
      <c r="Y99" s="119">
        <v>45974</v>
      </c>
      <c r="Z99" s="119">
        <v>45974</v>
      </c>
      <c r="AA99" s="47" t="s">
        <v>1563</v>
      </c>
      <c r="AB99" s="47"/>
      <c r="AC99" s="56">
        <f>IFERROR(VLOOKUP("New Assets:"&amp;ROW(),'Handover Cost Report'!$A:$U,17,FALSE),"")</f>
        <v>41.7</v>
      </c>
      <c r="AD99" s="56">
        <f>IFERROR(VLOOKUP("New Assets:"&amp;ROW(),'Handover Cost Report'!$A:$U,18,FALSE),"")</f>
        <v>0</v>
      </c>
      <c r="AE99" s="56">
        <f>IFERROR(VLOOKUP("New Assets:"&amp;ROW(),'Handover Cost Report'!$A:$U,19,FALSE),"")</f>
        <v>0</v>
      </c>
    </row>
    <row r="100" spans="1:31" s="3" customFormat="1" ht="16.149999999999999" customHeight="1" x14ac:dyDescent="0.2">
      <c r="A100" s="155" t="s">
        <v>1424</v>
      </c>
      <c r="B100" s="47" t="s">
        <v>363</v>
      </c>
      <c r="C100" s="47" t="s">
        <v>289</v>
      </c>
      <c r="D100" s="47" t="s">
        <v>349</v>
      </c>
      <c r="E100" s="47" t="s">
        <v>1403</v>
      </c>
      <c r="F100" s="47"/>
      <c r="G100" s="47">
        <f>VLOOKUP(A100,'[1]Z8290 New Assets_output'!$A:$C,3,FALSE)</f>
        <v>294930</v>
      </c>
      <c r="H100" s="47">
        <v>0.5</v>
      </c>
      <c r="I100" s="47" t="s">
        <v>244</v>
      </c>
      <c r="J100" s="164">
        <v>0</v>
      </c>
      <c r="K100" s="56">
        <f>H100*J100</f>
        <v>0</v>
      </c>
      <c r="L100" s="93" t="s">
        <v>130</v>
      </c>
      <c r="M100" s="93" t="s">
        <v>421</v>
      </c>
      <c r="N100" s="93" t="str">
        <f t="array" ref="N100">IFERROR(IF($B100="Building","Buildings",INDEX(CoA_Schema[FinancialClass],MATCH(1,(CoA_Schema[AssetType]=$D100)*(CoA_Schema[AssetClass]=$B100)*(CoA_Schema[AssetSubClass]=$C100),0),0)),"")</f>
        <v>Infrastructure</v>
      </c>
      <c r="O100" s="93" t="str">
        <f t="array" ref="O100">IFERROR(IF($B100="Building","Buildings",INDEX(CoA_Schema[FinancialSubClass],MATCH(1,(CoA_Schema[AssetType]=$D100)*(CoA_Schema[AssetClass]=$B100)*(CoA_Schema[AssetSubClass]=$C100),0),0)),"")</f>
        <v>Traffic Signals</v>
      </c>
      <c r="P100" s="93" t="str">
        <f>IFERROR(VLOOKUP($I100,UoM!$A:$C,2,FALSE),"")</f>
        <v>Length</v>
      </c>
      <c r="Q100" s="47" t="s">
        <v>1433</v>
      </c>
      <c r="R100" s="47" t="s">
        <v>1389</v>
      </c>
      <c r="S100" s="47">
        <v>20</v>
      </c>
      <c r="T100" s="47"/>
      <c r="U100" s="47"/>
      <c r="V100" s="47"/>
      <c r="W100" s="47"/>
      <c r="X100" s="47"/>
      <c r="Y100" s="119">
        <v>45974</v>
      </c>
      <c r="Z100" s="119">
        <v>45974</v>
      </c>
      <c r="AA100" s="47" t="s">
        <v>1563</v>
      </c>
      <c r="AB100" s="162" t="s">
        <v>1430</v>
      </c>
      <c r="AC100" s="56">
        <f>IFERROR(VLOOKUP("New Assets:"&amp;ROW(),'Handover Cost Report'!$A:$U,17,FALSE),"")</f>
        <v>0</v>
      </c>
      <c r="AD100" s="56">
        <f>IFERROR(VLOOKUP("New Assets:"&amp;ROW(),'Handover Cost Report'!$A:$U,18,FALSE),"")</f>
        <v>0</v>
      </c>
      <c r="AE100" s="56">
        <f>IFERROR(VLOOKUP("New Assets:"&amp;ROW(),'Handover Cost Report'!$A:$U,19,FALSE),"")</f>
        <v>0</v>
      </c>
    </row>
    <row r="101" spans="1:31" s="3" customFormat="1" ht="16.899999999999999" customHeight="1" x14ac:dyDescent="0.2">
      <c r="A101" s="156" t="s">
        <v>1425</v>
      </c>
      <c r="B101" s="47" t="s">
        <v>363</v>
      </c>
      <c r="C101" s="47" t="s">
        <v>289</v>
      </c>
      <c r="D101" s="47" t="s">
        <v>349</v>
      </c>
      <c r="E101" s="157" t="s">
        <v>1391</v>
      </c>
      <c r="F101" s="47" t="s">
        <v>1547</v>
      </c>
      <c r="G101" s="47">
        <f>VLOOKUP(A101,'[1]Z8290 New Assets_output'!$A:$C,3,FALSE)</f>
        <v>294928</v>
      </c>
      <c r="H101" s="47">
        <v>3</v>
      </c>
      <c r="I101" s="47" t="s">
        <v>244</v>
      </c>
      <c r="J101" s="163">
        <v>83.394774062600149</v>
      </c>
      <c r="K101" s="56">
        <f t="shared" si="12"/>
        <v>250.18432218780043</v>
      </c>
      <c r="L101" s="93" t="s">
        <v>130</v>
      </c>
      <c r="M101" s="93" t="s">
        <v>421</v>
      </c>
      <c r="N101" s="93" t="str">
        <f t="array" ref="N101">IFERROR(IF($B101="Building","Buildings",INDEX(CoA_Schema[FinancialClass],MATCH(1,(CoA_Schema[AssetType]=$D101)*(CoA_Schema[AssetClass]=$B101)*(CoA_Schema[AssetSubClass]=$C101),0),0)),"")</f>
        <v>Infrastructure</v>
      </c>
      <c r="O101" s="93" t="str">
        <f t="array" ref="O101">IFERROR(IF($B101="Building","Buildings",INDEX(CoA_Schema[FinancialSubClass],MATCH(1,(CoA_Schema[AssetType]=$D101)*(CoA_Schema[AssetClass]=$B101)*(CoA_Schema[AssetSubClass]=$C101),0),0)),"")</f>
        <v>Traffic Signals</v>
      </c>
      <c r="P101" s="93" t="str">
        <f>IFERROR(VLOOKUP($I101,UoM!$A:$C,2,FALSE),"")</f>
        <v>Length</v>
      </c>
      <c r="Q101" s="47" t="s">
        <v>1389</v>
      </c>
      <c r="R101" s="47" t="s">
        <v>1389</v>
      </c>
      <c r="S101" s="47">
        <v>20</v>
      </c>
      <c r="T101" s="47"/>
      <c r="U101" s="47"/>
      <c r="V101" s="47"/>
      <c r="W101" s="47"/>
      <c r="X101" s="47"/>
      <c r="Y101" s="119">
        <v>45974</v>
      </c>
      <c r="Z101" s="119">
        <v>45974</v>
      </c>
      <c r="AA101" s="47" t="s">
        <v>1563</v>
      </c>
      <c r="AB101" s="47"/>
      <c r="AC101" s="56">
        <f>IFERROR(VLOOKUP("New Assets:"&amp;ROW(),'Handover Cost Report'!$A:$U,17,FALSE),"")</f>
        <v>250.18</v>
      </c>
      <c r="AD101" s="56">
        <f>IFERROR(VLOOKUP("New Assets:"&amp;ROW(),'Handover Cost Report'!$A:$U,18,FALSE),"")</f>
        <v>0</v>
      </c>
      <c r="AE101" s="56">
        <f>IFERROR(VLOOKUP("New Assets:"&amp;ROW(),'Handover Cost Report'!$A:$U,19,FALSE),"")</f>
        <v>0</v>
      </c>
    </row>
    <row r="102" spans="1:31" s="3" customFormat="1" x14ac:dyDescent="0.2">
      <c r="A102" s="3" t="s">
        <v>1425</v>
      </c>
      <c r="B102" s="47" t="s">
        <v>363</v>
      </c>
      <c r="C102" s="47" t="s">
        <v>289</v>
      </c>
      <c r="D102" s="47" t="s">
        <v>349</v>
      </c>
      <c r="E102" s="47" t="s">
        <v>1390</v>
      </c>
      <c r="F102" s="47" t="s">
        <v>1390</v>
      </c>
      <c r="G102" s="47">
        <f>VLOOKUP(A102,'[1]Z8290 New Assets_output'!$A:$C,3,FALSE)</f>
        <v>294928</v>
      </c>
      <c r="H102" s="47">
        <v>3</v>
      </c>
      <c r="I102" s="47" t="s">
        <v>244</v>
      </c>
      <c r="J102" s="164">
        <v>0</v>
      </c>
      <c r="K102" s="56">
        <f t="shared" si="12"/>
        <v>0</v>
      </c>
      <c r="L102" s="93" t="s">
        <v>130</v>
      </c>
      <c r="M102" s="93" t="s">
        <v>421</v>
      </c>
      <c r="N102" s="93" t="str">
        <f t="array" ref="N102">IFERROR(IF($B102="Building","Buildings",INDEX(CoA_Schema[FinancialClass],MATCH(1,(CoA_Schema[AssetType]=$D102)*(CoA_Schema[AssetClass]=$B102)*(CoA_Schema[AssetSubClass]=$C102),0),0)),"")</f>
        <v>Infrastructure</v>
      </c>
      <c r="O102" s="93" t="str">
        <f t="array" ref="O102">IFERROR(IF($B102="Building","Buildings",INDEX(CoA_Schema[FinancialSubClass],MATCH(1,(CoA_Schema[AssetType]=$D102)*(CoA_Schema[AssetClass]=$B102)*(CoA_Schema[AssetSubClass]=$C102),0),0)),"")</f>
        <v>Traffic Signals</v>
      </c>
      <c r="P102" s="93" t="str">
        <f>IFERROR(VLOOKUP($I102,UoM!$A:$C,2,FALSE),"")</f>
        <v>Length</v>
      </c>
      <c r="Q102" s="47" t="s">
        <v>1433</v>
      </c>
      <c r="R102" s="47" t="s">
        <v>1389</v>
      </c>
      <c r="S102" s="47">
        <v>20</v>
      </c>
      <c r="T102" s="47"/>
      <c r="U102" s="47"/>
      <c r="V102" s="47"/>
      <c r="W102" s="47"/>
      <c r="X102" s="47"/>
      <c r="Y102" s="119">
        <v>45974</v>
      </c>
      <c r="Z102" s="119">
        <v>45974</v>
      </c>
      <c r="AA102" s="47" t="s">
        <v>1563</v>
      </c>
      <c r="AB102" s="162" t="s">
        <v>1430</v>
      </c>
      <c r="AC102" s="56">
        <f>IFERROR(VLOOKUP("New Assets:"&amp;ROW(),'Handover Cost Report'!$A:$U,17,FALSE),"")</f>
        <v>0</v>
      </c>
      <c r="AD102" s="56">
        <f>IFERROR(VLOOKUP("New Assets:"&amp;ROW(),'Handover Cost Report'!$A:$U,18,FALSE),"")</f>
        <v>0</v>
      </c>
      <c r="AE102" s="56">
        <f>IFERROR(VLOOKUP("New Assets:"&amp;ROW(),'Handover Cost Report'!$A:$U,19,FALSE),"")</f>
        <v>0</v>
      </c>
    </row>
    <row r="103" spans="1:31" s="3" customFormat="1" x14ac:dyDescent="0.2">
      <c r="A103" s="158" t="s">
        <v>1426</v>
      </c>
      <c r="B103" s="47" t="s">
        <v>363</v>
      </c>
      <c r="C103" s="47" t="s">
        <v>289</v>
      </c>
      <c r="D103" s="47" t="s">
        <v>349</v>
      </c>
      <c r="E103" s="154" t="s">
        <v>1393</v>
      </c>
      <c r="F103" s="47" t="s">
        <v>1549</v>
      </c>
      <c r="G103" s="47">
        <f>VLOOKUP(A103,'[1]Z8290 New Assets_output'!$A:$C,3,FALSE)</f>
        <v>294931</v>
      </c>
      <c r="H103" s="47">
        <v>6</v>
      </c>
      <c r="I103" s="47" t="s">
        <v>244</v>
      </c>
      <c r="J103" s="163">
        <v>83.394774062600149</v>
      </c>
      <c r="K103" s="56">
        <f t="shared" ref="K103:K105" si="14">H103*J103</f>
        <v>500.36864437560087</v>
      </c>
      <c r="L103" s="93" t="s">
        <v>130</v>
      </c>
      <c r="M103" s="93" t="s">
        <v>421</v>
      </c>
      <c r="N103" s="93" t="str">
        <f t="array" ref="N103">IFERROR(IF($B103="Building","Buildings",INDEX(CoA_Schema[FinancialClass],MATCH(1,(CoA_Schema[AssetType]=$D103)*(CoA_Schema[AssetClass]=$B103)*(CoA_Schema[AssetSubClass]=$C103),0),0)),"")</f>
        <v>Infrastructure</v>
      </c>
      <c r="O103" s="93" t="str">
        <f t="array" ref="O103">IFERROR(IF($B103="Building","Buildings",INDEX(CoA_Schema[FinancialSubClass],MATCH(1,(CoA_Schema[AssetType]=$D103)*(CoA_Schema[AssetClass]=$B103)*(CoA_Schema[AssetSubClass]=$C103),0),0)),"")</f>
        <v>Traffic Signals</v>
      </c>
      <c r="P103" s="93" t="str">
        <f>IFERROR(VLOOKUP($I103,UoM!$A:$C,2,FALSE),"")</f>
        <v>Length</v>
      </c>
      <c r="Q103" s="47" t="s">
        <v>1389</v>
      </c>
      <c r="R103" s="47" t="s">
        <v>1389</v>
      </c>
      <c r="S103" s="47">
        <v>20</v>
      </c>
      <c r="T103" s="47"/>
      <c r="U103" s="47"/>
      <c r="V103" s="47"/>
      <c r="W103" s="47"/>
      <c r="X103" s="47"/>
      <c r="Y103" s="119">
        <v>45974</v>
      </c>
      <c r="Z103" s="119">
        <v>45974</v>
      </c>
      <c r="AA103" s="47" t="s">
        <v>1563</v>
      </c>
      <c r="AB103" s="47"/>
      <c r="AC103" s="56">
        <f>IFERROR(VLOOKUP("New Assets:"&amp;ROW(),'Handover Cost Report'!$A:$U,17,FALSE),"")</f>
        <v>500.37</v>
      </c>
      <c r="AD103" s="56">
        <f>IFERROR(VLOOKUP("New Assets:"&amp;ROW(),'Handover Cost Report'!$A:$U,18,FALSE),"")</f>
        <v>0</v>
      </c>
      <c r="AE103" s="56">
        <f>IFERROR(VLOOKUP("New Assets:"&amp;ROW(),'Handover Cost Report'!$A:$U,19,FALSE),"")</f>
        <v>0</v>
      </c>
    </row>
    <row r="104" spans="1:31" s="3" customFormat="1" x14ac:dyDescent="0.2">
      <c r="A104" s="159" t="s">
        <v>1426</v>
      </c>
      <c r="B104" s="47" t="s">
        <v>363</v>
      </c>
      <c r="C104" s="47" t="s">
        <v>289</v>
      </c>
      <c r="D104" s="47" t="s">
        <v>349</v>
      </c>
      <c r="E104" s="160" t="s">
        <v>1394</v>
      </c>
      <c r="F104" s="47" t="s">
        <v>1548</v>
      </c>
      <c r="G104" s="47">
        <f>VLOOKUP(A104,'[1]Z8290 New Assets_output'!$A:$C,3,FALSE)</f>
        <v>294931</v>
      </c>
      <c r="H104" s="47">
        <v>6</v>
      </c>
      <c r="I104" s="47" t="s">
        <v>244</v>
      </c>
      <c r="J104" s="163">
        <v>157.21965601965601</v>
      </c>
      <c r="K104" s="56">
        <f t="shared" si="14"/>
        <v>943.31793611793614</v>
      </c>
      <c r="L104" s="93" t="s">
        <v>130</v>
      </c>
      <c r="M104" s="93" t="s">
        <v>421</v>
      </c>
      <c r="N104" s="93" t="str">
        <f t="array" ref="N104">IFERROR(IF($B104="Building","Buildings",INDEX(CoA_Schema[FinancialClass],MATCH(1,(CoA_Schema[AssetType]=$D104)*(CoA_Schema[AssetClass]=$B104)*(CoA_Schema[AssetSubClass]=$C104),0),0)),"")</f>
        <v>Infrastructure</v>
      </c>
      <c r="O104" s="93" t="str">
        <f t="array" ref="O104">IFERROR(IF($B104="Building","Buildings",INDEX(CoA_Schema[FinancialSubClass],MATCH(1,(CoA_Schema[AssetType]=$D104)*(CoA_Schema[AssetClass]=$B104)*(CoA_Schema[AssetSubClass]=$C104),0),0)),"")</f>
        <v>Traffic Signals</v>
      </c>
      <c r="P104" s="93" t="str">
        <f>IFERROR(VLOOKUP($I104,UoM!$A:$C,2,FALSE),"")</f>
        <v>Length</v>
      </c>
      <c r="Q104" s="47" t="s">
        <v>1389</v>
      </c>
      <c r="R104" s="47" t="s">
        <v>1389</v>
      </c>
      <c r="S104" s="47">
        <v>20</v>
      </c>
      <c r="T104" s="47"/>
      <c r="U104" s="47"/>
      <c r="V104" s="47"/>
      <c r="W104" s="47"/>
      <c r="X104" s="47"/>
      <c r="Y104" s="119">
        <v>45974</v>
      </c>
      <c r="Z104" s="119">
        <v>45974</v>
      </c>
      <c r="AA104" s="47" t="s">
        <v>1563</v>
      </c>
      <c r="AB104" s="47"/>
      <c r="AC104" s="56">
        <f>IFERROR(VLOOKUP("New Assets:"&amp;ROW(),'Handover Cost Report'!$A:$U,17,FALSE),"")</f>
        <v>943.32</v>
      </c>
      <c r="AD104" s="56">
        <f>IFERROR(VLOOKUP("New Assets:"&amp;ROW(),'Handover Cost Report'!$A:$U,18,FALSE),"")</f>
        <v>0</v>
      </c>
      <c r="AE104" s="56">
        <f>IFERROR(VLOOKUP("New Assets:"&amp;ROW(),'Handover Cost Report'!$A:$U,19,FALSE),"")</f>
        <v>0</v>
      </c>
    </row>
    <row r="105" spans="1:31" s="3" customFormat="1" x14ac:dyDescent="0.2">
      <c r="A105" s="3" t="s">
        <v>1426</v>
      </c>
      <c r="B105" s="47" t="s">
        <v>363</v>
      </c>
      <c r="C105" s="47" t="s">
        <v>289</v>
      </c>
      <c r="D105" s="47" t="s">
        <v>349</v>
      </c>
      <c r="E105" s="47" t="s">
        <v>1390</v>
      </c>
      <c r="F105" s="47" t="s">
        <v>1390</v>
      </c>
      <c r="G105" s="47">
        <f>VLOOKUP(A105,'[1]Z8290 New Assets_output'!$A:$C,3,FALSE)</f>
        <v>294931</v>
      </c>
      <c r="H105" s="47">
        <v>6</v>
      </c>
      <c r="I105" s="47" t="s">
        <v>244</v>
      </c>
      <c r="J105" s="164">
        <v>0</v>
      </c>
      <c r="K105" s="56">
        <f t="shared" si="14"/>
        <v>0</v>
      </c>
      <c r="L105" s="93" t="s">
        <v>130</v>
      </c>
      <c r="M105" s="93" t="s">
        <v>421</v>
      </c>
      <c r="N105" s="93" t="str">
        <f t="array" ref="N105">IFERROR(IF($B105="Building","Buildings",INDEX(CoA_Schema[FinancialClass],MATCH(1,(CoA_Schema[AssetType]=$D105)*(CoA_Schema[AssetClass]=$B105)*(CoA_Schema[AssetSubClass]=$C105),0),0)),"")</f>
        <v>Infrastructure</v>
      </c>
      <c r="O105" s="93" t="str">
        <f t="array" ref="O105">IFERROR(IF($B105="Building","Buildings",INDEX(CoA_Schema[FinancialSubClass],MATCH(1,(CoA_Schema[AssetType]=$D105)*(CoA_Schema[AssetClass]=$B105)*(CoA_Schema[AssetSubClass]=$C105),0),0)),"")</f>
        <v>Traffic Signals</v>
      </c>
      <c r="P105" s="93" t="str">
        <f>IFERROR(VLOOKUP($I105,UoM!$A:$C,2,FALSE),"")</f>
        <v>Length</v>
      </c>
      <c r="Q105" s="47" t="s">
        <v>1433</v>
      </c>
      <c r="R105" s="47" t="s">
        <v>1389</v>
      </c>
      <c r="S105" s="47">
        <v>20</v>
      </c>
      <c r="T105" s="47"/>
      <c r="U105" s="47"/>
      <c r="V105" s="47"/>
      <c r="W105" s="47"/>
      <c r="X105" s="47"/>
      <c r="Y105" s="119">
        <v>45974</v>
      </c>
      <c r="Z105" s="119">
        <v>45974</v>
      </c>
      <c r="AA105" s="47" t="s">
        <v>1563</v>
      </c>
      <c r="AB105" s="162" t="s">
        <v>1430</v>
      </c>
      <c r="AC105" s="56">
        <f>IFERROR(VLOOKUP("New Assets:"&amp;ROW(),'Handover Cost Report'!$A:$U,17,FALSE),"")</f>
        <v>0</v>
      </c>
      <c r="AD105" s="56">
        <f>IFERROR(VLOOKUP("New Assets:"&amp;ROW(),'Handover Cost Report'!$A:$U,18,FALSE),"")</f>
        <v>0</v>
      </c>
      <c r="AE105" s="56">
        <f>IFERROR(VLOOKUP("New Assets:"&amp;ROW(),'Handover Cost Report'!$A:$U,19,FALSE),"")</f>
        <v>0</v>
      </c>
    </row>
    <row r="106" spans="1:31" s="3" customFormat="1" ht="16.899999999999999" customHeight="1" x14ac:dyDescent="0.2">
      <c r="A106" s="156" t="s">
        <v>1427</v>
      </c>
      <c r="B106" s="47" t="s">
        <v>363</v>
      </c>
      <c r="C106" s="47" t="s">
        <v>289</v>
      </c>
      <c r="D106" s="47" t="s">
        <v>349</v>
      </c>
      <c r="E106" s="157" t="s">
        <v>1391</v>
      </c>
      <c r="F106" s="47" t="s">
        <v>1547</v>
      </c>
      <c r="G106" s="47">
        <f>VLOOKUP(A106,'[1]Z8290 New Assets_output'!$A:$C,3,FALSE)</f>
        <v>294932</v>
      </c>
      <c r="H106" s="47">
        <v>3</v>
      </c>
      <c r="I106" s="47" t="s">
        <v>244</v>
      </c>
      <c r="J106" s="163">
        <v>83.394774062600149</v>
      </c>
      <c r="K106" s="56">
        <f t="shared" ref="K106:K109" si="15">H106*J106</f>
        <v>250.18432218780043</v>
      </c>
      <c r="L106" s="93" t="s">
        <v>130</v>
      </c>
      <c r="M106" s="93" t="s">
        <v>421</v>
      </c>
      <c r="N106" s="93" t="str">
        <f t="array" ref="N106">IFERROR(IF($B106="Building","Buildings",INDEX(CoA_Schema[FinancialClass],MATCH(1,(CoA_Schema[AssetType]=$D106)*(CoA_Schema[AssetClass]=$B106)*(CoA_Schema[AssetSubClass]=$C106),0),0)),"")</f>
        <v>Infrastructure</v>
      </c>
      <c r="O106" s="93" t="str">
        <f t="array" ref="O106">IFERROR(IF($B106="Building","Buildings",INDEX(CoA_Schema[FinancialSubClass],MATCH(1,(CoA_Schema[AssetType]=$D106)*(CoA_Schema[AssetClass]=$B106)*(CoA_Schema[AssetSubClass]=$C106),0),0)),"")</f>
        <v>Traffic Signals</v>
      </c>
      <c r="P106" s="93" t="str">
        <f>IFERROR(VLOOKUP($I106,UoM!$A:$C,2,FALSE),"")</f>
        <v>Length</v>
      </c>
      <c r="Q106" s="47" t="s">
        <v>1389</v>
      </c>
      <c r="R106" s="47" t="s">
        <v>1389</v>
      </c>
      <c r="S106" s="47">
        <v>20</v>
      </c>
      <c r="T106" s="47"/>
      <c r="U106" s="47"/>
      <c r="V106" s="47"/>
      <c r="W106" s="47"/>
      <c r="X106" s="47"/>
      <c r="Y106" s="119">
        <v>45974</v>
      </c>
      <c r="Z106" s="119">
        <v>45974</v>
      </c>
      <c r="AA106" s="47" t="s">
        <v>1563</v>
      </c>
      <c r="AB106" s="47"/>
      <c r="AC106" s="56">
        <f>IFERROR(VLOOKUP("New Assets:"&amp;ROW(),'Handover Cost Report'!$A:$U,17,FALSE),"")</f>
        <v>250.18</v>
      </c>
      <c r="AD106" s="56">
        <f>IFERROR(VLOOKUP("New Assets:"&amp;ROW(),'Handover Cost Report'!$A:$U,18,FALSE),"")</f>
        <v>0</v>
      </c>
      <c r="AE106" s="56">
        <f>IFERROR(VLOOKUP("New Assets:"&amp;ROW(),'Handover Cost Report'!$A:$U,19,FALSE),"")</f>
        <v>0</v>
      </c>
    </row>
    <row r="107" spans="1:31" s="3" customFormat="1" x14ac:dyDescent="0.2">
      <c r="A107" s="3" t="s">
        <v>1427</v>
      </c>
      <c r="B107" s="47" t="s">
        <v>363</v>
      </c>
      <c r="C107" s="47" t="s">
        <v>289</v>
      </c>
      <c r="D107" s="47" t="s">
        <v>349</v>
      </c>
      <c r="E107" s="47" t="s">
        <v>1403</v>
      </c>
      <c r="F107" s="47" t="s">
        <v>1403</v>
      </c>
      <c r="G107" s="47">
        <f>VLOOKUP(A107,'[1]Z8290 New Assets_output'!$A:$C,3,FALSE)</f>
        <v>294932</v>
      </c>
      <c r="H107" s="47">
        <v>3</v>
      </c>
      <c r="I107" s="47" t="s">
        <v>244</v>
      </c>
      <c r="J107" s="164">
        <v>0</v>
      </c>
      <c r="K107" s="56">
        <f t="shared" si="15"/>
        <v>0</v>
      </c>
      <c r="L107" s="93" t="s">
        <v>130</v>
      </c>
      <c r="M107" s="93" t="s">
        <v>421</v>
      </c>
      <c r="N107" s="93" t="str">
        <f t="array" ref="N107">IFERROR(IF($B107="Building","Buildings",INDEX(CoA_Schema[FinancialClass],MATCH(1,(CoA_Schema[AssetType]=$D107)*(CoA_Schema[AssetClass]=$B107)*(CoA_Schema[AssetSubClass]=$C107),0),0)),"")</f>
        <v>Infrastructure</v>
      </c>
      <c r="O107" s="93" t="str">
        <f t="array" ref="O107">IFERROR(IF($B107="Building","Buildings",INDEX(CoA_Schema[FinancialSubClass],MATCH(1,(CoA_Schema[AssetType]=$D107)*(CoA_Schema[AssetClass]=$B107)*(CoA_Schema[AssetSubClass]=$C107),0),0)),"")</f>
        <v>Traffic Signals</v>
      </c>
      <c r="P107" s="93" t="str">
        <f>IFERROR(VLOOKUP($I107,UoM!$A:$C,2,FALSE),"")</f>
        <v>Length</v>
      </c>
      <c r="Q107" s="47" t="s">
        <v>1433</v>
      </c>
      <c r="R107" s="47" t="s">
        <v>1389</v>
      </c>
      <c r="S107" s="47">
        <v>20</v>
      </c>
      <c r="T107" s="47"/>
      <c r="U107" s="47"/>
      <c r="V107" s="47"/>
      <c r="W107" s="47"/>
      <c r="X107" s="47"/>
      <c r="Y107" s="119">
        <v>45974</v>
      </c>
      <c r="Z107" s="119">
        <v>45974</v>
      </c>
      <c r="AA107" s="47" t="s">
        <v>1563</v>
      </c>
      <c r="AB107" s="162" t="s">
        <v>1430</v>
      </c>
      <c r="AC107" s="56">
        <f>IFERROR(VLOOKUP("New Assets:"&amp;ROW(),'Handover Cost Report'!$A:$U,17,FALSE),"")</f>
        <v>0</v>
      </c>
      <c r="AD107" s="56">
        <f>IFERROR(VLOOKUP("New Assets:"&amp;ROW(),'Handover Cost Report'!$A:$U,18,FALSE),"")</f>
        <v>0</v>
      </c>
      <c r="AE107" s="56">
        <f>IFERROR(VLOOKUP("New Assets:"&amp;ROW(),'Handover Cost Report'!$A:$U,19,FALSE),"")</f>
        <v>0</v>
      </c>
    </row>
    <row r="108" spans="1:31" s="3" customFormat="1" ht="16.899999999999999" customHeight="1" x14ac:dyDescent="0.2">
      <c r="A108" s="156" t="s">
        <v>1432</v>
      </c>
      <c r="B108" s="47" t="s">
        <v>363</v>
      </c>
      <c r="C108" s="47" t="s">
        <v>289</v>
      </c>
      <c r="D108" s="47" t="s">
        <v>349</v>
      </c>
      <c r="E108" s="157" t="s">
        <v>1391</v>
      </c>
      <c r="F108" s="47" t="s">
        <v>1547</v>
      </c>
      <c r="G108" s="47">
        <f>VLOOKUP(A108,'[1]Z8290 New Assets_output'!$A:$C,3,FALSE)</f>
        <v>294933</v>
      </c>
      <c r="H108" s="47">
        <v>3</v>
      </c>
      <c r="I108" s="47" t="s">
        <v>244</v>
      </c>
      <c r="J108" s="163">
        <v>83.394774062600149</v>
      </c>
      <c r="K108" s="56">
        <f t="shared" si="15"/>
        <v>250.18432218780043</v>
      </c>
      <c r="L108" s="93" t="s">
        <v>130</v>
      </c>
      <c r="M108" s="93" t="s">
        <v>421</v>
      </c>
      <c r="N108" s="93" t="str">
        <f t="array" ref="N108">IFERROR(IF($B108="Building","Buildings",INDEX(CoA_Schema[FinancialClass],MATCH(1,(CoA_Schema[AssetType]=$D108)*(CoA_Schema[AssetClass]=$B108)*(CoA_Schema[AssetSubClass]=$C108),0),0)),"")</f>
        <v>Infrastructure</v>
      </c>
      <c r="O108" s="93" t="str">
        <f t="array" ref="O108">IFERROR(IF($B108="Building","Buildings",INDEX(CoA_Schema[FinancialSubClass],MATCH(1,(CoA_Schema[AssetType]=$D108)*(CoA_Schema[AssetClass]=$B108)*(CoA_Schema[AssetSubClass]=$C108),0),0)),"")</f>
        <v>Traffic Signals</v>
      </c>
      <c r="P108" s="93" t="str">
        <f>IFERROR(VLOOKUP($I108,UoM!$A:$C,2,FALSE),"")</f>
        <v>Length</v>
      </c>
      <c r="Q108" s="47" t="s">
        <v>1389</v>
      </c>
      <c r="R108" s="47" t="s">
        <v>1389</v>
      </c>
      <c r="S108" s="47">
        <v>20</v>
      </c>
      <c r="T108" s="47"/>
      <c r="U108" s="47"/>
      <c r="V108" s="47"/>
      <c r="W108" s="47"/>
      <c r="X108" s="47"/>
      <c r="Y108" s="119">
        <v>45974</v>
      </c>
      <c r="Z108" s="119">
        <v>45974</v>
      </c>
      <c r="AA108" s="47" t="s">
        <v>1563</v>
      </c>
      <c r="AB108" s="47"/>
      <c r="AC108" s="56">
        <f>IFERROR(VLOOKUP("New Assets:"&amp;ROW(),'Handover Cost Report'!$A:$U,17,FALSE),"")</f>
        <v>250.18</v>
      </c>
      <c r="AD108" s="56">
        <f>IFERROR(VLOOKUP("New Assets:"&amp;ROW(),'Handover Cost Report'!$A:$U,18,FALSE),"")</f>
        <v>0</v>
      </c>
      <c r="AE108" s="56">
        <f>IFERROR(VLOOKUP("New Assets:"&amp;ROW(),'Handover Cost Report'!$A:$U,19,FALSE),"")</f>
        <v>0</v>
      </c>
    </row>
    <row r="109" spans="1:31" s="3" customFormat="1" x14ac:dyDescent="0.2">
      <c r="A109" s="3" t="s">
        <v>1432</v>
      </c>
      <c r="B109" s="47" t="s">
        <v>363</v>
      </c>
      <c r="C109" s="47" t="s">
        <v>289</v>
      </c>
      <c r="D109" s="47" t="s">
        <v>349</v>
      </c>
      <c r="E109" s="47" t="s">
        <v>1390</v>
      </c>
      <c r="F109" s="47" t="s">
        <v>1390</v>
      </c>
      <c r="G109" s="47">
        <f>VLOOKUP(A109,'[1]Z8290 New Assets_output'!$A:$C,3,FALSE)</f>
        <v>294933</v>
      </c>
      <c r="H109" s="47">
        <v>3</v>
      </c>
      <c r="I109" s="47" t="s">
        <v>244</v>
      </c>
      <c r="J109" s="164">
        <v>0</v>
      </c>
      <c r="K109" s="56">
        <f t="shared" si="15"/>
        <v>0</v>
      </c>
      <c r="L109" s="93" t="s">
        <v>130</v>
      </c>
      <c r="M109" s="93" t="s">
        <v>421</v>
      </c>
      <c r="N109" s="93" t="str">
        <f t="array" ref="N109">IFERROR(IF($B109="Building","Buildings",INDEX(CoA_Schema[FinancialClass],MATCH(1,(CoA_Schema[AssetType]=$D109)*(CoA_Schema[AssetClass]=$B109)*(CoA_Schema[AssetSubClass]=$C109),0),0)),"")</f>
        <v>Infrastructure</v>
      </c>
      <c r="O109" s="93" t="str">
        <f t="array" ref="O109">IFERROR(IF($B109="Building","Buildings",INDEX(CoA_Schema[FinancialSubClass],MATCH(1,(CoA_Schema[AssetType]=$D109)*(CoA_Schema[AssetClass]=$B109)*(CoA_Schema[AssetSubClass]=$C109),0),0)),"")</f>
        <v>Traffic Signals</v>
      </c>
      <c r="P109" s="93" t="str">
        <f>IFERROR(VLOOKUP($I109,UoM!$A:$C,2,FALSE),"")</f>
        <v>Length</v>
      </c>
      <c r="Q109" s="47" t="s">
        <v>1433</v>
      </c>
      <c r="R109" s="47" t="s">
        <v>1389</v>
      </c>
      <c r="S109" s="47">
        <v>20</v>
      </c>
      <c r="T109" s="47"/>
      <c r="U109" s="47"/>
      <c r="V109" s="47"/>
      <c r="W109" s="47"/>
      <c r="X109" s="47"/>
      <c r="Y109" s="119">
        <v>45974</v>
      </c>
      <c r="Z109" s="119">
        <v>45974</v>
      </c>
      <c r="AA109" s="47" t="s">
        <v>1563</v>
      </c>
      <c r="AB109" s="162" t="s">
        <v>1430</v>
      </c>
      <c r="AC109" s="56">
        <f>IFERROR(VLOOKUP("New Assets:"&amp;ROW(),'Handover Cost Report'!$A:$U,17,FALSE),"")</f>
        <v>0</v>
      </c>
      <c r="AD109" s="56">
        <f>IFERROR(VLOOKUP("New Assets:"&amp;ROW(),'Handover Cost Report'!$A:$U,18,FALSE),"")</f>
        <v>0</v>
      </c>
      <c r="AE109" s="56">
        <f>IFERROR(VLOOKUP("New Assets:"&amp;ROW(),'Handover Cost Report'!$A:$U,19,FALSE),"")</f>
        <v>0</v>
      </c>
    </row>
  </sheetData>
  <autoFilter ref="A9:AE109" xr:uid="{A38842EE-DDB0-471C-9F5F-A9175C64FF7C}"/>
  <mergeCells count="1">
    <mergeCell ref="B7:Z7"/>
  </mergeCells>
  <phoneticPr fontId="26" type="noConversion"/>
  <dataValidations count="2">
    <dataValidation type="list" allowBlank="1" showInputMessage="1" showErrorMessage="1" sqref="Q10:R109" xr:uid="{CA1D7968-110E-4C9D-BD6A-86FC9F0E5AE4}">
      <formula1>"Yes,No"</formula1>
    </dataValidation>
    <dataValidation allowBlank="1" showInputMessage="1" showErrorMessage="1" error="Please select a valid Asset SubType!" sqref="L10:L109" xr:uid="{55E052EC-7476-450C-B64D-7E80EDCB638E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xr:uid="{B507B3D2-C419-4A63-97D7-F31A0AC8F63A}">
          <x14:formula1>
            <xm:f>OFFSET(AH_SubClass!$A$1,VLOOKUP($B10,AH_SubClass!$A:$G,6,FALSE)-1,1,VLOOKUP($B10,AH_SubClass!$A:$G,7,FALSE),1)</xm:f>
          </x14:formula1>
          <xm:sqref>C10:C22</xm:sqref>
        </x14:dataValidation>
        <x14:dataValidation type="list" allowBlank="1" showInputMessage="1" xr:uid="{ECC177CE-F340-44C8-97ED-9B9A0EABB86C}">
          <x14:formula1>
            <xm:f>AH_Class!$A:$A</xm:f>
          </x14:formula1>
          <xm:sqref>B10:B22</xm:sqref>
        </x14:dataValidation>
        <x14:dataValidation type="list" allowBlank="1" showInputMessage="1" showErrorMessage="1" error="Please select a valid Asset SubType!" xr:uid="{5F761429-606F-4D45-9134-D6228A0ACE4A}">
          <x14:formula1>
            <xm:f>OFFSET(SC_Component!$A$1,VLOOKUP($D10,SC_Component!$A:$G,6,FALSE)-1,1,VLOOKUP($D10,SC_Component!$A:$G,7,FALSE),1)</xm:f>
          </x14:formula1>
          <xm:sqref>F10:F22</xm:sqref>
        </x14:dataValidation>
        <x14:dataValidation type="list" errorStyle="information" allowBlank="1" showInputMessage="1" xr:uid="{53F3EB1D-386B-4BE2-8270-3DE56FE90143}">
          <x14:formula1>
            <xm:f>UoM!$A$2:$A$4</xm:f>
          </x14:formula1>
          <xm:sqref>I10:I109</xm:sqref>
        </x14:dataValidation>
        <x14:dataValidation type="list" allowBlank="1" showInputMessage="1" showErrorMessage="1" xr:uid="{C1728246-5461-4DEE-B488-4FAD6D213AA1}">
          <x14:formula1>
            <xm:f>OFFSET(SC_Financials!$A$1,VLOOKUP($D23,SC_Financials!$A:$G,6,FALSE)-1,1,VLOOKUP($D23,SC_Financials!$A:$G,7,FALSE),1)</xm:f>
          </x14:formula1>
          <xm:sqref>N23:N109</xm:sqref>
        </x14:dataValidation>
        <x14:dataValidation type="list" allowBlank="1" showInputMessage="1" showErrorMessage="1" xr:uid="{81892A78-382B-4CE1-84FD-478E38C56E4B}">
          <x14:formula1>
            <xm:f>OFFSET(SC_Financials!$A$1,VLOOKUP($D23,SC_Financials!$A:$G,6,FALSE)-1,2,VLOOKUP($D23,SC_Financials!$A:$G,7,FALSE),1)</xm:f>
          </x14:formula1>
          <xm:sqref>O23:O109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75D2-3A37-426F-B82A-E38342249533}">
  <sheetPr codeName="Sht_Dispose"/>
  <dimension ref="B1:R200"/>
  <sheetViews>
    <sheetView showGridLines="0" topLeftCell="H11" zoomScale="115" zoomScaleNormal="115" workbookViewId="0">
      <selection activeCell="P10" sqref="P10:P66"/>
    </sheetView>
  </sheetViews>
  <sheetFormatPr defaultRowHeight="14.25" x14ac:dyDescent="0.2"/>
  <cols>
    <col min="1" max="1" width="1.75" customWidth="1"/>
    <col min="2" max="2" width="13.625" customWidth="1"/>
    <col min="3" max="3" width="25.25" customWidth="1"/>
    <col min="4" max="4" width="60.625" customWidth="1"/>
    <col min="5" max="5" width="41.375" customWidth="1"/>
    <col min="6" max="6" width="13.75" customWidth="1"/>
    <col min="7" max="7" width="12.625" customWidth="1"/>
    <col min="8" max="8" width="85.625" customWidth="1"/>
    <col min="9" max="9" width="15.625" customWidth="1"/>
    <col min="10" max="10" width="10.25" style="120" customWidth="1"/>
    <col min="11" max="11" width="20.875" customWidth="1"/>
    <col min="12" max="12" width="23.25" customWidth="1"/>
    <col min="13" max="13" width="17" customWidth="1"/>
    <col min="14" max="14" width="17.375" customWidth="1"/>
    <col min="15" max="15" width="10" style="100" customWidth="1"/>
    <col min="16" max="16" width="16.375" customWidth="1"/>
    <col min="17" max="17" width="15.375" customWidth="1"/>
    <col min="18" max="18" width="32.375" customWidth="1"/>
  </cols>
  <sheetData>
    <row r="1" spans="2:18" ht="3" customHeight="1" x14ac:dyDescent="0.2"/>
    <row r="2" spans="2:18" ht="23.25" x14ac:dyDescent="0.2">
      <c r="B2" s="33" t="str">
        <f>"Project Asset Register - " &amp; PR_T1_Number &amp; " " &amp; PR_Project_Name</f>
        <v>Project Asset Register - Z123 Test</v>
      </c>
      <c r="C2" s="33"/>
      <c r="D2" s="33"/>
      <c r="E2" s="34"/>
      <c r="F2" s="34"/>
      <c r="G2" s="34"/>
      <c r="H2" s="34"/>
      <c r="I2" s="34"/>
      <c r="J2" s="121"/>
      <c r="K2" s="34"/>
      <c r="L2" s="34"/>
      <c r="M2" s="34"/>
      <c r="N2" s="34" t="s">
        <v>484</v>
      </c>
      <c r="O2" s="126"/>
      <c r="P2" s="34"/>
      <c r="Q2" s="34"/>
    </row>
    <row r="3" spans="2:18" x14ac:dyDescent="0.2">
      <c r="B3" s="34"/>
      <c r="C3" s="34"/>
      <c r="D3" s="34"/>
      <c r="E3" s="34"/>
      <c r="F3" s="34"/>
      <c r="G3" s="34"/>
      <c r="H3" s="34"/>
      <c r="I3" s="34"/>
      <c r="J3" s="121"/>
      <c r="K3" s="34"/>
      <c r="L3" s="34"/>
      <c r="M3" s="34"/>
      <c r="N3" s="68" t="s">
        <v>485</v>
      </c>
      <c r="O3" s="127"/>
      <c r="P3" s="68"/>
      <c r="Q3" s="71" t="s">
        <v>486</v>
      </c>
    </row>
    <row r="4" spans="2:18" x14ac:dyDescent="0.2">
      <c r="B4" s="34"/>
      <c r="C4" s="34"/>
      <c r="D4" s="34"/>
      <c r="E4" s="34"/>
      <c r="F4" s="34"/>
      <c r="G4" s="34"/>
      <c r="H4" s="34"/>
      <c r="I4" s="34"/>
      <c r="J4" s="121"/>
      <c r="K4" s="34"/>
      <c r="L4" s="34"/>
      <c r="M4" s="34"/>
      <c r="N4" s="67" t="s">
        <v>487</v>
      </c>
      <c r="O4" s="128"/>
      <c r="P4" s="67"/>
      <c r="Q4" s="34"/>
    </row>
    <row r="5" spans="2:18" x14ac:dyDescent="0.2">
      <c r="B5" s="34"/>
      <c r="C5" s="34"/>
      <c r="D5" s="34"/>
      <c r="E5" s="34"/>
      <c r="F5" s="34"/>
      <c r="G5" s="34"/>
      <c r="H5" s="34"/>
      <c r="I5" s="34"/>
      <c r="J5" s="121"/>
      <c r="K5" s="34"/>
      <c r="L5" s="34"/>
      <c r="M5" s="34"/>
      <c r="N5" s="69" t="s">
        <v>488</v>
      </c>
      <c r="O5" s="129"/>
      <c r="P5" s="69"/>
      <c r="Q5" s="34"/>
    </row>
    <row r="6" spans="2:18" x14ac:dyDescent="0.2">
      <c r="B6" s="34"/>
      <c r="C6" s="34"/>
      <c r="D6" s="34"/>
      <c r="E6" s="34"/>
      <c r="F6" s="34"/>
      <c r="G6" s="34"/>
      <c r="H6" s="34"/>
      <c r="I6" s="34"/>
      <c r="J6" s="121"/>
      <c r="K6" s="34"/>
      <c r="L6" s="34"/>
      <c r="M6" s="34"/>
      <c r="N6" s="70" t="s">
        <v>489</v>
      </c>
      <c r="O6" s="130"/>
      <c r="P6" s="70"/>
      <c r="Q6" s="34"/>
    </row>
    <row r="7" spans="2:18" ht="15.75" x14ac:dyDescent="0.25">
      <c r="B7" s="168" t="s">
        <v>992</v>
      </c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</row>
    <row r="8" spans="2:18" ht="15" x14ac:dyDescent="0.25">
      <c r="B8" s="10"/>
      <c r="C8" s="10"/>
      <c r="D8" s="10"/>
      <c r="E8" s="10"/>
      <c r="F8" s="10"/>
      <c r="G8" s="10"/>
      <c r="H8" s="10"/>
      <c r="I8" s="10"/>
      <c r="J8" s="122"/>
      <c r="K8" s="10"/>
      <c r="L8" s="10"/>
      <c r="M8" s="9"/>
      <c r="N8" s="9"/>
      <c r="O8" s="131" t="s">
        <v>993</v>
      </c>
      <c r="P8" s="9"/>
      <c r="Q8" s="8">
        <f>SUM(Q10:Q1010)</f>
        <v>0</v>
      </c>
      <c r="R8" s="10"/>
    </row>
    <row r="9" spans="2:18" s="2" customFormat="1" ht="37.5" customHeight="1" x14ac:dyDescent="0.2">
      <c r="B9" s="117" t="s">
        <v>951</v>
      </c>
      <c r="C9" s="117" t="s">
        <v>952</v>
      </c>
      <c r="D9" s="117" t="s">
        <v>953</v>
      </c>
      <c r="E9" s="117" t="s">
        <v>954</v>
      </c>
      <c r="F9" s="117" t="s">
        <v>955</v>
      </c>
      <c r="G9" s="117" t="s">
        <v>956</v>
      </c>
      <c r="H9" s="117" t="s">
        <v>994</v>
      </c>
      <c r="I9" s="117" t="s">
        <v>989</v>
      </c>
      <c r="J9" s="124" t="s">
        <v>995</v>
      </c>
      <c r="K9" s="117" t="s">
        <v>996</v>
      </c>
      <c r="L9" s="117" t="s">
        <v>997</v>
      </c>
      <c r="M9" s="101" t="s">
        <v>998</v>
      </c>
      <c r="N9" s="101" t="s">
        <v>991</v>
      </c>
      <c r="O9" s="132" t="s">
        <v>970</v>
      </c>
      <c r="P9" s="101" t="s">
        <v>973</v>
      </c>
      <c r="Q9" s="116" t="s">
        <v>999</v>
      </c>
      <c r="R9" s="116" t="s">
        <v>935</v>
      </c>
    </row>
    <row r="10" spans="2:18" s="3" customFormat="1" x14ac:dyDescent="0.2">
      <c r="B10" s="47" t="s">
        <v>363</v>
      </c>
      <c r="C10" s="151" t="s">
        <v>421</v>
      </c>
      <c r="D10" s="151" t="s">
        <v>349</v>
      </c>
      <c r="E10" s="151" t="s">
        <v>1350</v>
      </c>
      <c r="F10" s="151" t="s">
        <v>56</v>
      </c>
      <c r="G10" s="150" t="s">
        <v>1306</v>
      </c>
      <c r="H10" s="151" t="s">
        <v>1307</v>
      </c>
      <c r="I10" s="37" t="s">
        <v>1375</v>
      </c>
      <c r="J10" s="125">
        <v>45974</v>
      </c>
      <c r="K10" s="37" t="s">
        <v>1376</v>
      </c>
      <c r="L10" s="37" t="s">
        <v>1374</v>
      </c>
      <c r="M10" s="37"/>
      <c r="N10" s="37" t="s">
        <v>1562</v>
      </c>
      <c r="O10" s="125">
        <v>45974</v>
      </c>
      <c r="P10" s="37" t="s">
        <v>1564</v>
      </c>
      <c r="Q10" s="38"/>
      <c r="R10" s="37"/>
    </row>
    <row r="11" spans="2:18" s="3" customFormat="1" x14ac:dyDescent="0.2">
      <c r="B11" s="47" t="s">
        <v>363</v>
      </c>
      <c r="C11" s="153" t="s">
        <v>421</v>
      </c>
      <c r="D11" s="153" t="s">
        <v>349</v>
      </c>
      <c r="E11" s="153" t="s">
        <v>1350</v>
      </c>
      <c r="F11" s="153" t="s">
        <v>63</v>
      </c>
      <c r="G11" s="152" t="s">
        <v>1306</v>
      </c>
      <c r="H11" s="153" t="s">
        <v>1307</v>
      </c>
      <c r="I11" s="37" t="s">
        <v>1375</v>
      </c>
      <c r="J11" s="125">
        <v>45974</v>
      </c>
      <c r="K11" s="37" t="s">
        <v>1376</v>
      </c>
      <c r="L11" s="37" t="s">
        <v>1374</v>
      </c>
      <c r="M11" s="37"/>
      <c r="N11" s="37" t="s">
        <v>1562</v>
      </c>
      <c r="O11" s="125">
        <v>45974</v>
      </c>
      <c r="P11" s="37" t="s">
        <v>1565</v>
      </c>
      <c r="Q11" s="38"/>
      <c r="R11" s="37"/>
    </row>
    <row r="12" spans="2:18" s="3" customFormat="1" x14ac:dyDescent="0.2">
      <c r="B12" s="47" t="s">
        <v>363</v>
      </c>
      <c r="C12" s="151" t="s">
        <v>421</v>
      </c>
      <c r="D12" s="151" t="s">
        <v>349</v>
      </c>
      <c r="E12" s="151" t="s">
        <v>1350</v>
      </c>
      <c r="F12" s="151" t="s">
        <v>56</v>
      </c>
      <c r="G12" s="150" t="s">
        <v>1308</v>
      </c>
      <c r="H12" s="151" t="s">
        <v>1309</v>
      </c>
      <c r="I12" s="37" t="s">
        <v>1375</v>
      </c>
      <c r="J12" s="125">
        <v>45974</v>
      </c>
      <c r="K12" s="37" t="s">
        <v>1376</v>
      </c>
      <c r="L12" s="37" t="s">
        <v>1374</v>
      </c>
      <c r="M12" s="37"/>
      <c r="N12" s="37" t="s">
        <v>1562</v>
      </c>
      <c r="O12" s="125">
        <v>45974</v>
      </c>
      <c r="P12" s="37" t="s">
        <v>1566</v>
      </c>
      <c r="Q12" s="38"/>
      <c r="R12" s="37"/>
    </row>
    <row r="13" spans="2:18" s="3" customFormat="1" x14ac:dyDescent="0.2">
      <c r="B13" s="47" t="s">
        <v>363</v>
      </c>
      <c r="C13" s="153" t="s">
        <v>421</v>
      </c>
      <c r="D13" s="153" t="s">
        <v>349</v>
      </c>
      <c r="E13" s="153" t="s">
        <v>1350</v>
      </c>
      <c r="F13" s="153" t="s">
        <v>63</v>
      </c>
      <c r="G13" s="152" t="s">
        <v>1308</v>
      </c>
      <c r="H13" s="153" t="s">
        <v>1309</v>
      </c>
      <c r="I13" s="37" t="s">
        <v>1375</v>
      </c>
      <c r="J13" s="125">
        <v>45974</v>
      </c>
      <c r="K13" s="37" t="s">
        <v>1376</v>
      </c>
      <c r="L13" s="37" t="s">
        <v>1374</v>
      </c>
      <c r="M13" s="37"/>
      <c r="N13" s="37" t="s">
        <v>1562</v>
      </c>
      <c r="O13" s="125">
        <v>45974</v>
      </c>
      <c r="P13" s="37" t="s">
        <v>1567</v>
      </c>
      <c r="Q13" s="38"/>
      <c r="R13" s="37"/>
    </row>
    <row r="14" spans="2:18" s="3" customFormat="1" x14ac:dyDescent="0.2">
      <c r="B14" s="47" t="s">
        <v>363</v>
      </c>
      <c r="C14" s="151" t="s">
        <v>421</v>
      </c>
      <c r="D14" s="151" t="s">
        <v>349</v>
      </c>
      <c r="E14" s="151" t="s">
        <v>1350</v>
      </c>
      <c r="F14" s="151" t="s">
        <v>56</v>
      </c>
      <c r="G14" s="150" t="s">
        <v>1310</v>
      </c>
      <c r="H14" s="151" t="s">
        <v>1311</v>
      </c>
      <c r="I14" s="37" t="s">
        <v>1375</v>
      </c>
      <c r="J14" s="125">
        <v>45974</v>
      </c>
      <c r="K14" s="37" t="s">
        <v>1376</v>
      </c>
      <c r="L14" s="37" t="s">
        <v>1374</v>
      </c>
      <c r="M14" s="37"/>
      <c r="N14" s="37" t="s">
        <v>1562</v>
      </c>
      <c r="O14" s="125">
        <v>45974</v>
      </c>
      <c r="P14" s="37" t="s">
        <v>1568</v>
      </c>
      <c r="Q14" s="38"/>
      <c r="R14" s="37"/>
    </row>
    <row r="15" spans="2:18" s="3" customFormat="1" x14ac:dyDescent="0.2">
      <c r="B15" s="47" t="s">
        <v>363</v>
      </c>
      <c r="C15" s="153" t="s">
        <v>421</v>
      </c>
      <c r="D15" s="153" t="s">
        <v>349</v>
      </c>
      <c r="E15" s="153" t="s">
        <v>1350</v>
      </c>
      <c r="F15" s="153" t="s">
        <v>63</v>
      </c>
      <c r="G15" s="152" t="s">
        <v>1310</v>
      </c>
      <c r="H15" s="153" t="s">
        <v>1311</v>
      </c>
      <c r="I15" s="37" t="s">
        <v>1375</v>
      </c>
      <c r="J15" s="125">
        <v>45974</v>
      </c>
      <c r="K15" s="37" t="s">
        <v>1376</v>
      </c>
      <c r="L15" s="37" t="s">
        <v>1374</v>
      </c>
      <c r="M15" s="37"/>
      <c r="N15" s="37" t="s">
        <v>1562</v>
      </c>
      <c r="O15" s="125">
        <v>45974</v>
      </c>
      <c r="P15" s="37" t="s">
        <v>1569</v>
      </c>
      <c r="Q15" s="38"/>
      <c r="R15" s="37"/>
    </row>
    <row r="16" spans="2:18" s="3" customFormat="1" x14ac:dyDescent="0.2">
      <c r="B16" s="47" t="s">
        <v>363</v>
      </c>
      <c r="C16" s="151" t="s">
        <v>421</v>
      </c>
      <c r="D16" s="151" t="s">
        <v>349</v>
      </c>
      <c r="E16" s="151" t="s">
        <v>1350</v>
      </c>
      <c r="F16" s="151" t="s">
        <v>56</v>
      </c>
      <c r="G16" s="150" t="s">
        <v>1312</v>
      </c>
      <c r="H16" s="151" t="s">
        <v>1313</v>
      </c>
      <c r="I16" s="37" t="s">
        <v>1375</v>
      </c>
      <c r="J16" s="125">
        <v>45974</v>
      </c>
      <c r="K16" s="37" t="s">
        <v>1376</v>
      </c>
      <c r="L16" s="37" t="s">
        <v>1374</v>
      </c>
      <c r="M16" s="37"/>
      <c r="N16" s="37" t="s">
        <v>1562</v>
      </c>
      <c r="O16" s="125">
        <v>45974</v>
      </c>
      <c r="P16" s="37" t="s">
        <v>1570</v>
      </c>
      <c r="Q16" s="38"/>
      <c r="R16" s="37"/>
    </row>
    <row r="17" spans="2:18" s="3" customFormat="1" x14ac:dyDescent="0.2">
      <c r="B17" s="47" t="s">
        <v>363</v>
      </c>
      <c r="C17" s="153" t="s">
        <v>421</v>
      </c>
      <c r="D17" s="153" t="s">
        <v>349</v>
      </c>
      <c r="E17" s="153" t="s">
        <v>1350</v>
      </c>
      <c r="F17" s="153" t="s">
        <v>63</v>
      </c>
      <c r="G17" s="152" t="s">
        <v>1312</v>
      </c>
      <c r="H17" s="153" t="s">
        <v>1313</v>
      </c>
      <c r="I17" s="37" t="s">
        <v>1375</v>
      </c>
      <c r="J17" s="125">
        <v>45974</v>
      </c>
      <c r="K17" s="37" t="s">
        <v>1376</v>
      </c>
      <c r="L17" s="37" t="s">
        <v>1374</v>
      </c>
      <c r="M17" s="37"/>
      <c r="N17" s="37" t="s">
        <v>1562</v>
      </c>
      <c r="O17" s="125">
        <v>45974</v>
      </c>
      <c r="P17" s="37" t="s">
        <v>1571</v>
      </c>
      <c r="Q17" s="38"/>
      <c r="R17" s="37"/>
    </row>
    <row r="18" spans="2:18" s="3" customFormat="1" x14ac:dyDescent="0.2">
      <c r="B18" s="47" t="s">
        <v>363</v>
      </c>
      <c r="C18" s="151" t="s">
        <v>421</v>
      </c>
      <c r="D18" s="151" t="s">
        <v>349</v>
      </c>
      <c r="E18" s="151" t="s">
        <v>1350</v>
      </c>
      <c r="F18" s="151" t="s">
        <v>56</v>
      </c>
      <c r="G18" s="150" t="s">
        <v>1314</v>
      </c>
      <c r="H18" s="151" t="s">
        <v>1315</v>
      </c>
      <c r="I18" s="37" t="s">
        <v>1375</v>
      </c>
      <c r="J18" s="125">
        <v>45974</v>
      </c>
      <c r="K18" s="37" t="s">
        <v>1376</v>
      </c>
      <c r="L18" s="37" t="s">
        <v>1374</v>
      </c>
      <c r="M18" s="37"/>
      <c r="N18" s="37" t="s">
        <v>1562</v>
      </c>
      <c r="O18" s="125">
        <v>45974</v>
      </c>
      <c r="P18" s="37" t="s">
        <v>1572</v>
      </c>
      <c r="Q18" s="38"/>
      <c r="R18" s="37"/>
    </row>
    <row r="19" spans="2:18" s="3" customFormat="1" x14ac:dyDescent="0.2">
      <c r="B19" s="47" t="s">
        <v>363</v>
      </c>
      <c r="C19" s="153" t="s">
        <v>421</v>
      </c>
      <c r="D19" s="153" t="s">
        <v>349</v>
      </c>
      <c r="E19" s="153" t="s">
        <v>1350</v>
      </c>
      <c r="F19" s="153" t="s">
        <v>63</v>
      </c>
      <c r="G19" s="152" t="s">
        <v>1314</v>
      </c>
      <c r="H19" s="153" t="s">
        <v>1315</v>
      </c>
      <c r="I19" s="37" t="s">
        <v>1375</v>
      </c>
      <c r="J19" s="125">
        <v>45974</v>
      </c>
      <c r="K19" s="37" t="s">
        <v>1376</v>
      </c>
      <c r="L19" s="37" t="s">
        <v>1374</v>
      </c>
      <c r="M19" s="37"/>
      <c r="N19" s="37" t="s">
        <v>1562</v>
      </c>
      <c r="O19" s="125">
        <v>45974</v>
      </c>
      <c r="P19" s="37" t="s">
        <v>1573</v>
      </c>
      <c r="Q19" s="38"/>
      <c r="R19" s="37"/>
    </row>
    <row r="20" spans="2:18" s="3" customFormat="1" x14ac:dyDescent="0.2">
      <c r="B20" s="47" t="s">
        <v>363</v>
      </c>
      <c r="C20" s="151" t="s">
        <v>421</v>
      </c>
      <c r="D20" s="151" t="s">
        <v>349</v>
      </c>
      <c r="E20" s="151" t="s">
        <v>1350</v>
      </c>
      <c r="F20" s="151" t="s">
        <v>56</v>
      </c>
      <c r="G20" s="150" t="s">
        <v>1316</v>
      </c>
      <c r="H20" s="151" t="s">
        <v>1317</v>
      </c>
      <c r="I20" s="37" t="s">
        <v>1375</v>
      </c>
      <c r="J20" s="125">
        <v>45974</v>
      </c>
      <c r="K20" s="37" t="s">
        <v>1376</v>
      </c>
      <c r="L20" s="37" t="s">
        <v>1374</v>
      </c>
      <c r="M20" s="37"/>
      <c r="N20" s="37" t="s">
        <v>1562</v>
      </c>
      <c r="O20" s="125">
        <v>45974</v>
      </c>
      <c r="P20" s="37" t="s">
        <v>1574</v>
      </c>
      <c r="Q20" s="38"/>
      <c r="R20" s="37"/>
    </row>
    <row r="21" spans="2:18" s="3" customFormat="1" x14ac:dyDescent="0.2">
      <c r="B21" s="47" t="s">
        <v>363</v>
      </c>
      <c r="C21" s="153" t="s">
        <v>421</v>
      </c>
      <c r="D21" s="153" t="s">
        <v>349</v>
      </c>
      <c r="E21" s="153" t="s">
        <v>1350</v>
      </c>
      <c r="F21" s="153" t="s">
        <v>63</v>
      </c>
      <c r="G21" s="152" t="s">
        <v>1316</v>
      </c>
      <c r="H21" s="153" t="s">
        <v>1317</v>
      </c>
      <c r="I21" s="37" t="s">
        <v>1375</v>
      </c>
      <c r="J21" s="125">
        <v>45974</v>
      </c>
      <c r="K21" s="37" t="s">
        <v>1376</v>
      </c>
      <c r="L21" s="37" t="s">
        <v>1374</v>
      </c>
      <c r="M21" s="37"/>
      <c r="N21" s="37" t="s">
        <v>1562</v>
      </c>
      <c r="O21" s="125">
        <v>45974</v>
      </c>
      <c r="P21" s="37" t="s">
        <v>1575</v>
      </c>
      <c r="Q21" s="38"/>
      <c r="R21" s="37"/>
    </row>
    <row r="22" spans="2:18" s="3" customFormat="1" x14ac:dyDescent="0.2">
      <c r="B22" s="47" t="s">
        <v>363</v>
      </c>
      <c r="C22" s="151" t="s">
        <v>421</v>
      </c>
      <c r="D22" s="151" t="s">
        <v>349</v>
      </c>
      <c r="E22" s="151" t="s">
        <v>1351</v>
      </c>
      <c r="F22" s="151" t="s">
        <v>56</v>
      </c>
      <c r="G22" s="150" t="s">
        <v>1318</v>
      </c>
      <c r="H22" s="151" t="s">
        <v>1319</v>
      </c>
      <c r="I22" s="37" t="s">
        <v>1375</v>
      </c>
      <c r="J22" s="125">
        <v>45974</v>
      </c>
      <c r="K22" s="37" t="s">
        <v>1376</v>
      </c>
      <c r="L22" s="37" t="s">
        <v>1374</v>
      </c>
      <c r="M22" s="37"/>
      <c r="N22" s="37" t="s">
        <v>1562</v>
      </c>
      <c r="O22" s="125">
        <v>45974</v>
      </c>
      <c r="P22" s="37" t="s">
        <v>1576</v>
      </c>
      <c r="Q22" s="38"/>
      <c r="R22" s="37"/>
    </row>
    <row r="23" spans="2:18" s="3" customFormat="1" x14ac:dyDescent="0.2">
      <c r="B23" s="47" t="s">
        <v>363</v>
      </c>
      <c r="C23" s="153" t="s">
        <v>421</v>
      </c>
      <c r="D23" s="153" t="s">
        <v>349</v>
      </c>
      <c r="E23" s="153" t="s">
        <v>1351</v>
      </c>
      <c r="F23" s="153" t="s">
        <v>63</v>
      </c>
      <c r="G23" s="152" t="s">
        <v>1318</v>
      </c>
      <c r="H23" s="153" t="s">
        <v>1319</v>
      </c>
      <c r="I23" s="37" t="s">
        <v>1375</v>
      </c>
      <c r="J23" s="125">
        <v>45974</v>
      </c>
      <c r="K23" s="37" t="s">
        <v>1376</v>
      </c>
      <c r="L23" s="37" t="s">
        <v>1374</v>
      </c>
      <c r="M23" s="37"/>
      <c r="N23" s="37" t="s">
        <v>1562</v>
      </c>
      <c r="O23" s="125">
        <v>45974</v>
      </c>
      <c r="P23" s="37" t="s">
        <v>1577</v>
      </c>
      <c r="Q23" s="38"/>
      <c r="R23" s="37"/>
    </row>
    <row r="24" spans="2:18" s="3" customFormat="1" x14ac:dyDescent="0.2">
      <c r="B24" s="47" t="s">
        <v>363</v>
      </c>
      <c r="C24" s="151" t="s">
        <v>421</v>
      </c>
      <c r="D24" s="151" t="s">
        <v>349</v>
      </c>
      <c r="E24" s="151" t="s">
        <v>1350</v>
      </c>
      <c r="F24" s="151" t="s">
        <v>56</v>
      </c>
      <c r="G24" s="150" t="s">
        <v>1320</v>
      </c>
      <c r="H24" s="151" t="s">
        <v>1321</v>
      </c>
      <c r="I24" s="37" t="s">
        <v>1375</v>
      </c>
      <c r="J24" s="125">
        <v>45974</v>
      </c>
      <c r="K24" s="37" t="s">
        <v>1376</v>
      </c>
      <c r="L24" s="37" t="s">
        <v>1374</v>
      </c>
      <c r="M24" s="37"/>
      <c r="N24" s="37" t="s">
        <v>1562</v>
      </c>
      <c r="O24" s="125">
        <v>45974</v>
      </c>
      <c r="P24" s="37" t="s">
        <v>1578</v>
      </c>
      <c r="Q24" s="38"/>
      <c r="R24" s="37"/>
    </row>
    <row r="25" spans="2:18" s="3" customFormat="1" x14ac:dyDescent="0.2">
      <c r="B25" s="47" t="s">
        <v>363</v>
      </c>
      <c r="C25" s="153" t="s">
        <v>421</v>
      </c>
      <c r="D25" s="153" t="s">
        <v>349</v>
      </c>
      <c r="E25" s="153" t="s">
        <v>1350</v>
      </c>
      <c r="F25" s="153" t="s">
        <v>63</v>
      </c>
      <c r="G25" s="152" t="s">
        <v>1320</v>
      </c>
      <c r="H25" s="153" t="s">
        <v>1321</v>
      </c>
      <c r="I25" s="37" t="s">
        <v>1375</v>
      </c>
      <c r="J25" s="125">
        <v>45974</v>
      </c>
      <c r="K25" s="37" t="s">
        <v>1376</v>
      </c>
      <c r="L25" s="37" t="s">
        <v>1374</v>
      </c>
      <c r="M25" s="37"/>
      <c r="N25" s="37" t="s">
        <v>1562</v>
      </c>
      <c r="O25" s="125">
        <v>45974</v>
      </c>
      <c r="P25" s="37" t="s">
        <v>1579</v>
      </c>
      <c r="Q25" s="38"/>
      <c r="R25" s="37"/>
    </row>
    <row r="26" spans="2:18" s="3" customFormat="1" x14ac:dyDescent="0.2">
      <c r="B26" s="47" t="s">
        <v>363</v>
      </c>
      <c r="C26" s="151" t="s">
        <v>421</v>
      </c>
      <c r="D26" s="151" t="s">
        <v>349</v>
      </c>
      <c r="E26" s="151" t="s">
        <v>1351</v>
      </c>
      <c r="F26" s="151" t="s">
        <v>56</v>
      </c>
      <c r="G26" s="150" t="s">
        <v>1322</v>
      </c>
      <c r="H26" s="151" t="s">
        <v>1323</v>
      </c>
      <c r="I26" s="37" t="s">
        <v>1375</v>
      </c>
      <c r="J26" s="125">
        <v>45974</v>
      </c>
      <c r="K26" s="37" t="s">
        <v>1376</v>
      </c>
      <c r="L26" s="37" t="s">
        <v>1374</v>
      </c>
      <c r="M26" s="37"/>
      <c r="N26" s="37" t="s">
        <v>1562</v>
      </c>
      <c r="O26" s="125">
        <v>45974</v>
      </c>
      <c r="P26" s="37" t="s">
        <v>1580</v>
      </c>
      <c r="Q26" s="38"/>
      <c r="R26" s="37"/>
    </row>
    <row r="27" spans="2:18" s="3" customFormat="1" x14ac:dyDescent="0.2">
      <c r="B27" s="47" t="s">
        <v>363</v>
      </c>
      <c r="C27" s="153" t="s">
        <v>421</v>
      </c>
      <c r="D27" s="153" t="s">
        <v>349</v>
      </c>
      <c r="E27" s="153" t="s">
        <v>1351</v>
      </c>
      <c r="F27" s="153" t="s">
        <v>63</v>
      </c>
      <c r="G27" s="152" t="s">
        <v>1322</v>
      </c>
      <c r="H27" s="153" t="s">
        <v>1323</v>
      </c>
      <c r="I27" s="37" t="s">
        <v>1375</v>
      </c>
      <c r="J27" s="125">
        <v>45974</v>
      </c>
      <c r="K27" s="37" t="s">
        <v>1376</v>
      </c>
      <c r="L27" s="37" t="s">
        <v>1374</v>
      </c>
      <c r="M27" s="37"/>
      <c r="N27" s="37" t="s">
        <v>1562</v>
      </c>
      <c r="O27" s="125">
        <v>45974</v>
      </c>
      <c r="P27" s="37" t="s">
        <v>1581</v>
      </c>
      <c r="Q27" s="38"/>
      <c r="R27" s="37"/>
    </row>
    <row r="28" spans="2:18" s="3" customFormat="1" x14ac:dyDescent="0.2">
      <c r="B28" s="47" t="s">
        <v>363</v>
      </c>
      <c r="C28" s="151" t="s">
        <v>421</v>
      </c>
      <c r="D28" s="151" t="s">
        <v>349</v>
      </c>
      <c r="E28" s="151" t="s">
        <v>1350</v>
      </c>
      <c r="F28" s="151" t="s">
        <v>56</v>
      </c>
      <c r="G28" s="150" t="s">
        <v>1324</v>
      </c>
      <c r="H28" s="151" t="s">
        <v>1325</v>
      </c>
      <c r="I28" s="37" t="s">
        <v>1375</v>
      </c>
      <c r="J28" s="125">
        <v>45974</v>
      </c>
      <c r="K28" s="37" t="s">
        <v>1376</v>
      </c>
      <c r="L28" s="37" t="s">
        <v>1374</v>
      </c>
      <c r="M28" s="37"/>
      <c r="N28" s="37" t="s">
        <v>1562</v>
      </c>
      <c r="O28" s="125">
        <v>45974</v>
      </c>
      <c r="P28" s="37" t="s">
        <v>1582</v>
      </c>
      <c r="Q28" s="38"/>
      <c r="R28" s="37"/>
    </row>
    <row r="29" spans="2:18" s="3" customFormat="1" x14ac:dyDescent="0.2">
      <c r="B29" s="47" t="s">
        <v>363</v>
      </c>
      <c r="C29" s="153" t="s">
        <v>421</v>
      </c>
      <c r="D29" s="153" t="s">
        <v>349</v>
      </c>
      <c r="E29" s="153" t="s">
        <v>1350</v>
      </c>
      <c r="F29" s="153" t="s">
        <v>63</v>
      </c>
      <c r="G29" s="152" t="s">
        <v>1324</v>
      </c>
      <c r="H29" s="153" t="s">
        <v>1325</v>
      </c>
      <c r="I29" s="37" t="s">
        <v>1375</v>
      </c>
      <c r="J29" s="125">
        <v>45974</v>
      </c>
      <c r="K29" s="37" t="s">
        <v>1376</v>
      </c>
      <c r="L29" s="37" t="s">
        <v>1374</v>
      </c>
      <c r="M29" s="37"/>
      <c r="N29" s="37" t="s">
        <v>1562</v>
      </c>
      <c r="O29" s="125">
        <v>45974</v>
      </c>
      <c r="P29" s="37" t="s">
        <v>1583</v>
      </c>
      <c r="Q29" s="38"/>
      <c r="R29" s="37"/>
    </row>
    <row r="30" spans="2:18" s="3" customFormat="1" x14ac:dyDescent="0.2">
      <c r="B30" s="47" t="s">
        <v>363</v>
      </c>
      <c r="C30" s="151" t="s">
        <v>421</v>
      </c>
      <c r="D30" s="151" t="s">
        <v>349</v>
      </c>
      <c r="E30" s="151" t="s">
        <v>1350</v>
      </c>
      <c r="F30" s="151" t="s">
        <v>56</v>
      </c>
      <c r="G30" s="150" t="s">
        <v>1326</v>
      </c>
      <c r="H30" s="151" t="s">
        <v>1327</v>
      </c>
      <c r="I30" s="37" t="s">
        <v>1375</v>
      </c>
      <c r="J30" s="125">
        <v>45974</v>
      </c>
      <c r="K30" s="37" t="s">
        <v>1376</v>
      </c>
      <c r="L30" s="37" t="s">
        <v>1374</v>
      </c>
      <c r="M30" s="37"/>
      <c r="N30" s="37" t="s">
        <v>1562</v>
      </c>
      <c r="O30" s="125">
        <v>45974</v>
      </c>
      <c r="P30" s="37" t="s">
        <v>1584</v>
      </c>
      <c r="Q30" s="38"/>
      <c r="R30" s="37"/>
    </row>
    <row r="31" spans="2:18" s="3" customFormat="1" x14ac:dyDescent="0.2">
      <c r="B31" s="47" t="s">
        <v>363</v>
      </c>
      <c r="C31" s="153" t="s">
        <v>421</v>
      </c>
      <c r="D31" s="153" t="s">
        <v>349</v>
      </c>
      <c r="E31" s="153" t="s">
        <v>1350</v>
      </c>
      <c r="F31" s="153" t="s">
        <v>63</v>
      </c>
      <c r="G31" s="152" t="s">
        <v>1326</v>
      </c>
      <c r="H31" s="153" t="s">
        <v>1327</v>
      </c>
      <c r="I31" s="37" t="s">
        <v>1375</v>
      </c>
      <c r="J31" s="125">
        <v>45974</v>
      </c>
      <c r="K31" s="37" t="s">
        <v>1376</v>
      </c>
      <c r="L31" s="37" t="s">
        <v>1374</v>
      </c>
      <c r="M31" s="37"/>
      <c r="N31" s="37" t="s">
        <v>1562</v>
      </c>
      <c r="O31" s="125">
        <v>45974</v>
      </c>
      <c r="P31" s="37" t="s">
        <v>1585</v>
      </c>
      <c r="Q31" s="38"/>
      <c r="R31" s="37"/>
    </row>
    <row r="32" spans="2:18" s="3" customFormat="1" x14ac:dyDescent="0.2">
      <c r="B32" s="47" t="s">
        <v>363</v>
      </c>
      <c r="C32" s="151" t="s">
        <v>421</v>
      </c>
      <c r="D32" s="151" t="s">
        <v>349</v>
      </c>
      <c r="E32" s="151" t="s">
        <v>1351</v>
      </c>
      <c r="F32" s="151" t="s">
        <v>56</v>
      </c>
      <c r="G32" s="150" t="s">
        <v>1328</v>
      </c>
      <c r="H32" s="151" t="s">
        <v>1329</v>
      </c>
      <c r="I32" s="37" t="s">
        <v>1375</v>
      </c>
      <c r="J32" s="125">
        <v>45974</v>
      </c>
      <c r="K32" s="37" t="s">
        <v>1376</v>
      </c>
      <c r="L32" s="37" t="s">
        <v>1374</v>
      </c>
      <c r="M32" s="37"/>
      <c r="N32" s="37" t="s">
        <v>1562</v>
      </c>
      <c r="O32" s="125">
        <v>45974</v>
      </c>
      <c r="P32" s="37" t="s">
        <v>1586</v>
      </c>
      <c r="Q32" s="38"/>
      <c r="R32" s="37"/>
    </row>
    <row r="33" spans="2:18" s="3" customFormat="1" x14ac:dyDescent="0.2">
      <c r="B33" s="47" t="s">
        <v>363</v>
      </c>
      <c r="C33" s="153" t="s">
        <v>421</v>
      </c>
      <c r="D33" s="153" t="s">
        <v>349</v>
      </c>
      <c r="E33" s="153" t="s">
        <v>1351</v>
      </c>
      <c r="F33" s="153" t="s">
        <v>63</v>
      </c>
      <c r="G33" s="152" t="s">
        <v>1328</v>
      </c>
      <c r="H33" s="153" t="s">
        <v>1329</v>
      </c>
      <c r="I33" s="37" t="s">
        <v>1375</v>
      </c>
      <c r="J33" s="125">
        <v>45974</v>
      </c>
      <c r="K33" s="37" t="s">
        <v>1376</v>
      </c>
      <c r="L33" s="37" t="s">
        <v>1374</v>
      </c>
      <c r="M33" s="37"/>
      <c r="N33" s="37" t="s">
        <v>1562</v>
      </c>
      <c r="O33" s="125">
        <v>45974</v>
      </c>
      <c r="P33" s="37" t="s">
        <v>1587</v>
      </c>
      <c r="Q33" s="38"/>
      <c r="R33" s="37"/>
    </row>
    <row r="34" spans="2:18" s="3" customFormat="1" x14ac:dyDescent="0.2">
      <c r="B34" s="47" t="s">
        <v>363</v>
      </c>
      <c r="C34" s="151" t="s">
        <v>421</v>
      </c>
      <c r="D34" s="151" t="s">
        <v>349</v>
      </c>
      <c r="E34" s="151" t="s">
        <v>1350</v>
      </c>
      <c r="F34" s="151" t="s">
        <v>56</v>
      </c>
      <c r="G34" s="150" t="s">
        <v>1330</v>
      </c>
      <c r="H34" s="151" t="s">
        <v>1331</v>
      </c>
      <c r="I34" s="37" t="s">
        <v>1375</v>
      </c>
      <c r="J34" s="125">
        <v>45974</v>
      </c>
      <c r="K34" s="37" t="s">
        <v>1376</v>
      </c>
      <c r="L34" s="37" t="s">
        <v>1374</v>
      </c>
      <c r="M34" s="37"/>
      <c r="N34" s="37" t="s">
        <v>1562</v>
      </c>
      <c r="O34" s="125">
        <v>45974</v>
      </c>
      <c r="P34" s="37" t="s">
        <v>1588</v>
      </c>
      <c r="Q34" s="38"/>
      <c r="R34" s="37"/>
    </row>
    <row r="35" spans="2:18" s="3" customFormat="1" x14ac:dyDescent="0.2">
      <c r="B35" s="47" t="s">
        <v>363</v>
      </c>
      <c r="C35" s="153" t="s">
        <v>421</v>
      </c>
      <c r="D35" s="153" t="s">
        <v>349</v>
      </c>
      <c r="E35" s="153" t="s">
        <v>1350</v>
      </c>
      <c r="F35" s="153" t="s">
        <v>63</v>
      </c>
      <c r="G35" s="152" t="s">
        <v>1330</v>
      </c>
      <c r="H35" s="153" t="s">
        <v>1331</v>
      </c>
      <c r="I35" s="37" t="s">
        <v>1375</v>
      </c>
      <c r="J35" s="125">
        <v>45974</v>
      </c>
      <c r="K35" s="37" t="s">
        <v>1376</v>
      </c>
      <c r="L35" s="37" t="s">
        <v>1374</v>
      </c>
      <c r="M35" s="37"/>
      <c r="N35" s="37" t="s">
        <v>1562</v>
      </c>
      <c r="O35" s="125">
        <v>45974</v>
      </c>
      <c r="P35" s="37" t="s">
        <v>1589</v>
      </c>
      <c r="Q35" s="38"/>
      <c r="R35" s="37"/>
    </row>
    <row r="36" spans="2:18" s="3" customFormat="1" x14ac:dyDescent="0.2">
      <c r="B36" s="47" t="s">
        <v>363</v>
      </c>
      <c r="C36" s="151" t="s">
        <v>421</v>
      </c>
      <c r="D36" s="151" t="s">
        <v>349</v>
      </c>
      <c r="E36" s="151" t="s">
        <v>1350</v>
      </c>
      <c r="F36" s="151" t="s">
        <v>56</v>
      </c>
      <c r="G36" s="150" t="s">
        <v>1332</v>
      </c>
      <c r="H36" s="151" t="s">
        <v>1333</v>
      </c>
      <c r="I36" s="37" t="s">
        <v>1375</v>
      </c>
      <c r="J36" s="125">
        <v>45974</v>
      </c>
      <c r="K36" s="37" t="s">
        <v>1376</v>
      </c>
      <c r="L36" s="37" t="s">
        <v>1374</v>
      </c>
      <c r="M36" s="37"/>
      <c r="N36" s="37" t="s">
        <v>1562</v>
      </c>
      <c r="O36" s="125">
        <v>45974</v>
      </c>
      <c r="P36" s="37" t="s">
        <v>1590</v>
      </c>
      <c r="Q36" s="38"/>
      <c r="R36" s="37"/>
    </row>
    <row r="37" spans="2:18" s="3" customFormat="1" x14ac:dyDescent="0.2">
      <c r="B37" s="47" t="s">
        <v>363</v>
      </c>
      <c r="C37" s="153" t="s">
        <v>421</v>
      </c>
      <c r="D37" s="153" t="s">
        <v>349</v>
      </c>
      <c r="E37" s="153" t="s">
        <v>1350</v>
      </c>
      <c r="F37" s="153" t="s">
        <v>63</v>
      </c>
      <c r="G37" s="152" t="s">
        <v>1332</v>
      </c>
      <c r="H37" s="153" t="s">
        <v>1333</v>
      </c>
      <c r="I37" s="37" t="s">
        <v>1375</v>
      </c>
      <c r="J37" s="125">
        <v>45974</v>
      </c>
      <c r="K37" s="37" t="s">
        <v>1376</v>
      </c>
      <c r="L37" s="37" t="s">
        <v>1374</v>
      </c>
      <c r="M37" s="37"/>
      <c r="N37" s="37" t="s">
        <v>1562</v>
      </c>
      <c r="O37" s="125">
        <v>45974</v>
      </c>
      <c r="P37" s="37" t="s">
        <v>1591</v>
      </c>
      <c r="Q37" s="38"/>
      <c r="R37" s="37"/>
    </row>
    <row r="38" spans="2:18" s="3" customFormat="1" x14ac:dyDescent="0.2">
      <c r="B38" s="47" t="s">
        <v>363</v>
      </c>
      <c r="C38" s="151" t="s">
        <v>421</v>
      </c>
      <c r="D38" s="151" t="s">
        <v>349</v>
      </c>
      <c r="E38" s="151" t="s">
        <v>1350</v>
      </c>
      <c r="F38" s="151" t="s">
        <v>56</v>
      </c>
      <c r="G38" s="150" t="s">
        <v>1334</v>
      </c>
      <c r="H38" s="151" t="s">
        <v>1335</v>
      </c>
      <c r="I38" s="37" t="s">
        <v>1375</v>
      </c>
      <c r="J38" s="125">
        <v>45974</v>
      </c>
      <c r="K38" s="37" t="s">
        <v>1376</v>
      </c>
      <c r="L38" s="37" t="s">
        <v>1374</v>
      </c>
      <c r="M38" s="37"/>
      <c r="N38" s="37" t="s">
        <v>1562</v>
      </c>
      <c r="O38" s="125">
        <v>45974</v>
      </c>
      <c r="P38" s="37" t="s">
        <v>1592</v>
      </c>
      <c r="Q38" s="38"/>
      <c r="R38" s="37"/>
    </row>
    <row r="39" spans="2:18" s="3" customFormat="1" x14ac:dyDescent="0.2">
      <c r="B39" s="47" t="s">
        <v>363</v>
      </c>
      <c r="C39" s="153" t="s">
        <v>421</v>
      </c>
      <c r="D39" s="153" t="s">
        <v>349</v>
      </c>
      <c r="E39" s="153" t="s">
        <v>1350</v>
      </c>
      <c r="F39" s="153" t="s">
        <v>63</v>
      </c>
      <c r="G39" s="152" t="s">
        <v>1334</v>
      </c>
      <c r="H39" s="153" t="s">
        <v>1335</v>
      </c>
      <c r="I39" s="37" t="s">
        <v>1375</v>
      </c>
      <c r="J39" s="125">
        <v>45974</v>
      </c>
      <c r="K39" s="37" t="s">
        <v>1376</v>
      </c>
      <c r="L39" s="37" t="s">
        <v>1374</v>
      </c>
      <c r="M39" s="37"/>
      <c r="N39" s="37" t="s">
        <v>1562</v>
      </c>
      <c r="O39" s="125">
        <v>45974</v>
      </c>
      <c r="P39" s="37" t="s">
        <v>1593</v>
      </c>
      <c r="Q39" s="38"/>
      <c r="R39" s="37"/>
    </row>
    <row r="40" spans="2:18" s="3" customFormat="1" x14ac:dyDescent="0.2">
      <c r="B40" s="47" t="s">
        <v>363</v>
      </c>
      <c r="C40" s="151" t="s">
        <v>421</v>
      </c>
      <c r="D40" s="151" t="s">
        <v>349</v>
      </c>
      <c r="E40" s="151" t="s">
        <v>1351</v>
      </c>
      <c r="F40" s="151" t="s">
        <v>56</v>
      </c>
      <c r="G40" s="150" t="s">
        <v>1336</v>
      </c>
      <c r="H40" s="151" t="s">
        <v>1337</v>
      </c>
      <c r="I40" s="37" t="s">
        <v>1375</v>
      </c>
      <c r="J40" s="125">
        <v>45974</v>
      </c>
      <c r="K40" s="37" t="s">
        <v>1376</v>
      </c>
      <c r="L40" s="37" t="s">
        <v>1374</v>
      </c>
      <c r="M40" s="37"/>
      <c r="N40" s="37" t="s">
        <v>1562</v>
      </c>
      <c r="O40" s="125">
        <v>45974</v>
      </c>
      <c r="P40" s="37" t="s">
        <v>1594</v>
      </c>
      <c r="Q40" s="38"/>
      <c r="R40" s="37"/>
    </row>
    <row r="41" spans="2:18" s="3" customFormat="1" x14ac:dyDescent="0.2">
      <c r="B41" s="47" t="s">
        <v>363</v>
      </c>
      <c r="C41" s="153" t="s">
        <v>421</v>
      </c>
      <c r="D41" s="153" t="s">
        <v>349</v>
      </c>
      <c r="E41" s="153" t="s">
        <v>1351</v>
      </c>
      <c r="F41" s="153" t="s">
        <v>63</v>
      </c>
      <c r="G41" s="152" t="s">
        <v>1336</v>
      </c>
      <c r="H41" s="153" t="s">
        <v>1337</v>
      </c>
      <c r="I41" s="37" t="s">
        <v>1375</v>
      </c>
      <c r="J41" s="125">
        <v>45974</v>
      </c>
      <c r="K41" s="37" t="s">
        <v>1376</v>
      </c>
      <c r="L41" s="37" t="s">
        <v>1374</v>
      </c>
      <c r="M41" s="37"/>
      <c r="N41" s="37" t="s">
        <v>1562</v>
      </c>
      <c r="O41" s="125">
        <v>45974</v>
      </c>
      <c r="P41" s="37" t="s">
        <v>1595</v>
      </c>
      <c r="Q41" s="38"/>
      <c r="R41" s="37"/>
    </row>
    <row r="42" spans="2:18" s="3" customFormat="1" x14ac:dyDescent="0.2">
      <c r="B42" s="47" t="s">
        <v>363</v>
      </c>
      <c r="C42" s="151" t="s">
        <v>421</v>
      </c>
      <c r="D42" s="151" t="s">
        <v>349</v>
      </c>
      <c r="E42" s="151" t="s">
        <v>1351</v>
      </c>
      <c r="F42" s="151" t="s">
        <v>56</v>
      </c>
      <c r="G42" s="150" t="s">
        <v>1338</v>
      </c>
      <c r="H42" s="151" t="s">
        <v>1339</v>
      </c>
      <c r="I42" s="37" t="s">
        <v>1375</v>
      </c>
      <c r="J42" s="125">
        <v>45974</v>
      </c>
      <c r="K42" s="37" t="s">
        <v>1376</v>
      </c>
      <c r="L42" s="37" t="s">
        <v>1374</v>
      </c>
      <c r="M42" s="37"/>
      <c r="N42" s="37" t="s">
        <v>1562</v>
      </c>
      <c r="O42" s="125">
        <v>45974</v>
      </c>
      <c r="P42" s="37" t="s">
        <v>1596</v>
      </c>
      <c r="Q42" s="38"/>
      <c r="R42" s="37"/>
    </row>
    <row r="43" spans="2:18" s="3" customFormat="1" x14ac:dyDescent="0.2">
      <c r="B43" s="47" t="s">
        <v>363</v>
      </c>
      <c r="C43" s="153" t="s">
        <v>421</v>
      </c>
      <c r="D43" s="153" t="s">
        <v>349</v>
      </c>
      <c r="E43" s="153" t="s">
        <v>1351</v>
      </c>
      <c r="F43" s="153" t="s">
        <v>63</v>
      </c>
      <c r="G43" s="152" t="s">
        <v>1338</v>
      </c>
      <c r="H43" s="153" t="s">
        <v>1339</v>
      </c>
      <c r="I43" s="37" t="s">
        <v>1375</v>
      </c>
      <c r="J43" s="125">
        <v>45974</v>
      </c>
      <c r="K43" s="37" t="s">
        <v>1376</v>
      </c>
      <c r="L43" s="37" t="s">
        <v>1374</v>
      </c>
      <c r="M43" s="37"/>
      <c r="N43" s="37" t="s">
        <v>1562</v>
      </c>
      <c r="O43" s="125">
        <v>45974</v>
      </c>
      <c r="P43" s="37" t="s">
        <v>1597</v>
      </c>
      <c r="Q43" s="38"/>
      <c r="R43" s="37"/>
    </row>
    <row r="44" spans="2:18" s="3" customFormat="1" x14ac:dyDescent="0.2">
      <c r="B44" s="47" t="s">
        <v>363</v>
      </c>
      <c r="C44" s="151" t="s">
        <v>421</v>
      </c>
      <c r="D44" s="151" t="s">
        <v>349</v>
      </c>
      <c r="E44" s="151" t="s">
        <v>1351</v>
      </c>
      <c r="F44" s="151" t="s">
        <v>56</v>
      </c>
      <c r="G44" s="150" t="s">
        <v>1340</v>
      </c>
      <c r="H44" s="151" t="s">
        <v>1341</v>
      </c>
      <c r="I44" s="37" t="s">
        <v>1375</v>
      </c>
      <c r="J44" s="125">
        <v>45974</v>
      </c>
      <c r="K44" s="37" t="s">
        <v>1376</v>
      </c>
      <c r="L44" s="37" t="s">
        <v>1374</v>
      </c>
      <c r="M44" s="37"/>
      <c r="N44" s="37" t="s">
        <v>1562</v>
      </c>
      <c r="O44" s="125">
        <v>45974</v>
      </c>
      <c r="P44" s="37" t="s">
        <v>1598</v>
      </c>
      <c r="Q44" s="38"/>
      <c r="R44" s="37"/>
    </row>
    <row r="45" spans="2:18" s="3" customFormat="1" x14ac:dyDescent="0.2">
      <c r="B45" s="47" t="s">
        <v>363</v>
      </c>
      <c r="C45" s="153" t="s">
        <v>421</v>
      </c>
      <c r="D45" s="153" t="s">
        <v>349</v>
      </c>
      <c r="E45" s="153" t="s">
        <v>1351</v>
      </c>
      <c r="F45" s="153" t="s">
        <v>63</v>
      </c>
      <c r="G45" s="152" t="s">
        <v>1340</v>
      </c>
      <c r="H45" s="153" t="s">
        <v>1341</v>
      </c>
      <c r="I45" s="37" t="s">
        <v>1375</v>
      </c>
      <c r="J45" s="125">
        <v>45974</v>
      </c>
      <c r="K45" s="37" t="s">
        <v>1376</v>
      </c>
      <c r="L45" s="37" t="s">
        <v>1374</v>
      </c>
      <c r="M45" s="37"/>
      <c r="N45" s="37" t="s">
        <v>1562</v>
      </c>
      <c r="O45" s="125">
        <v>45974</v>
      </c>
      <c r="P45" s="37" t="s">
        <v>1599</v>
      </c>
      <c r="Q45" s="38"/>
      <c r="R45" s="37"/>
    </row>
    <row r="46" spans="2:18" s="3" customFormat="1" x14ac:dyDescent="0.2">
      <c r="B46" s="47" t="s">
        <v>363</v>
      </c>
      <c r="C46" s="151" t="s">
        <v>421</v>
      </c>
      <c r="D46" s="151" t="s">
        <v>349</v>
      </c>
      <c r="E46" s="151" t="s">
        <v>1350</v>
      </c>
      <c r="F46" s="151" t="s">
        <v>56</v>
      </c>
      <c r="G46" s="150" t="s">
        <v>1342</v>
      </c>
      <c r="H46" s="151" t="s">
        <v>1343</v>
      </c>
      <c r="I46" s="37" t="s">
        <v>1375</v>
      </c>
      <c r="J46" s="125">
        <v>45974</v>
      </c>
      <c r="K46" s="37" t="s">
        <v>1376</v>
      </c>
      <c r="L46" s="37" t="s">
        <v>1374</v>
      </c>
      <c r="M46" s="37"/>
      <c r="N46" s="37" t="s">
        <v>1562</v>
      </c>
      <c r="O46" s="125">
        <v>45974</v>
      </c>
      <c r="P46" s="37" t="s">
        <v>1600</v>
      </c>
      <c r="Q46" s="38"/>
      <c r="R46" s="37"/>
    </row>
    <row r="47" spans="2:18" s="3" customFormat="1" x14ac:dyDescent="0.2">
      <c r="B47" s="47" t="s">
        <v>363</v>
      </c>
      <c r="C47" s="153" t="s">
        <v>421</v>
      </c>
      <c r="D47" s="153" t="s">
        <v>349</v>
      </c>
      <c r="E47" s="153" t="s">
        <v>1350</v>
      </c>
      <c r="F47" s="153" t="s">
        <v>63</v>
      </c>
      <c r="G47" s="152" t="s">
        <v>1342</v>
      </c>
      <c r="H47" s="153" t="s">
        <v>1343</v>
      </c>
      <c r="I47" s="37" t="s">
        <v>1375</v>
      </c>
      <c r="J47" s="125">
        <v>45974</v>
      </c>
      <c r="K47" s="37" t="s">
        <v>1376</v>
      </c>
      <c r="L47" s="37" t="s">
        <v>1374</v>
      </c>
      <c r="M47" s="37"/>
      <c r="N47" s="37" t="s">
        <v>1562</v>
      </c>
      <c r="O47" s="125">
        <v>45974</v>
      </c>
      <c r="P47" s="37" t="s">
        <v>1601</v>
      </c>
      <c r="Q47" s="38"/>
      <c r="R47" s="37"/>
    </row>
    <row r="48" spans="2:18" s="3" customFormat="1" x14ac:dyDescent="0.2">
      <c r="B48" s="47" t="s">
        <v>363</v>
      </c>
      <c r="C48" s="151" t="s">
        <v>421</v>
      </c>
      <c r="D48" s="151" t="s">
        <v>349</v>
      </c>
      <c r="E48" s="151" t="s">
        <v>1350</v>
      </c>
      <c r="F48" s="151" t="s">
        <v>56</v>
      </c>
      <c r="G48" s="150" t="s">
        <v>1344</v>
      </c>
      <c r="H48" s="151" t="s">
        <v>1345</v>
      </c>
      <c r="I48" s="37" t="s">
        <v>1375</v>
      </c>
      <c r="J48" s="125">
        <v>45974</v>
      </c>
      <c r="K48" s="37" t="s">
        <v>1376</v>
      </c>
      <c r="L48" s="37" t="s">
        <v>1374</v>
      </c>
      <c r="M48" s="37"/>
      <c r="N48" s="37" t="s">
        <v>1562</v>
      </c>
      <c r="O48" s="125">
        <v>45974</v>
      </c>
      <c r="P48" s="37" t="s">
        <v>1602</v>
      </c>
      <c r="Q48" s="38"/>
      <c r="R48" s="37"/>
    </row>
    <row r="49" spans="2:18" s="3" customFormat="1" x14ac:dyDescent="0.2">
      <c r="B49" s="47" t="s">
        <v>363</v>
      </c>
      <c r="C49" s="153" t="s">
        <v>421</v>
      </c>
      <c r="D49" s="153" t="s">
        <v>349</v>
      </c>
      <c r="E49" s="153" t="s">
        <v>1350</v>
      </c>
      <c r="F49" s="153" t="s">
        <v>63</v>
      </c>
      <c r="G49" s="152" t="s">
        <v>1344</v>
      </c>
      <c r="H49" s="153" t="s">
        <v>1345</v>
      </c>
      <c r="I49" s="37" t="s">
        <v>1375</v>
      </c>
      <c r="J49" s="125">
        <v>45974</v>
      </c>
      <c r="K49" s="37" t="s">
        <v>1376</v>
      </c>
      <c r="L49" s="37" t="s">
        <v>1374</v>
      </c>
      <c r="M49" s="37"/>
      <c r="N49" s="37" t="s">
        <v>1562</v>
      </c>
      <c r="O49" s="125">
        <v>45974</v>
      </c>
      <c r="P49" s="37" t="s">
        <v>1603</v>
      </c>
      <c r="Q49" s="38"/>
      <c r="R49" s="37"/>
    </row>
    <row r="50" spans="2:18" s="3" customFormat="1" x14ac:dyDescent="0.2">
      <c r="B50" s="47" t="s">
        <v>363</v>
      </c>
      <c r="C50" s="151" t="s">
        <v>421</v>
      </c>
      <c r="D50" s="151" t="s">
        <v>349</v>
      </c>
      <c r="E50" s="151" t="s">
        <v>1351</v>
      </c>
      <c r="F50" s="151" t="s">
        <v>56</v>
      </c>
      <c r="G50" s="150" t="s">
        <v>1346</v>
      </c>
      <c r="H50" s="151" t="s">
        <v>1347</v>
      </c>
      <c r="I50" s="37" t="s">
        <v>1375</v>
      </c>
      <c r="J50" s="125">
        <v>45974</v>
      </c>
      <c r="K50" s="37" t="s">
        <v>1376</v>
      </c>
      <c r="L50" s="37" t="s">
        <v>1374</v>
      </c>
      <c r="M50" s="37"/>
      <c r="N50" s="37" t="s">
        <v>1562</v>
      </c>
      <c r="O50" s="125">
        <v>45974</v>
      </c>
      <c r="P50" s="37" t="s">
        <v>1604</v>
      </c>
      <c r="Q50" s="38"/>
      <c r="R50" s="37"/>
    </row>
    <row r="51" spans="2:18" s="3" customFormat="1" x14ac:dyDescent="0.2">
      <c r="B51" s="47" t="s">
        <v>363</v>
      </c>
      <c r="C51" s="153" t="s">
        <v>421</v>
      </c>
      <c r="D51" s="153" t="s">
        <v>349</v>
      </c>
      <c r="E51" s="153" t="s">
        <v>1351</v>
      </c>
      <c r="F51" s="153" t="s">
        <v>63</v>
      </c>
      <c r="G51" s="152" t="s">
        <v>1346</v>
      </c>
      <c r="H51" s="153" t="s">
        <v>1347</v>
      </c>
      <c r="I51" s="37" t="s">
        <v>1375</v>
      </c>
      <c r="J51" s="125">
        <v>45974</v>
      </c>
      <c r="K51" s="37" t="s">
        <v>1376</v>
      </c>
      <c r="L51" s="37" t="s">
        <v>1374</v>
      </c>
      <c r="M51" s="37"/>
      <c r="N51" s="37" t="s">
        <v>1562</v>
      </c>
      <c r="O51" s="125">
        <v>45974</v>
      </c>
      <c r="P51" s="37" t="s">
        <v>1605</v>
      </c>
      <c r="Q51" s="38"/>
      <c r="R51" s="37"/>
    </row>
    <row r="52" spans="2:18" s="3" customFormat="1" x14ac:dyDescent="0.2">
      <c r="B52" s="47" t="s">
        <v>363</v>
      </c>
      <c r="C52" s="151" t="s">
        <v>421</v>
      </c>
      <c r="D52" s="151" t="s">
        <v>349</v>
      </c>
      <c r="E52" s="151" t="s">
        <v>1350</v>
      </c>
      <c r="F52" s="151" t="s">
        <v>56</v>
      </c>
      <c r="G52" s="150" t="s">
        <v>1348</v>
      </c>
      <c r="H52" s="151" t="s">
        <v>1349</v>
      </c>
      <c r="I52" s="37" t="s">
        <v>1375</v>
      </c>
      <c r="J52" s="125">
        <v>45974</v>
      </c>
      <c r="K52" s="37" t="s">
        <v>1376</v>
      </c>
      <c r="L52" s="37" t="s">
        <v>1374</v>
      </c>
      <c r="M52" s="37"/>
      <c r="N52" s="37" t="s">
        <v>1562</v>
      </c>
      <c r="O52" s="125">
        <v>45974</v>
      </c>
      <c r="P52" s="37" t="s">
        <v>1606</v>
      </c>
      <c r="Q52" s="38"/>
      <c r="R52" s="37"/>
    </row>
    <row r="53" spans="2:18" s="3" customFormat="1" x14ac:dyDescent="0.2">
      <c r="B53" s="47" t="s">
        <v>363</v>
      </c>
      <c r="C53" s="153" t="s">
        <v>421</v>
      </c>
      <c r="D53" s="153" t="s">
        <v>349</v>
      </c>
      <c r="E53" s="153" t="s">
        <v>1350</v>
      </c>
      <c r="F53" s="153" t="s">
        <v>63</v>
      </c>
      <c r="G53" s="152" t="s">
        <v>1348</v>
      </c>
      <c r="H53" s="153" t="s">
        <v>1349</v>
      </c>
      <c r="I53" s="37" t="s">
        <v>1375</v>
      </c>
      <c r="J53" s="125">
        <v>45974</v>
      </c>
      <c r="K53" s="37" t="s">
        <v>1376</v>
      </c>
      <c r="L53" s="37" t="s">
        <v>1374</v>
      </c>
      <c r="M53" s="37"/>
      <c r="N53" s="37" t="s">
        <v>1562</v>
      </c>
      <c r="O53" s="125">
        <v>45974</v>
      </c>
      <c r="P53" s="37" t="s">
        <v>1607</v>
      </c>
      <c r="Q53" s="38"/>
      <c r="R53" s="37"/>
    </row>
    <row r="54" spans="2:18" s="3" customFormat="1" x14ac:dyDescent="0.2">
      <c r="B54" s="47" t="s">
        <v>363</v>
      </c>
      <c r="C54" s="151" t="s">
        <v>457</v>
      </c>
      <c r="D54" s="151" t="s">
        <v>1369</v>
      </c>
      <c r="E54" s="151" t="s">
        <v>1370</v>
      </c>
      <c r="F54" s="151" t="s">
        <v>158</v>
      </c>
      <c r="G54" s="150" t="s">
        <v>1352</v>
      </c>
      <c r="H54" s="151" t="s">
        <v>1353</v>
      </c>
      <c r="I54" s="37" t="s">
        <v>1375</v>
      </c>
      <c r="J54" s="125">
        <v>45974</v>
      </c>
      <c r="K54" s="37" t="s">
        <v>1376</v>
      </c>
      <c r="L54" s="37" t="s">
        <v>1374</v>
      </c>
      <c r="M54" s="37"/>
      <c r="N54" s="37" t="s">
        <v>1562</v>
      </c>
      <c r="O54" s="125">
        <v>45974</v>
      </c>
      <c r="P54" s="37" t="s">
        <v>1608</v>
      </c>
      <c r="Q54" s="38"/>
      <c r="R54" s="37"/>
    </row>
    <row r="55" spans="2:18" s="3" customFormat="1" x14ac:dyDescent="0.2">
      <c r="B55" s="47" t="s">
        <v>363</v>
      </c>
      <c r="C55" s="153" t="s">
        <v>457</v>
      </c>
      <c r="D55" s="153" t="s">
        <v>1369</v>
      </c>
      <c r="E55" s="153" t="s">
        <v>1370</v>
      </c>
      <c r="F55" s="153" t="s">
        <v>158</v>
      </c>
      <c r="G55" s="152" t="s">
        <v>1354</v>
      </c>
      <c r="H55" s="153" t="s">
        <v>1353</v>
      </c>
      <c r="I55" s="37" t="s">
        <v>1375</v>
      </c>
      <c r="J55" s="125">
        <v>45974</v>
      </c>
      <c r="K55" s="37" t="s">
        <v>1376</v>
      </c>
      <c r="L55" s="37" t="s">
        <v>1374</v>
      </c>
      <c r="M55" s="37"/>
      <c r="N55" s="37" t="s">
        <v>1562</v>
      </c>
      <c r="O55" s="125">
        <v>45974</v>
      </c>
      <c r="P55" s="37" t="s">
        <v>1609</v>
      </c>
      <c r="Q55" s="38"/>
      <c r="R55" s="37"/>
    </row>
    <row r="56" spans="2:18" s="3" customFormat="1" x14ac:dyDescent="0.2">
      <c r="B56" s="47" t="s">
        <v>363</v>
      </c>
      <c r="C56" s="151" t="s">
        <v>457</v>
      </c>
      <c r="D56" s="151" t="s">
        <v>1369</v>
      </c>
      <c r="E56" s="151" t="s">
        <v>1371</v>
      </c>
      <c r="F56" s="151" t="s">
        <v>158</v>
      </c>
      <c r="G56" s="150" t="s">
        <v>1355</v>
      </c>
      <c r="H56" s="151" t="s">
        <v>1356</v>
      </c>
      <c r="I56" s="37" t="s">
        <v>1375</v>
      </c>
      <c r="J56" s="125">
        <v>45974</v>
      </c>
      <c r="K56" s="37" t="s">
        <v>1376</v>
      </c>
      <c r="L56" s="37" t="s">
        <v>1374</v>
      </c>
      <c r="M56" s="37"/>
      <c r="N56" s="37" t="s">
        <v>1562</v>
      </c>
      <c r="O56" s="125">
        <v>45974</v>
      </c>
      <c r="P56" s="37" t="s">
        <v>1610</v>
      </c>
      <c r="Q56" s="38"/>
      <c r="R56" s="37"/>
    </row>
    <row r="57" spans="2:18" s="3" customFormat="1" x14ac:dyDescent="0.2">
      <c r="B57" s="47" t="s">
        <v>363</v>
      </c>
      <c r="C57" s="153" t="s">
        <v>457</v>
      </c>
      <c r="D57" s="153" t="s">
        <v>1369</v>
      </c>
      <c r="E57" s="153" t="s">
        <v>1371</v>
      </c>
      <c r="F57" s="153" t="s">
        <v>158</v>
      </c>
      <c r="G57" s="152" t="s">
        <v>1357</v>
      </c>
      <c r="H57" s="153" t="s">
        <v>1356</v>
      </c>
      <c r="I57" s="37" t="s">
        <v>1375</v>
      </c>
      <c r="J57" s="125">
        <v>45974</v>
      </c>
      <c r="K57" s="37" t="s">
        <v>1376</v>
      </c>
      <c r="L57" s="37" t="s">
        <v>1374</v>
      </c>
      <c r="M57" s="37"/>
      <c r="N57" s="37" t="s">
        <v>1562</v>
      </c>
      <c r="O57" s="125">
        <v>45974</v>
      </c>
      <c r="P57" s="37" t="s">
        <v>1611</v>
      </c>
      <c r="Q57" s="38"/>
      <c r="R57" s="37"/>
    </row>
    <row r="58" spans="2:18" s="3" customFormat="1" x14ac:dyDescent="0.2">
      <c r="B58" s="47" t="s">
        <v>363</v>
      </c>
      <c r="C58" s="151" t="s">
        <v>457</v>
      </c>
      <c r="D58" s="151" t="s">
        <v>1369</v>
      </c>
      <c r="E58" s="151" t="s">
        <v>1372</v>
      </c>
      <c r="F58" s="151" t="s">
        <v>158</v>
      </c>
      <c r="G58" s="150" t="s">
        <v>1358</v>
      </c>
      <c r="H58" s="151" t="s">
        <v>1359</v>
      </c>
      <c r="I58" s="37" t="s">
        <v>1375</v>
      </c>
      <c r="J58" s="125">
        <v>45974</v>
      </c>
      <c r="K58" s="37" t="s">
        <v>1376</v>
      </c>
      <c r="L58" s="37" t="s">
        <v>1374</v>
      </c>
      <c r="M58" s="37"/>
      <c r="N58" s="37" t="s">
        <v>1562</v>
      </c>
      <c r="O58" s="125">
        <v>45974</v>
      </c>
      <c r="P58" s="37" t="s">
        <v>1612</v>
      </c>
      <c r="Q58" s="38"/>
      <c r="R58" s="37"/>
    </row>
    <row r="59" spans="2:18" s="3" customFormat="1" x14ac:dyDescent="0.2">
      <c r="B59" s="47" t="s">
        <v>363</v>
      </c>
      <c r="C59" s="153" t="s">
        <v>457</v>
      </c>
      <c r="D59" s="153" t="s">
        <v>1369</v>
      </c>
      <c r="E59" s="153" t="s">
        <v>1372</v>
      </c>
      <c r="F59" s="153" t="s">
        <v>158</v>
      </c>
      <c r="G59" s="152" t="s">
        <v>1360</v>
      </c>
      <c r="H59" s="153" t="s">
        <v>1359</v>
      </c>
      <c r="I59" s="37" t="s">
        <v>1375</v>
      </c>
      <c r="J59" s="125">
        <v>45974</v>
      </c>
      <c r="K59" s="37" t="s">
        <v>1376</v>
      </c>
      <c r="L59" s="37" t="s">
        <v>1374</v>
      </c>
      <c r="M59" s="37"/>
      <c r="N59" s="37" t="s">
        <v>1562</v>
      </c>
      <c r="O59" s="125">
        <v>45974</v>
      </c>
      <c r="P59" s="37" t="s">
        <v>1613</v>
      </c>
      <c r="Q59" s="38"/>
      <c r="R59" s="37"/>
    </row>
    <row r="60" spans="2:18" s="3" customFormat="1" x14ac:dyDescent="0.2">
      <c r="B60" s="47" t="s">
        <v>363</v>
      </c>
      <c r="C60" s="151" t="s">
        <v>457</v>
      </c>
      <c r="D60" s="151" t="s">
        <v>1369</v>
      </c>
      <c r="E60" s="151" t="s">
        <v>1373</v>
      </c>
      <c r="F60" s="151" t="s">
        <v>158</v>
      </c>
      <c r="G60" s="150" t="s">
        <v>1361</v>
      </c>
      <c r="H60" s="151" t="s">
        <v>1362</v>
      </c>
      <c r="I60" s="37" t="s">
        <v>1375</v>
      </c>
      <c r="J60" s="125">
        <v>45974</v>
      </c>
      <c r="K60" s="37" t="s">
        <v>1376</v>
      </c>
      <c r="L60" s="37" t="s">
        <v>1374</v>
      </c>
      <c r="M60" s="37"/>
      <c r="N60" s="37" t="s">
        <v>1562</v>
      </c>
      <c r="O60" s="125">
        <v>45974</v>
      </c>
      <c r="P60" s="37" t="s">
        <v>1614</v>
      </c>
      <c r="Q60" s="38"/>
      <c r="R60" s="37"/>
    </row>
    <row r="61" spans="2:18" s="3" customFormat="1" x14ac:dyDescent="0.2">
      <c r="B61" s="47" t="s">
        <v>363</v>
      </c>
      <c r="C61" s="153" t="s">
        <v>457</v>
      </c>
      <c r="D61" s="153" t="s">
        <v>1369</v>
      </c>
      <c r="E61" s="153" t="s">
        <v>1370</v>
      </c>
      <c r="F61" s="153" t="s">
        <v>158</v>
      </c>
      <c r="G61" s="152" t="s">
        <v>1363</v>
      </c>
      <c r="H61" s="153" t="s">
        <v>1353</v>
      </c>
      <c r="I61" s="37" t="s">
        <v>1375</v>
      </c>
      <c r="J61" s="125">
        <v>45974</v>
      </c>
      <c r="K61" s="37" t="s">
        <v>1376</v>
      </c>
      <c r="L61" s="37" t="s">
        <v>1374</v>
      </c>
      <c r="M61" s="37"/>
      <c r="N61" s="37" t="s">
        <v>1562</v>
      </c>
      <c r="O61" s="125">
        <v>45974</v>
      </c>
      <c r="P61" s="37" t="s">
        <v>1615</v>
      </c>
      <c r="Q61" s="38"/>
      <c r="R61" s="37"/>
    </row>
    <row r="62" spans="2:18" s="3" customFormat="1" x14ac:dyDescent="0.2">
      <c r="B62" s="47" t="s">
        <v>363</v>
      </c>
      <c r="C62" s="151" t="s">
        <v>457</v>
      </c>
      <c r="D62" s="151" t="s">
        <v>1369</v>
      </c>
      <c r="E62" s="151" t="s">
        <v>1370</v>
      </c>
      <c r="F62" s="151" t="s">
        <v>158</v>
      </c>
      <c r="G62" s="150" t="s">
        <v>1364</v>
      </c>
      <c r="H62" s="151" t="s">
        <v>1353</v>
      </c>
      <c r="I62" s="37" t="s">
        <v>1375</v>
      </c>
      <c r="J62" s="125">
        <v>45974</v>
      </c>
      <c r="K62" s="37" t="s">
        <v>1376</v>
      </c>
      <c r="L62" s="37" t="s">
        <v>1374</v>
      </c>
      <c r="M62" s="37"/>
      <c r="N62" s="37" t="s">
        <v>1562</v>
      </c>
      <c r="O62" s="125">
        <v>45974</v>
      </c>
      <c r="P62" s="37" t="s">
        <v>1616</v>
      </c>
      <c r="Q62" s="38"/>
      <c r="R62" s="37"/>
    </row>
    <row r="63" spans="2:18" s="3" customFormat="1" x14ac:dyDescent="0.2">
      <c r="B63" s="47" t="s">
        <v>363</v>
      </c>
      <c r="C63" s="153" t="s">
        <v>457</v>
      </c>
      <c r="D63" s="153" t="s">
        <v>1369</v>
      </c>
      <c r="E63" s="153" t="s">
        <v>1373</v>
      </c>
      <c r="F63" s="153" t="s">
        <v>158</v>
      </c>
      <c r="G63" s="152" t="s">
        <v>1365</v>
      </c>
      <c r="H63" s="153" t="s">
        <v>1362</v>
      </c>
      <c r="I63" s="37" t="s">
        <v>1375</v>
      </c>
      <c r="J63" s="125">
        <v>45974</v>
      </c>
      <c r="K63" s="37" t="s">
        <v>1376</v>
      </c>
      <c r="L63" s="37" t="s">
        <v>1374</v>
      </c>
      <c r="M63" s="37"/>
      <c r="N63" s="37" t="s">
        <v>1562</v>
      </c>
      <c r="O63" s="125">
        <v>45974</v>
      </c>
      <c r="P63" s="37" t="s">
        <v>1617</v>
      </c>
      <c r="Q63" s="38"/>
      <c r="R63" s="37"/>
    </row>
    <row r="64" spans="2:18" s="3" customFormat="1" x14ac:dyDescent="0.2">
      <c r="B64" s="47" t="s">
        <v>363</v>
      </c>
      <c r="C64" s="151" t="s">
        <v>457</v>
      </c>
      <c r="D64" s="151" t="s">
        <v>1369</v>
      </c>
      <c r="E64" s="151" t="s">
        <v>1370</v>
      </c>
      <c r="F64" s="151" t="s">
        <v>158</v>
      </c>
      <c r="G64" s="150" t="s">
        <v>1366</v>
      </c>
      <c r="H64" s="151" t="s">
        <v>1353</v>
      </c>
      <c r="I64" s="37" t="s">
        <v>1375</v>
      </c>
      <c r="J64" s="125">
        <v>45974</v>
      </c>
      <c r="K64" s="37" t="s">
        <v>1376</v>
      </c>
      <c r="L64" s="37" t="s">
        <v>1374</v>
      </c>
      <c r="M64" s="37"/>
      <c r="N64" s="37" t="s">
        <v>1562</v>
      </c>
      <c r="O64" s="125">
        <v>45974</v>
      </c>
      <c r="P64" s="37" t="s">
        <v>1618</v>
      </c>
      <c r="Q64" s="38"/>
      <c r="R64" s="37"/>
    </row>
    <row r="65" spans="2:18" s="3" customFormat="1" x14ac:dyDescent="0.2">
      <c r="B65" s="47" t="s">
        <v>363</v>
      </c>
      <c r="C65" s="153" t="s">
        <v>457</v>
      </c>
      <c r="D65" s="153" t="s">
        <v>1369</v>
      </c>
      <c r="E65" s="153" t="s">
        <v>1370</v>
      </c>
      <c r="F65" s="153" t="s">
        <v>158</v>
      </c>
      <c r="G65" s="152" t="s">
        <v>1367</v>
      </c>
      <c r="H65" s="153" t="s">
        <v>1353</v>
      </c>
      <c r="I65" s="37" t="s">
        <v>1375</v>
      </c>
      <c r="J65" s="125">
        <v>45974</v>
      </c>
      <c r="K65" s="37" t="s">
        <v>1376</v>
      </c>
      <c r="L65" s="37" t="s">
        <v>1374</v>
      </c>
      <c r="M65" s="37"/>
      <c r="N65" s="37" t="s">
        <v>1562</v>
      </c>
      <c r="O65" s="125">
        <v>45974</v>
      </c>
      <c r="P65" s="37" t="s">
        <v>1619</v>
      </c>
      <c r="Q65" s="38"/>
      <c r="R65" s="37"/>
    </row>
    <row r="66" spans="2:18" s="3" customFormat="1" x14ac:dyDescent="0.2">
      <c r="B66" s="47" t="s">
        <v>363</v>
      </c>
      <c r="C66" s="151" t="s">
        <v>457</v>
      </c>
      <c r="D66" s="151" t="s">
        <v>1369</v>
      </c>
      <c r="E66" s="151" t="s">
        <v>1370</v>
      </c>
      <c r="F66" s="151" t="s">
        <v>158</v>
      </c>
      <c r="G66" s="150" t="s">
        <v>1368</v>
      </c>
      <c r="H66" s="151" t="s">
        <v>1353</v>
      </c>
      <c r="I66" s="37" t="s">
        <v>1375</v>
      </c>
      <c r="J66" s="125">
        <v>45974</v>
      </c>
      <c r="K66" s="37" t="s">
        <v>1376</v>
      </c>
      <c r="L66" s="37" t="s">
        <v>1374</v>
      </c>
      <c r="M66" s="37"/>
      <c r="N66" s="37" t="s">
        <v>1562</v>
      </c>
      <c r="O66" s="125">
        <v>45974</v>
      </c>
      <c r="P66" s="37" t="s">
        <v>1620</v>
      </c>
      <c r="Q66" s="38"/>
      <c r="R66" s="37"/>
    </row>
    <row r="67" spans="2:18" s="3" customFormat="1" ht="12.75" x14ac:dyDescent="0.2">
      <c r="B67" s="47"/>
      <c r="C67" s="47"/>
      <c r="D67" s="47"/>
      <c r="E67" s="47"/>
      <c r="F67" s="47"/>
      <c r="G67" s="37"/>
      <c r="H67" s="37"/>
      <c r="I67" s="37"/>
      <c r="J67" s="125"/>
      <c r="K67" s="37"/>
      <c r="L67" s="37"/>
      <c r="M67" s="37"/>
      <c r="N67" s="37"/>
      <c r="O67" s="103"/>
      <c r="P67" s="37"/>
      <c r="Q67" s="38"/>
      <c r="R67" s="37"/>
    </row>
    <row r="68" spans="2:18" s="3" customFormat="1" ht="12.75" x14ac:dyDescent="0.2">
      <c r="B68" s="47"/>
      <c r="C68" s="47"/>
      <c r="D68" s="47"/>
      <c r="E68" s="47"/>
      <c r="F68" s="47"/>
      <c r="G68" s="37"/>
      <c r="H68" s="37"/>
      <c r="I68" s="37"/>
      <c r="J68" s="125"/>
      <c r="K68" s="37"/>
      <c r="L68" s="37"/>
      <c r="M68" s="37"/>
      <c r="N68" s="37"/>
      <c r="O68" s="103"/>
      <c r="P68" s="37"/>
      <c r="Q68" s="38"/>
      <c r="R68" s="37"/>
    </row>
    <row r="69" spans="2:18" s="3" customFormat="1" ht="12.75" x14ac:dyDescent="0.2">
      <c r="B69" s="47"/>
      <c r="C69" s="47"/>
      <c r="D69" s="47"/>
      <c r="E69" s="47"/>
      <c r="F69" s="47"/>
      <c r="G69" s="37"/>
      <c r="H69" s="37"/>
      <c r="I69" s="37"/>
      <c r="J69" s="125"/>
      <c r="K69" s="37"/>
      <c r="L69" s="37"/>
      <c r="M69" s="37"/>
      <c r="N69" s="37"/>
      <c r="O69" s="103"/>
      <c r="P69" s="37"/>
      <c r="Q69" s="38"/>
      <c r="R69" s="37"/>
    </row>
    <row r="70" spans="2:18" s="3" customFormat="1" ht="12.75" x14ac:dyDescent="0.2">
      <c r="B70" s="47"/>
      <c r="C70" s="47"/>
      <c r="D70" s="47"/>
      <c r="E70" s="47"/>
      <c r="F70" s="47"/>
      <c r="G70" s="37"/>
      <c r="H70" s="37"/>
      <c r="I70" s="37"/>
      <c r="J70" s="125"/>
      <c r="K70" s="37"/>
      <c r="L70" s="37"/>
      <c r="M70" s="37"/>
      <c r="N70" s="37"/>
      <c r="O70" s="103"/>
      <c r="P70" s="37"/>
      <c r="Q70" s="38"/>
      <c r="R70" s="37"/>
    </row>
    <row r="71" spans="2:18" s="3" customFormat="1" ht="12.75" x14ac:dyDescent="0.2">
      <c r="B71" s="47"/>
      <c r="C71" s="47"/>
      <c r="D71" s="47"/>
      <c r="E71" s="47"/>
      <c r="F71" s="47"/>
      <c r="G71" s="37"/>
      <c r="H71" s="37"/>
      <c r="I71" s="37"/>
      <c r="J71" s="125"/>
      <c r="K71" s="37"/>
      <c r="L71" s="37"/>
      <c r="M71" s="37"/>
      <c r="N71" s="37"/>
      <c r="O71" s="103"/>
      <c r="P71" s="37"/>
      <c r="Q71" s="38"/>
      <c r="R71" s="37"/>
    </row>
    <row r="72" spans="2:18" s="3" customFormat="1" ht="12.75" x14ac:dyDescent="0.2">
      <c r="B72" s="47"/>
      <c r="C72" s="47"/>
      <c r="D72" s="47"/>
      <c r="E72" s="47"/>
      <c r="F72" s="47"/>
      <c r="G72" s="37"/>
      <c r="H72" s="37"/>
      <c r="I72" s="37"/>
      <c r="J72" s="125"/>
      <c r="K72" s="37"/>
      <c r="L72" s="37"/>
      <c r="M72" s="37"/>
      <c r="N72" s="37"/>
      <c r="O72" s="103"/>
      <c r="P72" s="37"/>
      <c r="Q72" s="38"/>
      <c r="R72" s="37"/>
    </row>
    <row r="73" spans="2:18" s="3" customFormat="1" ht="12.75" x14ac:dyDescent="0.2">
      <c r="B73" s="47"/>
      <c r="C73" s="47"/>
      <c r="D73" s="47"/>
      <c r="E73" s="47"/>
      <c r="F73" s="47"/>
      <c r="G73" s="37"/>
      <c r="H73" s="37"/>
      <c r="I73" s="37"/>
      <c r="J73" s="125"/>
      <c r="K73" s="37"/>
      <c r="L73" s="37"/>
      <c r="M73" s="37"/>
      <c r="N73" s="37"/>
      <c r="O73" s="103"/>
      <c r="P73" s="37"/>
      <c r="Q73" s="38"/>
      <c r="R73" s="37"/>
    </row>
    <row r="74" spans="2:18" s="3" customFormat="1" ht="12.75" x14ac:dyDescent="0.2">
      <c r="B74" s="47"/>
      <c r="C74" s="47"/>
      <c r="D74" s="47"/>
      <c r="E74" s="47"/>
      <c r="F74" s="47"/>
      <c r="G74" s="37"/>
      <c r="H74" s="37"/>
      <c r="I74" s="37"/>
      <c r="J74" s="125"/>
      <c r="K74" s="37"/>
      <c r="L74" s="37"/>
      <c r="M74" s="37"/>
      <c r="N74" s="37"/>
      <c r="O74" s="103"/>
      <c r="P74" s="37"/>
      <c r="Q74" s="38"/>
      <c r="R74" s="37"/>
    </row>
    <row r="75" spans="2:18" s="3" customFormat="1" ht="12.75" x14ac:dyDescent="0.2">
      <c r="B75" s="47"/>
      <c r="C75" s="47"/>
      <c r="D75" s="47"/>
      <c r="E75" s="47"/>
      <c r="F75" s="47"/>
      <c r="G75" s="37"/>
      <c r="H75" s="37"/>
      <c r="I75" s="37"/>
      <c r="J75" s="125"/>
      <c r="K75" s="37"/>
      <c r="L75" s="37"/>
      <c r="M75" s="37"/>
      <c r="N75" s="37"/>
      <c r="O75" s="103"/>
      <c r="P75" s="37"/>
      <c r="Q75" s="38"/>
      <c r="R75" s="37"/>
    </row>
    <row r="76" spans="2:18" s="3" customFormat="1" ht="12.75" x14ac:dyDescent="0.2">
      <c r="B76" s="47"/>
      <c r="C76" s="47"/>
      <c r="D76" s="47"/>
      <c r="E76" s="47"/>
      <c r="F76" s="47"/>
      <c r="G76" s="37"/>
      <c r="H76" s="37"/>
      <c r="I76" s="37"/>
      <c r="J76" s="125"/>
      <c r="K76" s="37"/>
      <c r="L76" s="37"/>
      <c r="M76" s="37"/>
      <c r="N76" s="37"/>
      <c r="O76" s="103"/>
      <c r="P76" s="37"/>
      <c r="Q76" s="38"/>
      <c r="R76" s="37"/>
    </row>
    <row r="77" spans="2:18" s="3" customFormat="1" ht="12.75" x14ac:dyDescent="0.2">
      <c r="B77" s="47"/>
      <c r="C77" s="47"/>
      <c r="D77" s="47"/>
      <c r="E77" s="47"/>
      <c r="F77" s="47"/>
      <c r="G77" s="37"/>
      <c r="H77" s="37"/>
      <c r="I77" s="37"/>
      <c r="J77" s="125"/>
      <c r="K77" s="37"/>
      <c r="L77" s="37"/>
      <c r="M77" s="37"/>
      <c r="N77" s="37"/>
      <c r="O77" s="103"/>
      <c r="P77" s="37"/>
      <c r="Q77" s="38"/>
      <c r="R77" s="37"/>
    </row>
    <row r="78" spans="2:18" s="3" customFormat="1" ht="12.75" x14ac:dyDescent="0.2">
      <c r="B78" s="47"/>
      <c r="C78" s="47"/>
      <c r="D78" s="47"/>
      <c r="E78" s="47"/>
      <c r="F78" s="47"/>
      <c r="G78" s="37"/>
      <c r="H78" s="37"/>
      <c r="I78" s="37"/>
      <c r="J78" s="125"/>
      <c r="K78" s="37"/>
      <c r="L78" s="37"/>
      <c r="M78" s="37"/>
      <c r="N78" s="37"/>
      <c r="O78" s="103"/>
      <c r="P78" s="37"/>
      <c r="Q78" s="38"/>
      <c r="R78" s="37"/>
    </row>
    <row r="79" spans="2:18" s="3" customFormat="1" ht="12.75" x14ac:dyDescent="0.2">
      <c r="B79" s="47"/>
      <c r="C79" s="47"/>
      <c r="D79" s="47"/>
      <c r="E79" s="47"/>
      <c r="F79" s="47"/>
      <c r="G79" s="37"/>
      <c r="H79" s="37"/>
      <c r="I79" s="37"/>
      <c r="J79" s="125"/>
      <c r="K79" s="37"/>
      <c r="L79" s="37"/>
      <c r="M79" s="37"/>
      <c r="N79" s="37"/>
      <c r="O79" s="103"/>
      <c r="P79" s="37"/>
      <c r="Q79" s="38"/>
      <c r="R79" s="37"/>
    </row>
    <row r="80" spans="2:18" s="3" customFormat="1" ht="12.75" x14ac:dyDescent="0.2">
      <c r="B80" s="47"/>
      <c r="C80" s="47"/>
      <c r="D80" s="47"/>
      <c r="E80" s="47"/>
      <c r="F80" s="47"/>
      <c r="G80" s="37"/>
      <c r="H80" s="37"/>
      <c r="I80" s="37"/>
      <c r="J80" s="125"/>
      <c r="K80" s="37"/>
      <c r="L80" s="37"/>
      <c r="M80" s="37"/>
      <c r="N80" s="37"/>
      <c r="O80" s="103"/>
      <c r="P80" s="37"/>
      <c r="Q80" s="38"/>
      <c r="R80" s="37"/>
    </row>
    <row r="81" spans="2:18" s="3" customFormat="1" ht="12.75" x14ac:dyDescent="0.2">
      <c r="B81" s="47"/>
      <c r="C81" s="47"/>
      <c r="D81" s="47"/>
      <c r="E81" s="47"/>
      <c r="F81" s="47"/>
      <c r="G81" s="37"/>
      <c r="H81" s="37"/>
      <c r="I81" s="37"/>
      <c r="J81" s="125"/>
      <c r="K81" s="37"/>
      <c r="L81" s="37"/>
      <c r="M81" s="37"/>
      <c r="N81" s="37"/>
      <c r="O81" s="103"/>
      <c r="P81" s="37"/>
      <c r="Q81" s="38"/>
      <c r="R81" s="37"/>
    </row>
    <row r="82" spans="2:18" s="3" customFormat="1" ht="12.75" x14ac:dyDescent="0.2">
      <c r="B82" s="47"/>
      <c r="C82" s="47"/>
      <c r="D82" s="47"/>
      <c r="E82" s="47"/>
      <c r="F82" s="47"/>
      <c r="G82" s="37"/>
      <c r="H82" s="37"/>
      <c r="I82" s="37"/>
      <c r="J82" s="125"/>
      <c r="K82" s="37"/>
      <c r="L82" s="37"/>
      <c r="M82" s="37"/>
      <c r="N82" s="37"/>
      <c r="O82" s="103"/>
      <c r="P82" s="37"/>
      <c r="Q82" s="38"/>
      <c r="R82" s="37"/>
    </row>
    <row r="83" spans="2:18" s="3" customFormat="1" ht="12.75" x14ac:dyDescent="0.2">
      <c r="B83" s="47"/>
      <c r="C83" s="47"/>
      <c r="D83" s="47"/>
      <c r="E83" s="47"/>
      <c r="F83" s="47"/>
      <c r="G83" s="37"/>
      <c r="H83" s="37"/>
      <c r="I83" s="37"/>
      <c r="J83" s="125"/>
      <c r="K83" s="37"/>
      <c r="L83" s="37"/>
      <c r="M83" s="37"/>
      <c r="N83" s="37"/>
      <c r="O83" s="103"/>
      <c r="P83" s="37"/>
      <c r="Q83" s="38"/>
      <c r="R83" s="37"/>
    </row>
    <row r="84" spans="2:18" s="3" customFormat="1" ht="12.75" x14ac:dyDescent="0.2">
      <c r="B84" s="47"/>
      <c r="C84" s="47"/>
      <c r="D84" s="47"/>
      <c r="E84" s="47"/>
      <c r="F84" s="47"/>
      <c r="G84" s="37"/>
      <c r="H84" s="37"/>
      <c r="I84" s="37"/>
      <c r="J84" s="125"/>
      <c r="K84" s="37"/>
      <c r="L84" s="37"/>
      <c r="M84" s="37"/>
      <c r="N84" s="37"/>
      <c r="O84" s="103"/>
      <c r="P84" s="37"/>
      <c r="Q84" s="38"/>
      <c r="R84" s="37"/>
    </row>
    <row r="85" spans="2:18" s="3" customFormat="1" ht="12.75" x14ac:dyDescent="0.2">
      <c r="B85" s="47"/>
      <c r="C85" s="47"/>
      <c r="D85" s="47"/>
      <c r="E85" s="47"/>
      <c r="F85" s="47"/>
      <c r="G85" s="37"/>
      <c r="H85" s="37"/>
      <c r="I85" s="37"/>
      <c r="J85" s="125"/>
      <c r="K85" s="37"/>
      <c r="L85" s="37"/>
      <c r="M85" s="37"/>
      <c r="N85" s="37"/>
      <c r="O85" s="103"/>
      <c r="P85" s="37"/>
      <c r="Q85" s="38"/>
      <c r="R85" s="37"/>
    </row>
    <row r="86" spans="2:18" s="3" customFormat="1" ht="12.75" x14ac:dyDescent="0.2">
      <c r="B86" s="47"/>
      <c r="C86" s="47"/>
      <c r="D86" s="47"/>
      <c r="E86" s="47"/>
      <c r="F86" s="47"/>
      <c r="G86" s="37"/>
      <c r="H86" s="37"/>
      <c r="I86" s="37"/>
      <c r="J86" s="125"/>
      <c r="K86" s="37"/>
      <c r="L86" s="37"/>
      <c r="M86" s="37"/>
      <c r="N86" s="37"/>
      <c r="O86" s="103"/>
      <c r="P86" s="37"/>
      <c r="Q86" s="38"/>
      <c r="R86" s="37"/>
    </row>
    <row r="87" spans="2:18" s="3" customFormat="1" ht="12.75" x14ac:dyDescent="0.2">
      <c r="B87" s="47"/>
      <c r="C87" s="47"/>
      <c r="D87" s="47"/>
      <c r="E87" s="47"/>
      <c r="F87" s="47"/>
      <c r="G87" s="37"/>
      <c r="H87" s="37"/>
      <c r="I87" s="37"/>
      <c r="J87" s="125"/>
      <c r="K87" s="37"/>
      <c r="L87" s="37"/>
      <c r="M87" s="37"/>
      <c r="N87" s="37"/>
      <c r="O87" s="103"/>
      <c r="P87" s="37"/>
      <c r="Q87" s="38"/>
      <c r="R87" s="37"/>
    </row>
    <row r="88" spans="2:18" s="3" customFormat="1" ht="12.75" x14ac:dyDescent="0.2">
      <c r="B88" s="47"/>
      <c r="C88" s="47"/>
      <c r="D88" s="47"/>
      <c r="E88" s="47"/>
      <c r="F88" s="47"/>
      <c r="G88" s="37"/>
      <c r="H88" s="37"/>
      <c r="I88" s="37"/>
      <c r="J88" s="125"/>
      <c r="K88" s="37"/>
      <c r="L88" s="37"/>
      <c r="M88" s="37"/>
      <c r="N88" s="37"/>
      <c r="O88" s="103"/>
      <c r="P88" s="37"/>
      <c r="Q88" s="38"/>
      <c r="R88" s="37"/>
    </row>
    <row r="89" spans="2:18" s="3" customFormat="1" ht="12.75" x14ac:dyDescent="0.2">
      <c r="B89" s="47"/>
      <c r="C89" s="47"/>
      <c r="D89" s="47"/>
      <c r="E89" s="47"/>
      <c r="F89" s="47"/>
      <c r="G89" s="37"/>
      <c r="H89" s="37"/>
      <c r="I89" s="37"/>
      <c r="J89" s="125"/>
      <c r="K89" s="37"/>
      <c r="L89" s="37"/>
      <c r="M89" s="37"/>
      <c r="N89" s="37"/>
      <c r="O89" s="103"/>
      <c r="P89" s="37"/>
      <c r="Q89" s="38"/>
      <c r="R89" s="37"/>
    </row>
    <row r="90" spans="2:18" s="3" customFormat="1" ht="12.75" x14ac:dyDescent="0.2">
      <c r="B90" s="47"/>
      <c r="C90" s="47"/>
      <c r="D90" s="47"/>
      <c r="E90" s="47"/>
      <c r="F90" s="47"/>
      <c r="G90" s="37"/>
      <c r="H90" s="37"/>
      <c r="I90" s="37"/>
      <c r="J90" s="125"/>
      <c r="K90" s="37"/>
      <c r="L90" s="37"/>
      <c r="M90" s="37"/>
      <c r="N90" s="37"/>
      <c r="O90" s="103"/>
      <c r="P90" s="37"/>
      <c r="Q90" s="38"/>
      <c r="R90" s="37"/>
    </row>
    <row r="91" spans="2:18" s="3" customFormat="1" ht="12.75" x14ac:dyDescent="0.2">
      <c r="B91" s="47"/>
      <c r="C91" s="47"/>
      <c r="D91" s="47"/>
      <c r="E91" s="47"/>
      <c r="F91" s="47"/>
      <c r="G91" s="37"/>
      <c r="H91" s="37"/>
      <c r="I91" s="37"/>
      <c r="J91" s="125"/>
      <c r="K91" s="37"/>
      <c r="L91" s="37"/>
      <c r="M91" s="37"/>
      <c r="N91" s="37"/>
      <c r="O91" s="103"/>
      <c r="P91" s="37"/>
      <c r="Q91" s="38"/>
      <c r="R91" s="37"/>
    </row>
    <row r="92" spans="2:18" s="3" customFormat="1" ht="12.75" x14ac:dyDescent="0.2">
      <c r="B92" s="47"/>
      <c r="C92" s="47"/>
      <c r="D92" s="47"/>
      <c r="E92" s="47"/>
      <c r="F92" s="47"/>
      <c r="G92" s="37"/>
      <c r="H92" s="37"/>
      <c r="I92" s="37"/>
      <c r="J92" s="125"/>
      <c r="K92" s="37"/>
      <c r="L92" s="37"/>
      <c r="M92" s="37"/>
      <c r="N92" s="37"/>
      <c r="O92" s="103"/>
      <c r="P92" s="37"/>
      <c r="Q92" s="38"/>
      <c r="R92" s="37"/>
    </row>
    <row r="93" spans="2:18" s="3" customFormat="1" ht="12.75" x14ac:dyDescent="0.2">
      <c r="B93" s="47"/>
      <c r="C93" s="47"/>
      <c r="D93" s="47"/>
      <c r="E93" s="47"/>
      <c r="F93" s="47"/>
      <c r="G93" s="37"/>
      <c r="H93" s="37"/>
      <c r="I93" s="37"/>
      <c r="J93" s="125"/>
      <c r="K93" s="37"/>
      <c r="L93" s="37"/>
      <c r="M93" s="37"/>
      <c r="N93" s="37"/>
      <c r="O93" s="103"/>
      <c r="P93" s="37"/>
      <c r="Q93" s="38"/>
      <c r="R93" s="37"/>
    </row>
    <row r="94" spans="2:18" s="3" customFormat="1" ht="12.75" x14ac:dyDescent="0.2">
      <c r="B94" s="47"/>
      <c r="C94" s="47"/>
      <c r="D94" s="47"/>
      <c r="E94" s="47"/>
      <c r="F94" s="47"/>
      <c r="G94" s="37"/>
      <c r="H94" s="37"/>
      <c r="I94" s="37"/>
      <c r="J94" s="125"/>
      <c r="K94" s="37"/>
      <c r="L94" s="37"/>
      <c r="M94" s="37"/>
      <c r="N94" s="37"/>
      <c r="O94" s="103"/>
      <c r="P94" s="37"/>
      <c r="Q94" s="38"/>
      <c r="R94" s="37"/>
    </row>
    <row r="95" spans="2:18" s="3" customFormat="1" ht="12.75" x14ac:dyDescent="0.2">
      <c r="B95" s="47"/>
      <c r="C95" s="47"/>
      <c r="D95" s="47"/>
      <c r="E95" s="47"/>
      <c r="F95" s="47"/>
      <c r="G95" s="37"/>
      <c r="H95" s="37"/>
      <c r="I95" s="37"/>
      <c r="J95" s="125"/>
      <c r="K95" s="37"/>
      <c r="L95" s="37"/>
      <c r="M95" s="37"/>
      <c r="N95" s="37"/>
      <c r="O95" s="103"/>
      <c r="P95" s="37"/>
      <c r="Q95" s="38"/>
      <c r="R95" s="37"/>
    </row>
    <row r="96" spans="2:18" s="3" customFormat="1" ht="12.75" x14ac:dyDescent="0.2">
      <c r="B96" s="47"/>
      <c r="C96" s="47"/>
      <c r="D96" s="47"/>
      <c r="E96" s="47"/>
      <c r="F96" s="47"/>
      <c r="G96" s="37"/>
      <c r="H96" s="37"/>
      <c r="I96" s="37"/>
      <c r="J96" s="125"/>
      <c r="K96" s="37"/>
      <c r="L96" s="37"/>
      <c r="M96" s="37"/>
      <c r="N96" s="37"/>
      <c r="O96" s="103"/>
      <c r="P96" s="37"/>
      <c r="Q96" s="38"/>
      <c r="R96" s="37"/>
    </row>
    <row r="97" spans="2:18" s="3" customFormat="1" ht="12.75" x14ac:dyDescent="0.2">
      <c r="B97" s="47"/>
      <c r="C97" s="47"/>
      <c r="D97" s="47"/>
      <c r="E97" s="47"/>
      <c r="F97" s="47"/>
      <c r="G97" s="37"/>
      <c r="H97" s="37"/>
      <c r="I97" s="37"/>
      <c r="J97" s="125"/>
      <c r="K97" s="37"/>
      <c r="L97" s="37"/>
      <c r="M97" s="37"/>
      <c r="N97" s="37"/>
      <c r="O97" s="103"/>
      <c r="P97" s="37"/>
      <c r="Q97" s="38"/>
      <c r="R97" s="37"/>
    </row>
    <row r="98" spans="2:18" s="3" customFormat="1" ht="12.75" x14ac:dyDescent="0.2">
      <c r="B98" s="47"/>
      <c r="C98" s="47"/>
      <c r="D98" s="47"/>
      <c r="E98" s="47"/>
      <c r="F98" s="47"/>
      <c r="G98" s="37"/>
      <c r="H98" s="37"/>
      <c r="I98" s="37"/>
      <c r="J98" s="125"/>
      <c r="K98" s="37"/>
      <c r="L98" s="37"/>
      <c r="M98" s="37"/>
      <c r="N98" s="37"/>
      <c r="O98" s="103"/>
      <c r="P98" s="37"/>
      <c r="Q98" s="38"/>
      <c r="R98" s="37"/>
    </row>
    <row r="99" spans="2:18" s="3" customFormat="1" ht="12.75" x14ac:dyDescent="0.2">
      <c r="B99" s="47"/>
      <c r="C99" s="47"/>
      <c r="D99" s="47"/>
      <c r="E99" s="47"/>
      <c r="F99" s="47"/>
      <c r="G99" s="37"/>
      <c r="H99" s="37"/>
      <c r="I99" s="37"/>
      <c r="J99" s="125"/>
      <c r="K99" s="37"/>
      <c r="L99" s="37"/>
      <c r="M99" s="37"/>
      <c r="N99" s="37"/>
      <c r="O99" s="103"/>
      <c r="P99" s="37"/>
      <c r="Q99" s="38"/>
      <c r="R99" s="37"/>
    </row>
    <row r="100" spans="2:18" s="3" customFormat="1" ht="12.75" x14ac:dyDescent="0.2">
      <c r="B100" s="47"/>
      <c r="C100" s="47"/>
      <c r="D100" s="47"/>
      <c r="E100" s="47"/>
      <c r="F100" s="47"/>
      <c r="G100" s="37"/>
      <c r="H100" s="37"/>
      <c r="I100" s="37"/>
      <c r="J100" s="125"/>
      <c r="K100" s="37"/>
      <c r="L100" s="37"/>
      <c r="M100" s="37"/>
      <c r="N100" s="37"/>
      <c r="O100" s="103"/>
      <c r="P100" s="37"/>
      <c r="Q100" s="38"/>
      <c r="R100" s="37"/>
    </row>
    <row r="101" spans="2:18" s="3" customFormat="1" ht="12.75" x14ac:dyDescent="0.2">
      <c r="B101" s="47"/>
      <c r="C101" s="47"/>
      <c r="D101" s="47"/>
      <c r="E101" s="47"/>
      <c r="F101" s="47"/>
      <c r="G101" s="37"/>
      <c r="H101" s="37"/>
      <c r="I101" s="37"/>
      <c r="J101" s="125"/>
      <c r="K101" s="37"/>
      <c r="L101" s="37"/>
      <c r="M101" s="37"/>
      <c r="N101" s="37"/>
      <c r="O101" s="103"/>
      <c r="P101" s="37"/>
      <c r="Q101" s="38"/>
      <c r="R101" s="37"/>
    </row>
    <row r="102" spans="2:18" s="3" customFormat="1" ht="12.75" x14ac:dyDescent="0.2">
      <c r="B102" s="47"/>
      <c r="C102" s="47"/>
      <c r="D102" s="47"/>
      <c r="E102" s="47"/>
      <c r="F102" s="47"/>
      <c r="G102" s="37"/>
      <c r="H102" s="37"/>
      <c r="I102" s="37"/>
      <c r="J102" s="125"/>
      <c r="K102" s="37"/>
      <c r="L102" s="37"/>
      <c r="M102" s="37"/>
      <c r="N102" s="37"/>
      <c r="O102" s="103"/>
      <c r="P102" s="37"/>
      <c r="Q102" s="38"/>
      <c r="R102" s="37"/>
    </row>
    <row r="103" spans="2:18" s="3" customFormat="1" ht="12.75" x14ac:dyDescent="0.2">
      <c r="B103" s="47"/>
      <c r="C103" s="47"/>
      <c r="D103" s="47"/>
      <c r="E103" s="47"/>
      <c r="F103" s="47"/>
      <c r="G103" s="37"/>
      <c r="H103" s="37"/>
      <c r="I103" s="37"/>
      <c r="J103" s="125"/>
      <c r="K103" s="37"/>
      <c r="L103" s="37"/>
      <c r="M103" s="37"/>
      <c r="N103" s="37"/>
      <c r="O103" s="103"/>
      <c r="P103" s="37"/>
      <c r="Q103" s="38"/>
      <c r="R103" s="37"/>
    </row>
    <row r="104" spans="2:18" s="3" customFormat="1" ht="12.75" x14ac:dyDescent="0.2">
      <c r="B104" s="47"/>
      <c r="C104" s="47"/>
      <c r="D104" s="47"/>
      <c r="E104" s="47"/>
      <c r="F104" s="47"/>
      <c r="G104" s="37"/>
      <c r="H104" s="37"/>
      <c r="I104" s="37"/>
      <c r="J104" s="125"/>
      <c r="K104" s="37"/>
      <c r="L104" s="37"/>
      <c r="M104" s="37"/>
      <c r="N104" s="37"/>
      <c r="O104" s="103"/>
      <c r="P104" s="37"/>
      <c r="Q104" s="38"/>
      <c r="R104" s="37"/>
    </row>
    <row r="105" spans="2:18" s="3" customFormat="1" ht="12.75" x14ac:dyDescent="0.2">
      <c r="B105" s="47"/>
      <c r="C105" s="47"/>
      <c r="D105" s="47"/>
      <c r="E105" s="47"/>
      <c r="F105" s="47"/>
      <c r="G105" s="37"/>
      <c r="H105" s="37"/>
      <c r="I105" s="37"/>
      <c r="J105" s="125"/>
      <c r="K105" s="37"/>
      <c r="L105" s="37"/>
      <c r="M105" s="37"/>
      <c r="N105" s="37"/>
      <c r="O105" s="103"/>
      <c r="P105" s="37"/>
      <c r="Q105" s="38"/>
      <c r="R105" s="37"/>
    </row>
    <row r="106" spans="2:18" s="3" customFormat="1" ht="12.75" x14ac:dyDescent="0.2">
      <c r="B106" s="47"/>
      <c r="C106" s="47"/>
      <c r="D106" s="47"/>
      <c r="E106" s="47"/>
      <c r="F106" s="47"/>
      <c r="G106" s="37"/>
      <c r="H106" s="37"/>
      <c r="I106" s="37"/>
      <c r="J106" s="125"/>
      <c r="K106" s="37"/>
      <c r="L106" s="37"/>
      <c r="M106" s="37"/>
      <c r="N106" s="37"/>
      <c r="O106" s="103"/>
      <c r="P106" s="37"/>
      <c r="Q106" s="38"/>
      <c r="R106" s="37"/>
    </row>
    <row r="107" spans="2:18" s="3" customFormat="1" ht="12.75" x14ac:dyDescent="0.2">
      <c r="B107" s="47"/>
      <c r="C107" s="47"/>
      <c r="D107" s="47"/>
      <c r="E107" s="47"/>
      <c r="F107" s="47"/>
      <c r="G107" s="37"/>
      <c r="H107" s="37"/>
      <c r="I107" s="37"/>
      <c r="J107" s="125"/>
      <c r="K107" s="37"/>
      <c r="L107" s="37"/>
      <c r="M107" s="37"/>
      <c r="N107" s="37"/>
      <c r="O107" s="103"/>
      <c r="P107" s="37"/>
      <c r="Q107" s="38"/>
      <c r="R107" s="37"/>
    </row>
    <row r="108" spans="2:18" s="3" customFormat="1" ht="12.75" x14ac:dyDescent="0.2">
      <c r="B108" s="47"/>
      <c r="C108" s="47"/>
      <c r="D108" s="47"/>
      <c r="E108" s="47"/>
      <c r="F108" s="47"/>
      <c r="G108" s="37"/>
      <c r="H108" s="37"/>
      <c r="I108" s="37"/>
      <c r="J108" s="125"/>
      <c r="K108" s="37"/>
      <c r="L108" s="37"/>
      <c r="M108" s="37"/>
      <c r="N108" s="37"/>
      <c r="O108" s="103"/>
      <c r="P108" s="37"/>
      <c r="Q108" s="38"/>
      <c r="R108" s="37"/>
    </row>
    <row r="109" spans="2:18" s="3" customFormat="1" ht="12.75" x14ac:dyDescent="0.2">
      <c r="B109" s="47"/>
      <c r="C109" s="47"/>
      <c r="D109" s="47"/>
      <c r="E109" s="47"/>
      <c r="F109" s="47"/>
      <c r="G109" s="37"/>
      <c r="H109" s="37"/>
      <c r="I109" s="37"/>
      <c r="J109" s="125"/>
      <c r="K109" s="37"/>
      <c r="L109" s="37"/>
      <c r="M109" s="37"/>
      <c r="N109" s="37"/>
      <c r="O109" s="103"/>
      <c r="P109" s="37"/>
      <c r="Q109" s="38"/>
      <c r="R109" s="37"/>
    </row>
    <row r="110" spans="2:18" s="3" customFormat="1" ht="12.75" x14ac:dyDescent="0.2">
      <c r="B110" s="47"/>
      <c r="C110" s="47"/>
      <c r="D110" s="47"/>
      <c r="E110" s="47"/>
      <c r="F110" s="47"/>
      <c r="G110" s="37"/>
      <c r="H110" s="37"/>
      <c r="I110" s="37"/>
      <c r="J110" s="125"/>
      <c r="K110" s="37"/>
      <c r="L110" s="37"/>
      <c r="M110" s="37"/>
      <c r="N110" s="37"/>
      <c r="O110" s="103"/>
      <c r="P110" s="37"/>
      <c r="Q110" s="38"/>
      <c r="R110" s="37"/>
    </row>
    <row r="111" spans="2:18" s="3" customFormat="1" ht="12.75" x14ac:dyDescent="0.2">
      <c r="B111" s="47"/>
      <c r="C111" s="47"/>
      <c r="D111" s="47"/>
      <c r="E111" s="47"/>
      <c r="F111" s="47"/>
      <c r="G111" s="37"/>
      <c r="H111" s="37"/>
      <c r="I111" s="37"/>
      <c r="J111" s="125"/>
      <c r="K111" s="37"/>
      <c r="L111" s="37"/>
      <c r="M111" s="37"/>
      <c r="N111" s="37"/>
      <c r="O111" s="103"/>
      <c r="P111" s="37"/>
      <c r="Q111" s="38"/>
      <c r="R111" s="37"/>
    </row>
    <row r="112" spans="2:18" s="3" customFormat="1" ht="12.75" x14ac:dyDescent="0.2">
      <c r="B112" s="47"/>
      <c r="C112" s="47"/>
      <c r="D112" s="47"/>
      <c r="E112" s="47"/>
      <c r="F112" s="47"/>
      <c r="G112" s="37"/>
      <c r="H112" s="37"/>
      <c r="I112" s="37"/>
      <c r="J112" s="125"/>
      <c r="K112" s="37"/>
      <c r="L112" s="37"/>
      <c r="M112" s="37"/>
      <c r="N112" s="37"/>
      <c r="O112" s="103"/>
      <c r="P112" s="37"/>
      <c r="Q112" s="38"/>
      <c r="R112" s="37"/>
    </row>
    <row r="113" spans="2:18" s="3" customFormat="1" ht="12.75" x14ac:dyDescent="0.2">
      <c r="B113" s="47"/>
      <c r="C113" s="47"/>
      <c r="D113" s="47"/>
      <c r="E113" s="47"/>
      <c r="F113" s="47"/>
      <c r="G113" s="37"/>
      <c r="H113" s="37"/>
      <c r="I113" s="37"/>
      <c r="J113" s="125"/>
      <c r="K113" s="37"/>
      <c r="L113" s="37"/>
      <c r="M113" s="37"/>
      <c r="N113" s="37"/>
      <c r="O113" s="103"/>
      <c r="P113" s="37"/>
      <c r="Q113" s="38"/>
      <c r="R113" s="37"/>
    </row>
    <row r="114" spans="2:18" s="3" customFormat="1" ht="12.75" x14ac:dyDescent="0.2">
      <c r="B114" s="47"/>
      <c r="C114" s="47"/>
      <c r="D114" s="47"/>
      <c r="E114" s="47"/>
      <c r="F114" s="47"/>
      <c r="G114" s="37"/>
      <c r="H114" s="37"/>
      <c r="I114" s="37"/>
      <c r="J114" s="125"/>
      <c r="K114" s="37"/>
      <c r="L114" s="37"/>
      <c r="M114" s="37"/>
      <c r="N114" s="37"/>
      <c r="O114" s="103"/>
      <c r="P114" s="37"/>
      <c r="Q114" s="38"/>
      <c r="R114" s="37"/>
    </row>
    <row r="115" spans="2:18" s="3" customFormat="1" ht="12.75" x14ac:dyDescent="0.2">
      <c r="B115" s="47"/>
      <c r="C115" s="47"/>
      <c r="D115" s="47"/>
      <c r="E115" s="47"/>
      <c r="F115" s="47"/>
      <c r="G115" s="37"/>
      <c r="H115" s="37"/>
      <c r="I115" s="37"/>
      <c r="J115" s="125"/>
      <c r="K115" s="37"/>
      <c r="L115" s="37"/>
      <c r="M115" s="37"/>
      <c r="N115" s="37"/>
      <c r="O115" s="103"/>
      <c r="P115" s="37"/>
      <c r="Q115" s="38"/>
      <c r="R115" s="37"/>
    </row>
    <row r="116" spans="2:18" s="3" customFormat="1" ht="12.75" x14ac:dyDescent="0.2">
      <c r="B116" s="47"/>
      <c r="C116" s="47"/>
      <c r="D116" s="47"/>
      <c r="E116" s="47"/>
      <c r="F116" s="47"/>
      <c r="G116" s="37"/>
      <c r="H116" s="37"/>
      <c r="I116" s="37"/>
      <c r="J116" s="125"/>
      <c r="K116" s="37"/>
      <c r="L116" s="37"/>
      <c r="M116" s="37"/>
      <c r="N116" s="37"/>
      <c r="O116" s="103"/>
      <c r="P116" s="37"/>
      <c r="Q116" s="38"/>
      <c r="R116" s="37"/>
    </row>
    <row r="117" spans="2:18" s="3" customFormat="1" ht="12.75" x14ac:dyDescent="0.2">
      <c r="B117" s="47"/>
      <c r="C117" s="47"/>
      <c r="D117" s="47"/>
      <c r="E117" s="47"/>
      <c r="F117" s="47"/>
      <c r="G117" s="37"/>
      <c r="H117" s="37"/>
      <c r="I117" s="37"/>
      <c r="J117" s="125"/>
      <c r="K117" s="37"/>
      <c r="L117" s="37"/>
      <c r="M117" s="37"/>
      <c r="N117" s="37"/>
      <c r="O117" s="103"/>
      <c r="P117" s="37"/>
      <c r="Q117" s="38"/>
      <c r="R117" s="37"/>
    </row>
    <row r="118" spans="2:18" s="3" customFormat="1" ht="12.75" x14ac:dyDescent="0.2">
      <c r="B118" s="47"/>
      <c r="C118" s="47"/>
      <c r="D118" s="47"/>
      <c r="E118" s="47"/>
      <c r="F118" s="47"/>
      <c r="G118" s="37"/>
      <c r="H118" s="37"/>
      <c r="I118" s="37"/>
      <c r="J118" s="125"/>
      <c r="K118" s="37"/>
      <c r="L118" s="37"/>
      <c r="M118" s="37"/>
      <c r="N118" s="37"/>
      <c r="O118" s="103"/>
      <c r="P118" s="37"/>
      <c r="Q118" s="38"/>
      <c r="R118" s="37"/>
    </row>
    <row r="119" spans="2:18" s="3" customFormat="1" ht="12.75" x14ac:dyDescent="0.2">
      <c r="B119" s="47"/>
      <c r="C119" s="47"/>
      <c r="D119" s="47"/>
      <c r="E119" s="47"/>
      <c r="F119" s="47"/>
      <c r="G119" s="37"/>
      <c r="H119" s="37"/>
      <c r="I119" s="37"/>
      <c r="J119" s="125"/>
      <c r="K119" s="37"/>
      <c r="L119" s="37"/>
      <c r="M119" s="37"/>
      <c r="N119" s="37"/>
      <c r="O119" s="103"/>
      <c r="P119" s="37"/>
      <c r="Q119" s="38"/>
      <c r="R119" s="37"/>
    </row>
    <row r="120" spans="2:18" s="3" customFormat="1" ht="12.75" x14ac:dyDescent="0.2">
      <c r="B120" s="47"/>
      <c r="C120" s="47"/>
      <c r="D120" s="47"/>
      <c r="E120" s="47"/>
      <c r="F120" s="47"/>
      <c r="G120" s="37"/>
      <c r="H120" s="37"/>
      <c r="I120" s="37"/>
      <c r="J120" s="125"/>
      <c r="K120" s="37"/>
      <c r="L120" s="37"/>
      <c r="M120" s="37"/>
      <c r="N120" s="37"/>
      <c r="O120" s="103"/>
      <c r="P120" s="37"/>
      <c r="Q120" s="38"/>
      <c r="R120" s="37"/>
    </row>
    <row r="121" spans="2:18" s="3" customFormat="1" ht="12.75" x14ac:dyDescent="0.2">
      <c r="B121" s="47"/>
      <c r="C121" s="47"/>
      <c r="D121" s="47"/>
      <c r="E121" s="47"/>
      <c r="F121" s="47"/>
      <c r="G121" s="37"/>
      <c r="H121" s="37"/>
      <c r="I121" s="37"/>
      <c r="J121" s="125"/>
      <c r="K121" s="37"/>
      <c r="L121" s="37"/>
      <c r="M121" s="37"/>
      <c r="N121" s="37"/>
      <c r="O121" s="103"/>
      <c r="P121" s="37"/>
      <c r="Q121" s="38"/>
      <c r="R121" s="37"/>
    </row>
    <row r="122" spans="2:18" s="3" customFormat="1" ht="12.75" x14ac:dyDescent="0.2">
      <c r="B122" s="47"/>
      <c r="C122" s="47"/>
      <c r="D122" s="47"/>
      <c r="E122" s="47"/>
      <c r="F122" s="47"/>
      <c r="G122" s="37"/>
      <c r="H122" s="37"/>
      <c r="I122" s="37"/>
      <c r="J122" s="125"/>
      <c r="K122" s="37"/>
      <c r="L122" s="37"/>
      <c r="M122" s="37"/>
      <c r="N122" s="37"/>
      <c r="O122" s="103"/>
      <c r="P122" s="37"/>
      <c r="Q122" s="38"/>
      <c r="R122" s="37"/>
    </row>
    <row r="123" spans="2:18" s="3" customFormat="1" ht="12.75" x14ac:dyDescent="0.2">
      <c r="B123" s="47"/>
      <c r="C123" s="47"/>
      <c r="D123" s="47"/>
      <c r="E123" s="47"/>
      <c r="F123" s="47"/>
      <c r="G123" s="37"/>
      <c r="H123" s="37"/>
      <c r="I123" s="37"/>
      <c r="J123" s="125"/>
      <c r="K123" s="37"/>
      <c r="L123" s="37"/>
      <c r="M123" s="37"/>
      <c r="N123" s="37"/>
      <c r="O123" s="103"/>
      <c r="P123" s="37"/>
      <c r="Q123" s="38"/>
      <c r="R123" s="37"/>
    </row>
    <row r="124" spans="2:18" s="3" customFormat="1" ht="12.75" x14ac:dyDescent="0.2">
      <c r="B124" s="47"/>
      <c r="C124" s="47"/>
      <c r="D124" s="47"/>
      <c r="E124" s="47"/>
      <c r="F124" s="47"/>
      <c r="G124" s="37"/>
      <c r="H124" s="37"/>
      <c r="I124" s="37"/>
      <c r="J124" s="125"/>
      <c r="K124" s="37"/>
      <c r="L124" s="37"/>
      <c r="M124" s="37"/>
      <c r="N124" s="37"/>
      <c r="O124" s="103"/>
      <c r="P124" s="37"/>
      <c r="Q124" s="38"/>
      <c r="R124" s="37"/>
    </row>
    <row r="125" spans="2:18" s="3" customFormat="1" ht="12.75" x14ac:dyDescent="0.2">
      <c r="B125" s="47"/>
      <c r="C125" s="47"/>
      <c r="D125" s="47"/>
      <c r="E125" s="47"/>
      <c r="F125" s="47"/>
      <c r="G125" s="37"/>
      <c r="H125" s="37"/>
      <c r="I125" s="37"/>
      <c r="J125" s="125"/>
      <c r="K125" s="37"/>
      <c r="L125" s="37"/>
      <c r="M125" s="37"/>
      <c r="N125" s="37"/>
      <c r="O125" s="103"/>
      <c r="P125" s="37"/>
      <c r="Q125" s="38"/>
      <c r="R125" s="37"/>
    </row>
    <row r="126" spans="2:18" s="3" customFormat="1" ht="12.75" x14ac:dyDescent="0.2">
      <c r="B126" s="47"/>
      <c r="C126" s="47"/>
      <c r="D126" s="47"/>
      <c r="E126" s="47"/>
      <c r="F126" s="47"/>
      <c r="G126" s="37"/>
      <c r="H126" s="37"/>
      <c r="I126" s="37"/>
      <c r="J126" s="125"/>
      <c r="K126" s="37"/>
      <c r="L126" s="37"/>
      <c r="M126" s="37"/>
      <c r="N126" s="37"/>
      <c r="O126" s="103"/>
      <c r="P126" s="37"/>
      <c r="Q126" s="38"/>
      <c r="R126" s="37"/>
    </row>
    <row r="127" spans="2:18" s="3" customFormat="1" ht="12.75" x14ac:dyDescent="0.2">
      <c r="B127" s="47"/>
      <c r="C127" s="47"/>
      <c r="D127" s="47"/>
      <c r="E127" s="47"/>
      <c r="F127" s="47"/>
      <c r="G127" s="37"/>
      <c r="H127" s="37"/>
      <c r="I127" s="37"/>
      <c r="J127" s="125"/>
      <c r="K127" s="37"/>
      <c r="L127" s="37"/>
      <c r="M127" s="37"/>
      <c r="N127" s="37"/>
      <c r="O127" s="103"/>
      <c r="P127" s="37"/>
      <c r="Q127" s="38"/>
      <c r="R127" s="37"/>
    </row>
    <row r="128" spans="2:18" s="3" customFormat="1" ht="12.75" x14ac:dyDescent="0.2">
      <c r="B128" s="47"/>
      <c r="C128" s="47"/>
      <c r="D128" s="47"/>
      <c r="E128" s="47"/>
      <c r="F128" s="47"/>
      <c r="G128" s="37"/>
      <c r="H128" s="37"/>
      <c r="I128" s="37"/>
      <c r="J128" s="125"/>
      <c r="K128" s="37"/>
      <c r="L128" s="37"/>
      <c r="M128" s="37"/>
      <c r="N128" s="37"/>
      <c r="O128" s="103"/>
      <c r="P128" s="37"/>
      <c r="Q128" s="38"/>
      <c r="R128" s="37"/>
    </row>
    <row r="129" spans="2:18" s="3" customFormat="1" ht="12.75" x14ac:dyDescent="0.2">
      <c r="B129" s="47"/>
      <c r="C129" s="47"/>
      <c r="D129" s="47"/>
      <c r="E129" s="47"/>
      <c r="F129" s="47"/>
      <c r="G129" s="37"/>
      <c r="H129" s="37"/>
      <c r="I129" s="37"/>
      <c r="J129" s="125"/>
      <c r="K129" s="37"/>
      <c r="L129" s="37"/>
      <c r="M129" s="37"/>
      <c r="N129" s="37"/>
      <c r="O129" s="103"/>
      <c r="P129" s="37"/>
      <c r="Q129" s="38"/>
      <c r="R129" s="37"/>
    </row>
    <row r="130" spans="2:18" s="3" customFormat="1" ht="12.75" x14ac:dyDescent="0.2">
      <c r="B130" s="47"/>
      <c r="C130" s="47"/>
      <c r="D130" s="47"/>
      <c r="E130" s="47"/>
      <c r="F130" s="47"/>
      <c r="G130" s="37"/>
      <c r="H130" s="37"/>
      <c r="I130" s="37"/>
      <c r="J130" s="125"/>
      <c r="K130" s="37"/>
      <c r="L130" s="37"/>
      <c r="M130" s="37"/>
      <c r="N130" s="37"/>
      <c r="O130" s="103"/>
      <c r="P130" s="37"/>
      <c r="Q130" s="38"/>
      <c r="R130" s="37"/>
    </row>
    <row r="131" spans="2:18" s="3" customFormat="1" ht="12.75" x14ac:dyDescent="0.2">
      <c r="B131" s="47"/>
      <c r="C131" s="47"/>
      <c r="D131" s="47"/>
      <c r="E131" s="47"/>
      <c r="F131" s="47"/>
      <c r="G131" s="37"/>
      <c r="H131" s="37"/>
      <c r="I131" s="37"/>
      <c r="J131" s="125"/>
      <c r="K131" s="37"/>
      <c r="L131" s="37"/>
      <c r="M131" s="37"/>
      <c r="N131" s="37"/>
      <c r="O131" s="103"/>
      <c r="P131" s="37"/>
      <c r="Q131" s="38"/>
      <c r="R131" s="37"/>
    </row>
    <row r="132" spans="2:18" s="3" customFormat="1" ht="12.75" x14ac:dyDescent="0.2">
      <c r="B132" s="47"/>
      <c r="C132" s="47"/>
      <c r="D132" s="47"/>
      <c r="E132" s="47"/>
      <c r="F132" s="47"/>
      <c r="G132" s="37"/>
      <c r="H132" s="37"/>
      <c r="I132" s="37"/>
      <c r="J132" s="125"/>
      <c r="K132" s="37"/>
      <c r="L132" s="37"/>
      <c r="M132" s="37"/>
      <c r="N132" s="37"/>
      <c r="O132" s="103"/>
      <c r="P132" s="37"/>
      <c r="Q132" s="38"/>
      <c r="R132" s="37"/>
    </row>
    <row r="133" spans="2:18" s="3" customFormat="1" ht="12.75" x14ac:dyDescent="0.2">
      <c r="B133" s="47"/>
      <c r="C133" s="47"/>
      <c r="D133" s="47"/>
      <c r="E133" s="47"/>
      <c r="F133" s="47"/>
      <c r="G133" s="37"/>
      <c r="H133" s="37"/>
      <c r="I133" s="37"/>
      <c r="J133" s="125"/>
      <c r="K133" s="37"/>
      <c r="L133" s="37"/>
      <c r="M133" s="37"/>
      <c r="N133" s="37"/>
      <c r="O133" s="103"/>
      <c r="P133" s="37"/>
      <c r="Q133" s="38"/>
      <c r="R133" s="37"/>
    </row>
    <row r="134" spans="2:18" s="3" customFormat="1" ht="12.75" x14ac:dyDescent="0.2">
      <c r="B134" s="47"/>
      <c r="C134" s="47"/>
      <c r="D134" s="47"/>
      <c r="E134" s="47"/>
      <c r="F134" s="47"/>
      <c r="G134" s="37"/>
      <c r="H134" s="37"/>
      <c r="I134" s="37"/>
      <c r="J134" s="125"/>
      <c r="K134" s="37"/>
      <c r="L134" s="37"/>
      <c r="M134" s="37"/>
      <c r="N134" s="37"/>
      <c r="O134" s="103"/>
      <c r="P134" s="37"/>
      <c r="Q134" s="38"/>
      <c r="R134" s="37"/>
    </row>
    <row r="135" spans="2:18" s="3" customFormat="1" ht="12.75" x14ac:dyDescent="0.2">
      <c r="B135" s="47"/>
      <c r="C135" s="47"/>
      <c r="D135" s="47"/>
      <c r="E135" s="47"/>
      <c r="F135" s="47"/>
      <c r="G135" s="37"/>
      <c r="H135" s="37"/>
      <c r="I135" s="37"/>
      <c r="J135" s="125"/>
      <c r="K135" s="37"/>
      <c r="L135" s="37"/>
      <c r="M135" s="37"/>
      <c r="N135" s="37"/>
      <c r="O135" s="103"/>
      <c r="P135" s="37"/>
      <c r="Q135" s="38"/>
      <c r="R135" s="37"/>
    </row>
    <row r="136" spans="2:18" s="3" customFormat="1" ht="12.75" x14ac:dyDescent="0.2">
      <c r="B136" s="47"/>
      <c r="C136" s="47"/>
      <c r="D136" s="47"/>
      <c r="E136" s="47"/>
      <c r="F136" s="47"/>
      <c r="G136" s="37"/>
      <c r="H136" s="37"/>
      <c r="I136" s="37"/>
      <c r="J136" s="125"/>
      <c r="K136" s="37"/>
      <c r="L136" s="37"/>
      <c r="M136" s="37"/>
      <c r="N136" s="37"/>
      <c r="O136" s="103"/>
      <c r="P136" s="37"/>
      <c r="Q136" s="38"/>
      <c r="R136" s="37"/>
    </row>
    <row r="137" spans="2:18" s="3" customFormat="1" ht="12.75" x14ac:dyDescent="0.2">
      <c r="B137" s="47"/>
      <c r="C137" s="47"/>
      <c r="D137" s="47"/>
      <c r="E137" s="47"/>
      <c r="F137" s="47"/>
      <c r="G137" s="37"/>
      <c r="H137" s="37"/>
      <c r="I137" s="37"/>
      <c r="J137" s="125"/>
      <c r="K137" s="37"/>
      <c r="L137" s="37"/>
      <c r="M137" s="37"/>
      <c r="N137" s="37"/>
      <c r="O137" s="103"/>
      <c r="P137" s="37"/>
      <c r="Q137" s="38"/>
      <c r="R137" s="37"/>
    </row>
    <row r="138" spans="2:18" s="3" customFormat="1" ht="12.75" x14ac:dyDescent="0.2">
      <c r="B138" s="47"/>
      <c r="C138" s="47"/>
      <c r="D138" s="47"/>
      <c r="E138" s="47"/>
      <c r="F138" s="47"/>
      <c r="G138" s="37"/>
      <c r="H138" s="37"/>
      <c r="I138" s="37"/>
      <c r="J138" s="125"/>
      <c r="K138" s="37"/>
      <c r="L138" s="37"/>
      <c r="M138" s="37"/>
      <c r="N138" s="37"/>
      <c r="O138" s="103"/>
      <c r="P138" s="37"/>
      <c r="Q138" s="38"/>
      <c r="R138" s="37"/>
    </row>
    <row r="139" spans="2:18" s="3" customFormat="1" ht="12.75" x14ac:dyDescent="0.2">
      <c r="B139" s="47"/>
      <c r="C139" s="47"/>
      <c r="D139" s="47"/>
      <c r="E139" s="47"/>
      <c r="F139" s="47"/>
      <c r="G139" s="37"/>
      <c r="H139" s="37"/>
      <c r="I139" s="37"/>
      <c r="J139" s="125"/>
      <c r="K139" s="37"/>
      <c r="L139" s="37"/>
      <c r="M139" s="37"/>
      <c r="N139" s="37"/>
      <c r="O139" s="103"/>
      <c r="P139" s="37"/>
      <c r="Q139" s="38"/>
      <c r="R139" s="37"/>
    </row>
    <row r="140" spans="2:18" s="3" customFormat="1" ht="12.75" x14ac:dyDescent="0.2">
      <c r="B140" s="47"/>
      <c r="C140" s="47"/>
      <c r="D140" s="47"/>
      <c r="E140" s="47"/>
      <c r="F140" s="47"/>
      <c r="G140" s="37"/>
      <c r="H140" s="37"/>
      <c r="I140" s="37"/>
      <c r="J140" s="125"/>
      <c r="K140" s="37"/>
      <c r="L140" s="37"/>
      <c r="M140" s="37"/>
      <c r="N140" s="37"/>
      <c r="O140" s="103"/>
      <c r="P140" s="37"/>
      <c r="Q140" s="38"/>
      <c r="R140" s="37"/>
    </row>
    <row r="141" spans="2:18" s="3" customFormat="1" ht="12.75" x14ac:dyDescent="0.2">
      <c r="B141" s="47"/>
      <c r="C141" s="47"/>
      <c r="D141" s="47"/>
      <c r="E141" s="47"/>
      <c r="F141" s="47"/>
      <c r="G141" s="37"/>
      <c r="H141" s="37"/>
      <c r="I141" s="37"/>
      <c r="J141" s="125"/>
      <c r="K141" s="37"/>
      <c r="L141" s="37"/>
      <c r="M141" s="37"/>
      <c r="N141" s="37"/>
      <c r="O141" s="103"/>
      <c r="P141" s="37"/>
      <c r="Q141" s="38"/>
      <c r="R141" s="37"/>
    </row>
    <row r="142" spans="2:18" s="3" customFormat="1" ht="12.75" x14ac:dyDescent="0.2">
      <c r="B142" s="47"/>
      <c r="C142" s="47"/>
      <c r="D142" s="47"/>
      <c r="E142" s="47"/>
      <c r="F142" s="47"/>
      <c r="G142" s="37"/>
      <c r="H142" s="37"/>
      <c r="I142" s="37"/>
      <c r="J142" s="125"/>
      <c r="K142" s="37"/>
      <c r="L142" s="37"/>
      <c r="M142" s="37"/>
      <c r="N142" s="37"/>
      <c r="O142" s="103"/>
      <c r="P142" s="37"/>
      <c r="Q142" s="38"/>
      <c r="R142" s="37"/>
    </row>
    <row r="143" spans="2:18" s="3" customFormat="1" ht="12.75" x14ac:dyDescent="0.2">
      <c r="B143" s="47"/>
      <c r="C143" s="47"/>
      <c r="D143" s="47"/>
      <c r="E143" s="47"/>
      <c r="F143" s="47"/>
      <c r="G143" s="37"/>
      <c r="H143" s="37"/>
      <c r="I143" s="37"/>
      <c r="J143" s="125"/>
      <c r="K143" s="37"/>
      <c r="L143" s="37"/>
      <c r="M143" s="37"/>
      <c r="N143" s="37"/>
      <c r="O143" s="103"/>
      <c r="P143" s="37"/>
      <c r="Q143" s="38"/>
      <c r="R143" s="37"/>
    </row>
    <row r="144" spans="2:18" s="3" customFormat="1" ht="12.75" x14ac:dyDescent="0.2">
      <c r="B144" s="47"/>
      <c r="C144" s="47"/>
      <c r="D144" s="47"/>
      <c r="E144" s="47"/>
      <c r="F144" s="47"/>
      <c r="G144" s="37"/>
      <c r="H144" s="37"/>
      <c r="I144" s="37"/>
      <c r="J144" s="125"/>
      <c r="K144" s="37"/>
      <c r="L144" s="37"/>
      <c r="M144" s="37"/>
      <c r="N144" s="37"/>
      <c r="O144" s="103"/>
      <c r="P144" s="37"/>
      <c r="Q144" s="38"/>
      <c r="R144" s="37"/>
    </row>
    <row r="145" spans="2:18" s="3" customFormat="1" ht="12.75" x14ac:dyDescent="0.2">
      <c r="B145" s="47"/>
      <c r="C145" s="47"/>
      <c r="D145" s="47"/>
      <c r="E145" s="47"/>
      <c r="F145" s="47"/>
      <c r="G145" s="37"/>
      <c r="H145" s="37"/>
      <c r="I145" s="37"/>
      <c r="J145" s="125"/>
      <c r="K145" s="37"/>
      <c r="L145" s="37"/>
      <c r="M145" s="37"/>
      <c r="N145" s="37"/>
      <c r="O145" s="103"/>
      <c r="P145" s="37"/>
      <c r="Q145" s="38"/>
      <c r="R145" s="37"/>
    </row>
    <row r="146" spans="2:18" s="3" customFormat="1" ht="12.75" x14ac:dyDescent="0.2">
      <c r="B146" s="47"/>
      <c r="C146" s="47"/>
      <c r="D146" s="47"/>
      <c r="E146" s="47"/>
      <c r="F146" s="47"/>
      <c r="G146" s="37"/>
      <c r="H146" s="37"/>
      <c r="I146" s="37"/>
      <c r="J146" s="125"/>
      <c r="K146" s="37"/>
      <c r="L146" s="37"/>
      <c r="M146" s="37"/>
      <c r="N146" s="37"/>
      <c r="O146" s="103"/>
      <c r="P146" s="37"/>
      <c r="Q146" s="38"/>
      <c r="R146" s="37"/>
    </row>
    <row r="147" spans="2:18" s="3" customFormat="1" ht="12.75" x14ac:dyDescent="0.2">
      <c r="B147" s="47"/>
      <c r="C147" s="47"/>
      <c r="D147" s="47"/>
      <c r="E147" s="47"/>
      <c r="F147" s="47"/>
      <c r="G147" s="37"/>
      <c r="H147" s="37"/>
      <c r="I147" s="37"/>
      <c r="J147" s="125"/>
      <c r="K147" s="37"/>
      <c r="L147" s="37"/>
      <c r="M147" s="37"/>
      <c r="N147" s="37"/>
      <c r="O147" s="103"/>
      <c r="P147" s="37"/>
      <c r="Q147" s="38"/>
      <c r="R147" s="37"/>
    </row>
    <row r="148" spans="2:18" s="3" customFormat="1" ht="12.75" x14ac:dyDescent="0.2">
      <c r="B148" s="47"/>
      <c r="C148" s="47"/>
      <c r="D148" s="47"/>
      <c r="E148" s="47"/>
      <c r="F148" s="47"/>
      <c r="G148" s="37"/>
      <c r="H148" s="37"/>
      <c r="I148" s="37"/>
      <c r="J148" s="125"/>
      <c r="K148" s="37"/>
      <c r="L148" s="37"/>
      <c r="M148" s="37"/>
      <c r="N148" s="37"/>
      <c r="O148" s="103"/>
      <c r="P148" s="37"/>
      <c r="Q148" s="38"/>
      <c r="R148" s="37"/>
    </row>
    <row r="149" spans="2:18" s="3" customFormat="1" ht="12.75" x14ac:dyDescent="0.2">
      <c r="B149" s="47"/>
      <c r="C149" s="47"/>
      <c r="D149" s="47"/>
      <c r="E149" s="47"/>
      <c r="F149" s="47"/>
      <c r="G149" s="37"/>
      <c r="H149" s="37"/>
      <c r="I149" s="37"/>
      <c r="J149" s="125"/>
      <c r="K149" s="37"/>
      <c r="L149" s="37"/>
      <c r="M149" s="37"/>
      <c r="N149" s="37"/>
      <c r="O149" s="103"/>
      <c r="P149" s="37"/>
      <c r="Q149" s="38"/>
      <c r="R149" s="37"/>
    </row>
    <row r="150" spans="2:18" s="3" customFormat="1" ht="12.75" x14ac:dyDescent="0.2">
      <c r="B150" s="47"/>
      <c r="C150" s="47"/>
      <c r="D150" s="47"/>
      <c r="E150" s="47"/>
      <c r="F150" s="47"/>
      <c r="G150" s="37"/>
      <c r="H150" s="37"/>
      <c r="I150" s="37"/>
      <c r="J150" s="125"/>
      <c r="K150" s="37"/>
      <c r="L150" s="37"/>
      <c r="M150" s="37"/>
      <c r="N150" s="37"/>
      <c r="O150" s="103"/>
      <c r="P150" s="37"/>
      <c r="Q150" s="38"/>
      <c r="R150" s="37"/>
    </row>
    <row r="151" spans="2:18" s="3" customFormat="1" ht="12.75" x14ac:dyDescent="0.2">
      <c r="B151" s="47"/>
      <c r="C151" s="47"/>
      <c r="D151" s="47"/>
      <c r="E151" s="47"/>
      <c r="F151" s="47"/>
      <c r="G151" s="37"/>
      <c r="H151" s="37"/>
      <c r="I151" s="37"/>
      <c r="J151" s="125"/>
      <c r="K151" s="37"/>
      <c r="L151" s="37"/>
      <c r="M151" s="37"/>
      <c r="N151" s="37"/>
      <c r="O151" s="103"/>
      <c r="P151" s="37"/>
      <c r="Q151" s="38"/>
      <c r="R151" s="37"/>
    </row>
    <row r="152" spans="2:18" s="3" customFormat="1" ht="12.75" x14ac:dyDescent="0.2">
      <c r="B152" s="47"/>
      <c r="C152" s="47"/>
      <c r="D152" s="47"/>
      <c r="E152" s="47"/>
      <c r="F152" s="47"/>
      <c r="G152" s="37"/>
      <c r="H152" s="37"/>
      <c r="I152" s="37"/>
      <c r="J152" s="125"/>
      <c r="K152" s="37"/>
      <c r="L152" s="37"/>
      <c r="M152" s="37"/>
      <c r="N152" s="37"/>
      <c r="O152" s="103"/>
      <c r="P152" s="37"/>
      <c r="Q152" s="38"/>
      <c r="R152" s="37"/>
    </row>
    <row r="153" spans="2:18" s="3" customFormat="1" ht="12.75" x14ac:dyDescent="0.2">
      <c r="B153" s="47"/>
      <c r="C153" s="47"/>
      <c r="D153" s="47"/>
      <c r="E153" s="47"/>
      <c r="F153" s="47"/>
      <c r="G153" s="37"/>
      <c r="H153" s="37"/>
      <c r="I153" s="37"/>
      <c r="J153" s="125"/>
      <c r="K153" s="37"/>
      <c r="L153" s="37"/>
      <c r="M153" s="37"/>
      <c r="N153" s="37"/>
      <c r="O153" s="103"/>
      <c r="P153" s="37"/>
      <c r="Q153" s="38"/>
      <c r="R153" s="37"/>
    </row>
    <row r="154" spans="2:18" s="3" customFormat="1" ht="12.75" x14ac:dyDescent="0.2">
      <c r="B154" s="47"/>
      <c r="C154" s="47"/>
      <c r="D154" s="47"/>
      <c r="E154" s="47"/>
      <c r="F154" s="47"/>
      <c r="G154" s="37"/>
      <c r="H154" s="37"/>
      <c r="I154" s="37"/>
      <c r="J154" s="125"/>
      <c r="K154" s="37"/>
      <c r="L154" s="37"/>
      <c r="M154" s="37"/>
      <c r="N154" s="37"/>
      <c r="O154" s="103"/>
      <c r="P154" s="37"/>
      <c r="Q154" s="38"/>
      <c r="R154" s="37"/>
    </row>
    <row r="155" spans="2:18" s="3" customFormat="1" ht="12.75" x14ac:dyDescent="0.2">
      <c r="B155" s="47"/>
      <c r="C155" s="47"/>
      <c r="D155" s="47"/>
      <c r="E155" s="47"/>
      <c r="F155" s="47"/>
      <c r="G155" s="37"/>
      <c r="H155" s="37"/>
      <c r="I155" s="37"/>
      <c r="J155" s="125"/>
      <c r="K155" s="37"/>
      <c r="L155" s="37"/>
      <c r="M155" s="37"/>
      <c r="N155" s="37"/>
      <c r="O155" s="103"/>
      <c r="P155" s="37"/>
      <c r="Q155" s="38"/>
      <c r="R155" s="37"/>
    </row>
    <row r="156" spans="2:18" s="3" customFormat="1" ht="12.75" x14ac:dyDescent="0.2">
      <c r="B156" s="47"/>
      <c r="C156" s="47"/>
      <c r="D156" s="47"/>
      <c r="E156" s="47"/>
      <c r="F156" s="47"/>
      <c r="G156" s="37"/>
      <c r="H156" s="37"/>
      <c r="I156" s="37"/>
      <c r="J156" s="125"/>
      <c r="K156" s="37"/>
      <c r="L156" s="37"/>
      <c r="M156" s="37"/>
      <c r="N156" s="37"/>
      <c r="O156" s="103"/>
      <c r="P156" s="37"/>
      <c r="Q156" s="38"/>
      <c r="R156" s="37"/>
    </row>
    <row r="157" spans="2:18" s="3" customFormat="1" ht="12.75" x14ac:dyDescent="0.2">
      <c r="B157" s="47"/>
      <c r="C157" s="47"/>
      <c r="D157" s="47"/>
      <c r="E157" s="47"/>
      <c r="F157" s="47"/>
      <c r="G157" s="37"/>
      <c r="H157" s="37"/>
      <c r="I157" s="37"/>
      <c r="J157" s="125"/>
      <c r="K157" s="37"/>
      <c r="L157" s="37"/>
      <c r="M157" s="37"/>
      <c r="N157" s="37"/>
      <c r="O157" s="103"/>
      <c r="P157" s="37"/>
      <c r="Q157" s="38"/>
      <c r="R157" s="37"/>
    </row>
    <row r="158" spans="2:18" s="3" customFormat="1" ht="12.75" x14ac:dyDescent="0.2">
      <c r="B158" s="47"/>
      <c r="C158" s="47"/>
      <c r="D158" s="47"/>
      <c r="E158" s="47"/>
      <c r="F158" s="47"/>
      <c r="G158" s="37"/>
      <c r="H158" s="37"/>
      <c r="I158" s="37"/>
      <c r="J158" s="125"/>
      <c r="K158" s="37"/>
      <c r="L158" s="37"/>
      <c r="M158" s="37"/>
      <c r="N158" s="37"/>
      <c r="O158" s="103"/>
      <c r="P158" s="37"/>
      <c r="Q158" s="38"/>
      <c r="R158" s="37"/>
    </row>
    <row r="159" spans="2:18" s="3" customFormat="1" ht="12.75" x14ac:dyDescent="0.2">
      <c r="B159" s="47"/>
      <c r="C159" s="47"/>
      <c r="D159" s="47"/>
      <c r="E159" s="47"/>
      <c r="F159" s="47"/>
      <c r="G159" s="37"/>
      <c r="H159" s="37"/>
      <c r="I159" s="37"/>
      <c r="J159" s="125"/>
      <c r="K159" s="37"/>
      <c r="L159" s="37"/>
      <c r="M159" s="37"/>
      <c r="N159" s="37"/>
      <c r="O159" s="103"/>
      <c r="P159" s="37"/>
      <c r="Q159" s="38"/>
      <c r="R159" s="37"/>
    </row>
    <row r="160" spans="2:18" s="3" customFormat="1" ht="12.75" x14ac:dyDescent="0.2">
      <c r="B160" s="47"/>
      <c r="C160" s="47"/>
      <c r="D160" s="47"/>
      <c r="E160" s="47"/>
      <c r="F160" s="47"/>
      <c r="G160" s="37"/>
      <c r="H160" s="37"/>
      <c r="I160" s="37"/>
      <c r="J160" s="125"/>
      <c r="K160" s="37"/>
      <c r="L160" s="37"/>
      <c r="M160" s="37"/>
      <c r="N160" s="37"/>
      <c r="O160" s="103"/>
      <c r="P160" s="37"/>
      <c r="Q160" s="38"/>
      <c r="R160" s="37"/>
    </row>
    <row r="161" spans="2:18" s="3" customFormat="1" ht="12.75" x14ac:dyDescent="0.2">
      <c r="B161" s="47"/>
      <c r="C161" s="47"/>
      <c r="D161" s="47"/>
      <c r="E161" s="47"/>
      <c r="F161" s="47"/>
      <c r="G161" s="37"/>
      <c r="H161" s="37"/>
      <c r="I161" s="37"/>
      <c r="J161" s="125"/>
      <c r="K161" s="37"/>
      <c r="L161" s="37"/>
      <c r="M161" s="37"/>
      <c r="N161" s="37"/>
      <c r="O161" s="103"/>
      <c r="P161" s="37"/>
      <c r="Q161" s="38"/>
      <c r="R161" s="37"/>
    </row>
    <row r="162" spans="2:18" s="3" customFormat="1" ht="12.75" x14ac:dyDescent="0.2">
      <c r="B162" s="47"/>
      <c r="C162" s="47"/>
      <c r="D162" s="47"/>
      <c r="E162" s="47"/>
      <c r="F162" s="47"/>
      <c r="G162" s="37"/>
      <c r="H162" s="37"/>
      <c r="I162" s="37"/>
      <c r="J162" s="125"/>
      <c r="K162" s="37"/>
      <c r="L162" s="37"/>
      <c r="M162" s="37"/>
      <c r="N162" s="37"/>
      <c r="O162" s="103"/>
      <c r="P162" s="37"/>
      <c r="Q162" s="38"/>
      <c r="R162" s="37"/>
    </row>
    <row r="163" spans="2:18" s="3" customFormat="1" ht="12.75" x14ac:dyDescent="0.2">
      <c r="B163" s="47"/>
      <c r="C163" s="47"/>
      <c r="D163" s="47"/>
      <c r="E163" s="47"/>
      <c r="F163" s="47"/>
      <c r="G163" s="37"/>
      <c r="H163" s="37"/>
      <c r="I163" s="37"/>
      <c r="J163" s="125"/>
      <c r="K163" s="37"/>
      <c r="L163" s="37"/>
      <c r="M163" s="37"/>
      <c r="N163" s="37"/>
      <c r="O163" s="103"/>
      <c r="P163" s="37"/>
      <c r="Q163" s="38"/>
      <c r="R163" s="37"/>
    </row>
    <row r="164" spans="2:18" s="3" customFormat="1" ht="12.75" x14ac:dyDescent="0.2">
      <c r="B164" s="47"/>
      <c r="C164" s="47"/>
      <c r="D164" s="47"/>
      <c r="E164" s="47"/>
      <c r="F164" s="47"/>
      <c r="G164" s="37"/>
      <c r="H164" s="37"/>
      <c r="I164" s="37"/>
      <c r="J164" s="125"/>
      <c r="K164" s="37"/>
      <c r="L164" s="37"/>
      <c r="M164" s="37"/>
      <c r="N164" s="37"/>
      <c r="O164" s="103"/>
      <c r="P164" s="37"/>
      <c r="Q164" s="38"/>
      <c r="R164" s="37"/>
    </row>
    <row r="165" spans="2:18" s="3" customFormat="1" ht="12.75" x14ac:dyDescent="0.2">
      <c r="B165" s="47"/>
      <c r="C165" s="47"/>
      <c r="D165" s="47"/>
      <c r="E165" s="47"/>
      <c r="F165" s="47"/>
      <c r="G165" s="37"/>
      <c r="H165" s="37"/>
      <c r="I165" s="37"/>
      <c r="J165" s="125"/>
      <c r="K165" s="37"/>
      <c r="L165" s="37"/>
      <c r="M165" s="37"/>
      <c r="N165" s="37"/>
      <c r="O165" s="103"/>
      <c r="P165" s="37"/>
      <c r="Q165" s="38"/>
      <c r="R165" s="37"/>
    </row>
    <row r="166" spans="2:18" s="3" customFormat="1" ht="12.75" x14ac:dyDescent="0.2">
      <c r="B166" s="47"/>
      <c r="C166" s="47"/>
      <c r="D166" s="47"/>
      <c r="E166" s="47"/>
      <c r="F166" s="47"/>
      <c r="G166" s="37"/>
      <c r="H166" s="37"/>
      <c r="I166" s="37"/>
      <c r="J166" s="125"/>
      <c r="K166" s="37"/>
      <c r="L166" s="37"/>
      <c r="M166" s="37"/>
      <c r="N166" s="37"/>
      <c r="O166" s="103"/>
      <c r="P166" s="37"/>
      <c r="Q166" s="38"/>
      <c r="R166" s="37"/>
    </row>
    <row r="167" spans="2:18" s="3" customFormat="1" ht="12.75" x14ac:dyDescent="0.2">
      <c r="B167" s="47"/>
      <c r="C167" s="47"/>
      <c r="D167" s="47"/>
      <c r="E167" s="47"/>
      <c r="F167" s="47"/>
      <c r="G167" s="37"/>
      <c r="H167" s="37"/>
      <c r="I167" s="37"/>
      <c r="J167" s="125"/>
      <c r="K167" s="37"/>
      <c r="L167" s="37"/>
      <c r="M167" s="37"/>
      <c r="N167" s="37"/>
      <c r="O167" s="103"/>
      <c r="P167" s="37"/>
      <c r="Q167" s="38"/>
      <c r="R167" s="37"/>
    </row>
    <row r="168" spans="2:18" s="3" customFormat="1" ht="12.75" x14ac:dyDescent="0.2">
      <c r="B168" s="47"/>
      <c r="C168" s="47"/>
      <c r="D168" s="47"/>
      <c r="E168" s="47"/>
      <c r="F168" s="47"/>
      <c r="G168" s="37"/>
      <c r="H168" s="37"/>
      <c r="I168" s="37"/>
      <c r="J168" s="125"/>
      <c r="K168" s="37"/>
      <c r="L168" s="37"/>
      <c r="M168" s="37"/>
      <c r="N168" s="37"/>
      <c r="O168" s="103"/>
      <c r="P168" s="37"/>
      <c r="Q168" s="38"/>
      <c r="R168" s="37"/>
    </row>
    <row r="169" spans="2:18" s="3" customFormat="1" ht="12.75" x14ac:dyDescent="0.2">
      <c r="B169" s="47"/>
      <c r="C169" s="47"/>
      <c r="D169" s="47"/>
      <c r="E169" s="47"/>
      <c r="F169" s="47"/>
      <c r="G169" s="37"/>
      <c r="H169" s="37"/>
      <c r="I169" s="37"/>
      <c r="J169" s="125"/>
      <c r="K169" s="37"/>
      <c r="L169" s="37"/>
      <c r="M169" s="37"/>
      <c r="N169" s="37"/>
      <c r="O169" s="103"/>
      <c r="P169" s="37"/>
      <c r="Q169" s="38"/>
      <c r="R169" s="37"/>
    </row>
    <row r="170" spans="2:18" s="3" customFormat="1" ht="12.75" x14ac:dyDescent="0.2">
      <c r="B170" s="47"/>
      <c r="C170" s="47"/>
      <c r="D170" s="47"/>
      <c r="E170" s="47"/>
      <c r="F170" s="47"/>
      <c r="G170" s="37"/>
      <c r="H170" s="37"/>
      <c r="I170" s="37"/>
      <c r="J170" s="125"/>
      <c r="K170" s="37"/>
      <c r="L170" s="37"/>
      <c r="M170" s="37"/>
      <c r="N170" s="37"/>
      <c r="O170" s="103"/>
      <c r="P170" s="37"/>
      <c r="Q170" s="38"/>
      <c r="R170" s="37"/>
    </row>
    <row r="171" spans="2:18" s="3" customFormat="1" ht="12.75" x14ac:dyDescent="0.2">
      <c r="B171" s="47"/>
      <c r="C171" s="47"/>
      <c r="D171" s="47"/>
      <c r="E171" s="47"/>
      <c r="F171" s="47"/>
      <c r="G171" s="37"/>
      <c r="H171" s="37"/>
      <c r="I171" s="37"/>
      <c r="J171" s="125"/>
      <c r="K171" s="37"/>
      <c r="L171" s="37"/>
      <c r="M171" s="37"/>
      <c r="N171" s="37"/>
      <c r="O171" s="103"/>
      <c r="P171" s="37"/>
      <c r="Q171" s="38"/>
      <c r="R171" s="37"/>
    </row>
    <row r="172" spans="2:18" s="3" customFormat="1" ht="12.75" x14ac:dyDescent="0.2">
      <c r="B172" s="47"/>
      <c r="C172" s="47"/>
      <c r="D172" s="47"/>
      <c r="E172" s="47"/>
      <c r="F172" s="47"/>
      <c r="G172" s="37"/>
      <c r="H172" s="37"/>
      <c r="I172" s="37"/>
      <c r="J172" s="125"/>
      <c r="K172" s="37"/>
      <c r="L172" s="37"/>
      <c r="M172" s="37"/>
      <c r="N172" s="37"/>
      <c r="O172" s="103"/>
      <c r="P172" s="37"/>
      <c r="Q172" s="38"/>
      <c r="R172" s="37"/>
    </row>
    <row r="173" spans="2:18" s="3" customFormat="1" ht="12.75" x14ac:dyDescent="0.2">
      <c r="B173" s="47"/>
      <c r="C173" s="47"/>
      <c r="D173" s="47"/>
      <c r="E173" s="47"/>
      <c r="F173" s="47"/>
      <c r="G173" s="37"/>
      <c r="H173" s="37"/>
      <c r="I173" s="37"/>
      <c r="J173" s="125"/>
      <c r="K173" s="37"/>
      <c r="L173" s="37"/>
      <c r="M173" s="37"/>
      <c r="N173" s="37"/>
      <c r="O173" s="103"/>
      <c r="P173" s="37"/>
      <c r="Q173" s="38"/>
      <c r="R173" s="37"/>
    </row>
    <row r="174" spans="2:18" s="3" customFormat="1" ht="12.75" x14ac:dyDescent="0.2">
      <c r="B174" s="47"/>
      <c r="C174" s="47"/>
      <c r="D174" s="47"/>
      <c r="E174" s="47"/>
      <c r="F174" s="47"/>
      <c r="G174" s="37"/>
      <c r="H174" s="37"/>
      <c r="I174" s="37"/>
      <c r="J174" s="125"/>
      <c r="K174" s="37"/>
      <c r="L174" s="37"/>
      <c r="M174" s="37"/>
      <c r="N174" s="37"/>
      <c r="O174" s="103"/>
      <c r="P174" s="37"/>
      <c r="Q174" s="38"/>
      <c r="R174" s="37"/>
    </row>
    <row r="175" spans="2:18" s="3" customFormat="1" ht="12.75" x14ac:dyDescent="0.2">
      <c r="B175" s="47"/>
      <c r="C175" s="47"/>
      <c r="D175" s="47"/>
      <c r="E175" s="47"/>
      <c r="F175" s="47"/>
      <c r="G175" s="37"/>
      <c r="H175" s="37"/>
      <c r="I175" s="37"/>
      <c r="J175" s="125"/>
      <c r="K175" s="37"/>
      <c r="L175" s="37"/>
      <c r="M175" s="37"/>
      <c r="N175" s="37"/>
      <c r="O175" s="103"/>
      <c r="P175" s="37"/>
      <c r="Q175" s="38"/>
      <c r="R175" s="37"/>
    </row>
    <row r="176" spans="2:18" s="3" customFormat="1" ht="12.75" x14ac:dyDescent="0.2">
      <c r="B176" s="47"/>
      <c r="C176" s="47"/>
      <c r="D176" s="47"/>
      <c r="E176" s="47"/>
      <c r="F176" s="47"/>
      <c r="G176" s="37"/>
      <c r="H176" s="37"/>
      <c r="I176" s="37"/>
      <c r="J176" s="125"/>
      <c r="K176" s="37"/>
      <c r="L176" s="37"/>
      <c r="M176" s="37"/>
      <c r="N176" s="37"/>
      <c r="O176" s="103"/>
      <c r="P176" s="37"/>
      <c r="Q176" s="38"/>
      <c r="R176" s="37"/>
    </row>
    <row r="177" spans="2:18" s="3" customFormat="1" ht="12.75" x14ac:dyDescent="0.2">
      <c r="B177" s="47"/>
      <c r="C177" s="47"/>
      <c r="D177" s="47"/>
      <c r="E177" s="47"/>
      <c r="F177" s="47"/>
      <c r="G177" s="37"/>
      <c r="H177" s="37"/>
      <c r="I177" s="37"/>
      <c r="J177" s="125"/>
      <c r="K177" s="37"/>
      <c r="L177" s="37"/>
      <c r="M177" s="37"/>
      <c r="N177" s="37"/>
      <c r="O177" s="103"/>
      <c r="P177" s="37"/>
      <c r="Q177" s="38"/>
      <c r="R177" s="37"/>
    </row>
    <row r="178" spans="2:18" s="3" customFormat="1" ht="12.75" x14ac:dyDescent="0.2">
      <c r="B178" s="47"/>
      <c r="C178" s="47"/>
      <c r="D178" s="47"/>
      <c r="E178" s="47"/>
      <c r="F178" s="47"/>
      <c r="G178" s="37"/>
      <c r="H178" s="37"/>
      <c r="I178" s="37"/>
      <c r="J178" s="125"/>
      <c r="K178" s="37"/>
      <c r="L178" s="37"/>
      <c r="M178" s="37"/>
      <c r="N178" s="37"/>
      <c r="O178" s="103"/>
      <c r="P178" s="37"/>
      <c r="Q178" s="38"/>
      <c r="R178" s="37"/>
    </row>
    <row r="179" spans="2:18" s="3" customFormat="1" ht="12.75" x14ac:dyDescent="0.2">
      <c r="B179" s="47"/>
      <c r="C179" s="47"/>
      <c r="D179" s="47"/>
      <c r="E179" s="47"/>
      <c r="F179" s="47"/>
      <c r="G179" s="37"/>
      <c r="H179" s="37"/>
      <c r="I179" s="37"/>
      <c r="J179" s="125"/>
      <c r="K179" s="37"/>
      <c r="L179" s="37"/>
      <c r="M179" s="37"/>
      <c r="N179" s="37"/>
      <c r="O179" s="103"/>
      <c r="P179" s="37"/>
      <c r="Q179" s="38"/>
      <c r="R179" s="37"/>
    </row>
    <row r="180" spans="2:18" s="3" customFormat="1" ht="12.75" x14ac:dyDescent="0.2">
      <c r="B180" s="47"/>
      <c r="C180" s="47"/>
      <c r="D180" s="47"/>
      <c r="E180" s="47"/>
      <c r="F180" s="47"/>
      <c r="G180" s="37"/>
      <c r="H180" s="37"/>
      <c r="I180" s="37"/>
      <c r="J180" s="125"/>
      <c r="K180" s="37"/>
      <c r="L180" s="37"/>
      <c r="M180" s="37"/>
      <c r="N180" s="37"/>
      <c r="O180" s="103"/>
      <c r="P180" s="37"/>
      <c r="Q180" s="38"/>
      <c r="R180" s="37"/>
    </row>
    <row r="181" spans="2:18" s="3" customFormat="1" ht="12.75" x14ac:dyDescent="0.2">
      <c r="B181" s="47"/>
      <c r="C181" s="47"/>
      <c r="D181" s="47"/>
      <c r="E181" s="47"/>
      <c r="F181" s="47"/>
      <c r="G181" s="37"/>
      <c r="H181" s="37"/>
      <c r="I181" s="37"/>
      <c r="J181" s="125"/>
      <c r="K181" s="37"/>
      <c r="L181" s="37"/>
      <c r="M181" s="37"/>
      <c r="N181" s="37"/>
      <c r="O181" s="103"/>
      <c r="P181" s="37"/>
      <c r="Q181" s="38"/>
      <c r="R181" s="37"/>
    </row>
    <row r="182" spans="2:18" s="3" customFormat="1" ht="12.75" x14ac:dyDescent="0.2">
      <c r="B182" s="47"/>
      <c r="C182" s="47"/>
      <c r="D182" s="47"/>
      <c r="E182" s="47"/>
      <c r="F182" s="47"/>
      <c r="G182" s="37"/>
      <c r="H182" s="37"/>
      <c r="I182" s="37"/>
      <c r="J182" s="125"/>
      <c r="K182" s="37"/>
      <c r="L182" s="37"/>
      <c r="M182" s="37"/>
      <c r="N182" s="37"/>
      <c r="O182" s="103"/>
      <c r="P182" s="37"/>
      <c r="Q182" s="38"/>
      <c r="R182" s="37"/>
    </row>
    <row r="183" spans="2:18" s="3" customFormat="1" ht="12.75" x14ac:dyDescent="0.2">
      <c r="B183" s="47"/>
      <c r="C183" s="47"/>
      <c r="D183" s="47"/>
      <c r="E183" s="47"/>
      <c r="F183" s="47"/>
      <c r="G183" s="37"/>
      <c r="H183" s="37"/>
      <c r="I183" s="37"/>
      <c r="J183" s="125"/>
      <c r="K183" s="37"/>
      <c r="L183" s="37"/>
      <c r="M183" s="37"/>
      <c r="N183" s="37"/>
      <c r="O183" s="103"/>
      <c r="P183" s="37"/>
      <c r="Q183" s="38"/>
      <c r="R183" s="37"/>
    </row>
    <row r="184" spans="2:18" s="3" customFormat="1" ht="12.75" x14ac:dyDescent="0.2">
      <c r="B184" s="47"/>
      <c r="C184" s="47"/>
      <c r="D184" s="47"/>
      <c r="E184" s="47"/>
      <c r="F184" s="47"/>
      <c r="G184" s="37"/>
      <c r="H184" s="37"/>
      <c r="I184" s="37"/>
      <c r="J184" s="125"/>
      <c r="K184" s="37"/>
      <c r="L184" s="37"/>
      <c r="M184" s="37"/>
      <c r="N184" s="37"/>
      <c r="O184" s="103"/>
      <c r="P184" s="37"/>
      <c r="Q184" s="38"/>
      <c r="R184" s="37"/>
    </row>
    <row r="185" spans="2:18" s="3" customFormat="1" ht="12.75" x14ac:dyDescent="0.2">
      <c r="B185" s="47"/>
      <c r="C185" s="47"/>
      <c r="D185" s="47"/>
      <c r="E185" s="47"/>
      <c r="F185" s="47"/>
      <c r="G185" s="37"/>
      <c r="H185" s="37"/>
      <c r="I185" s="37"/>
      <c r="J185" s="125"/>
      <c r="K185" s="37"/>
      <c r="L185" s="37"/>
      <c r="M185" s="37"/>
      <c r="N185" s="37"/>
      <c r="O185" s="103"/>
      <c r="P185" s="37"/>
      <c r="Q185" s="38"/>
      <c r="R185" s="37"/>
    </row>
    <row r="186" spans="2:18" s="3" customFormat="1" ht="12.75" x14ac:dyDescent="0.2">
      <c r="B186" s="47"/>
      <c r="C186" s="47"/>
      <c r="D186" s="47"/>
      <c r="E186" s="47"/>
      <c r="F186" s="47"/>
      <c r="G186" s="37"/>
      <c r="H186" s="37"/>
      <c r="I186" s="37"/>
      <c r="J186" s="125"/>
      <c r="K186" s="37"/>
      <c r="L186" s="37"/>
      <c r="M186" s="37"/>
      <c r="N186" s="37"/>
      <c r="O186" s="103"/>
      <c r="P186" s="37"/>
      <c r="Q186" s="38"/>
      <c r="R186" s="37"/>
    </row>
    <row r="187" spans="2:18" s="3" customFormat="1" ht="12.75" x14ac:dyDescent="0.2">
      <c r="B187" s="47"/>
      <c r="C187" s="47"/>
      <c r="D187" s="47"/>
      <c r="E187" s="47"/>
      <c r="F187" s="47"/>
      <c r="G187" s="37"/>
      <c r="H187" s="37"/>
      <c r="I187" s="37"/>
      <c r="J187" s="125"/>
      <c r="K187" s="37"/>
      <c r="L187" s="37"/>
      <c r="M187" s="37"/>
      <c r="N187" s="37"/>
      <c r="O187" s="103"/>
      <c r="P187" s="37"/>
      <c r="Q187" s="38"/>
      <c r="R187" s="37"/>
    </row>
    <row r="188" spans="2:18" s="3" customFormat="1" ht="12.75" x14ac:dyDescent="0.2">
      <c r="B188" s="47"/>
      <c r="C188" s="47"/>
      <c r="D188" s="47"/>
      <c r="E188" s="47"/>
      <c r="F188" s="47"/>
      <c r="G188" s="37"/>
      <c r="H188" s="37"/>
      <c r="I188" s="37"/>
      <c r="J188" s="125"/>
      <c r="K188" s="37"/>
      <c r="L188" s="37"/>
      <c r="M188" s="37"/>
      <c r="N188" s="37"/>
      <c r="O188" s="103"/>
      <c r="P188" s="37"/>
      <c r="Q188" s="38"/>
      <c r="R188" s="37"/>
    </row>
    <row r="189" spans="2:18" s="3" customFormat="1" ht="12.75" x14ac:dyDescent="0.2">
      <c r="B189" s="47"/>
      <c r="C189" s="47"/>
      <c r="D189" s="47"/>
      <c r="E189" s="47"/>
      <c r="F189" s="47"/>
      <c r="G189" s="37"/>
      <c r="H189" s="37"/>
      <c r="I189" s="37"/>
      <c r="J189" s="125"/>
      <c r="K189" s="37"/>
      <c r="L189" s="37"/>
      <c r="M189" s="37"/>
      <c r="N189" s="37"/>
      <c r="O189" s="103"/>
      <c r="P189" s="37"/>
      <c r="Q189" s="38"/>
      <c r="R189" s="37"/>
    </row>
    <row r="190" spans="2:18" s="3" customFormat="1" ht="12.75" x14ac:dyDescent="0.2">
      <c r="B190" s="47"/>
      <c r="C190" s="47"/>
      <c r="D190" s="47"/>
      <c r="E190" s="47"/>
      <c r="F190" s="47"/>
      <c r="G190" s="37"/>
      <c r="H190" s="37"/>
      <c r="I190" s="37"/>
      <c r="J190" s="125"/>
      <c r="K190" s="37"/>
      <c r="L190" s="37"/>
      <c r="M190" s="37"/>
      <c r="N190" s="37"/>
      <c r="O190" s="103"/>
      <c r="P190" s="37"/>
      <c r="Q190" s="38"/>
      <c r="R190" s="37"/>
    </row>
    <row r="191" spans="2:18" s="3" customFormat="1" ht="12.75" x14ac:dyDescent="0.2">
      <c r="B191" s="47"/>
      <c r="C191" s="47"/>
      <c r="D191" s="47"/>
      <c r="E191" s="47"/>
      <c r="F191" s="47"/>
      <c r="G191" s="37"/>
      <c r="H191" s="37"/>
      <c r="I191" s="37"/>
      <c r="J191" s="125"/>
      <c r="K191" s="37"/>
      <c r="L191" s="37"/>
      <c r="M191" s="37"/>
      <c r="N191" s="37"/>
      <c r="O191" s="103"/>
      <c r="P191" s="37"/>
      <c r="Q191" s="38"/>
      <c r="R191" s="37"/>
    </row>
    <row r="192" spans="2:18" s="3" customFormat="1" ht="12.75" x14ac:dyDescent="0.2">
      <c r="B192" s="47"/>
      <c r="C192" s="47"/>
      <c r="D192" s="47"/>
      <c r="E192" s="47"/>
      <c r="F192" s="47"/>
      <c r="G192" s="37"/>
      <c r="H192" s="37"/>
      <c r="I192" s="37"/>
      <c r="J192" s="125"/>
      <c r="K192" s="37"/>
      <c r="L192" s="37"/>
      <c r="M192" s="37"/>
      <c r="N192" s="37"/>
      <c r="O192" s="103"/>
      <c r="P192" s="37"/>
      <c r="Q192" s="38"/>
      <c r="R192" s="37"/>
    </row>
    <row r="193" spans="2:18" s="3" customFormat="1" ht="12.75" x14ac:dyDescent="0.2">
      <c r="B193" s="47"/>
      <c r="C193" s="47"/>
      <c r="D193" s="47"/>
      <c r="E193" s="47"/>
      <c r="F193" s="47"/>
      <c r="G193" s="37"/>
      <c r="H193" s="37"/>
      <c r="I193" s="37"/>
      <c r="J193" s="125"/>
      <c r="K193" s="37"/>
      <c r="L193" s="37"/>
      <c r="M193" s="37"/>
      <c r="N193" s="37"/>
      <c r="O193" s="103"/>
      <c r="P193" s="37"/>
      <c r="Q193" s="38"/>
      <c r="R193" s="37"/>
    </row>
    <row r="194" spans="2:18" s="3" customFormat="1" ht="12.75" x14ac:dyDescent="0.2">
      <c r="B194" s="47"/>
      <c r="C194" s="47"/>
      <c r="D194" s="47"/>
      <c r="E194" s="47"/>
      <c r="F194" s="47"/>
      <c r="G194" s="37"/>
      <c r="H194" s="37"/>
      <c r="I194" s="37"/>
      <c r="J194" s="125"/>
      <c r="K194" s="37"/>
      <c r="L194" s="37"/>
      <c r="M194" s="37"/>
      <c r="N194" s="37"/>
      <c r="O194" s="103"/>
      <c r="P194" s="37"/>
      <c r="Q194" s="38"/>
      <c r="R194" s="37"/>
    </row>
    <row r="195" spans="2:18" s="3" customFormat="1" ht="12.75" x14ac:dyDescent="0.2">
      <c r="B195" s="47"/>
      <c r="C195" s="47"/>
      <c r="D195" s="47"/>
      <c r="E195" s="47"/>
      <c r="F195" s="47"/>
      <c r="G195" s="37"/>
      <c r="H195" s="37"/>
      <c r="I195" s="37"/>
      <c r="J195" s="125"/>
      <c r="K195" s="37"/>
      <c r="L195" s="37"/>
      <c r="M195" s="37"/>
      <c r="N195" s="37"/>
      <c r="O195" s="103"/>
      <c r="P195" s="37"/>
      <c r="Q195" s="38"/>
      <c r="R195" s="37"/>
    </row>
    <row r="196" spans="2:18" s="3" customFormat="1" ht="12.75" x14ac:dyDescent="0.2">
      <c r="B196" s="47"/>
      <c r="C196" s="47"/>
      <c r="D196" s="47"/>
      <c r="E196" s="47"/>
      <c r="F196" s="47"/>
      <c r="G196" s="37"/>
      <c r="H196" s="37"/>
      <c r="I196" s="37"/>
      <c r="J196" s="125"/>
      <c r="K196" s="37"/>
      <c r="L196" s="37"/>
      <c r="M196" s="37"/>
      <c r="N196" s="37"/>
      <c r="O196" s="103"/>
      <c r="P196" s="37"/>
      <c r="Q196" s="38"/>
      <c r="R196" s="37"/>
    </row>
    <row r="197" spans="2:18" s="3" customFormat="1" ht="12.75" x14ac:dyDescent="0.2">
      <c r="B197" s="47"/>
      <c r="C197" s="47"/>
      <c r="D197" s="47"/>
      <c r="E197" s="47"/>
      <c r="F197" s="47"/>
      <c r="G197" s="37"/>
      <c r="H197" s="37"/>
      <c r="I197" s="37"/>
      <c r="J197" s="125"/>
      <c r="K197" s="37"/>
      <c r="L197" s="37"/>
      <c r="M197" s="37"/>
      <c r="N197" s="37"/>
      <c r="O197" s="103"/>
      <c r="P197" s="37"/>
      <c r="Q197" s="38"/>
      <c r="R197" s="37"/>
    </row>
    <row r="198" spans="2:18" s="3" customFormat="1" ht="12.75" x14ac:dyDescent="0.2">
      <c r="B198" s="47"/>
      <c r="C198" s="47"/>
      <c r="D198" s="47"/>
      <c r="E198" s="47"/>
      <c r="F198" s="47"/>
      <c r="G198" s="37"/>
      <c r="H198" s="37"/>
      <c r="I198" s="37"/>
      <c r="J198" s="125"/>
      <c r="K198" s="37"/>
      <c r="L198" s="37"/>
      <c r="M198" s="37"/>
      <c r="N198" s="37"/>
      <c r="O198" s="103"/>
      <c r="P198" s="37"/>
      <c r="Q198" s="38"/>
      <c r="R198" s="37"/>
    </row>
    <row r="199" spans="2:18" s="3" customFormat="1" ht="12.75" x14ac:dyDescent="0.2">
      <c r="B199" s="47"/>
      <c r="C199" s="47"/>
      <c r="D199" s="47"/>
      <c r="E199" s="47"/>
      <c r="F199" s="47"/>
      <c r="G199" s="37"/>
      <c r="H199" s="37"/>
      <c r="I199" s="37"/>
      <c r="J199" s="125"/>
      <c r="K199" s="37"/>
      <c r="L199" s="37"/>
      <c r="M199" s="37"/>
      <c r="N199" s="37"/>
      <c r="O199" s="103"/>
      <c r="P199" s="37"/>
      <c r="Q199" s="38"/>
      <c r="R199" s="37"/>
    </row>
    <row r="200" spans="2:18" s="3" customFormat="1" ht="12.75" x14ac:dyDescent="0.2">
      <c r="B200" s="47"/>
      <c r="C200" s="47"/>
      <c r="D200" s="47"/>
      <c r="E200" s="47"/>
      <c r="F200" s="47"/>
      <c r="G200" s="37"/>
      <c r="H200" s="37"/>
      <c r="I200" s="37"/>
      <c r="J200" s="125"/>
      <c r="K200" s="37"/>
      <c r="L200" s="37"/>
      <c r="M200" s="37"/>
      <c r="N200" s="37"/>
      <c r="O200" s="103"/>
      <c r="P200" s="37"/>
      <c r="Q200" s="38"/>
      <c r="R200" s="37"/>
    </row>
  </sheetData>
  <mergeCells count="1">
    <mergeCell ref="B7:R7"/>
  </mergeCells>
  <dataValidations count="1">
    <dataValidation type="list" allowBlank="1" showInputMessage="1" showErrorMessage="1" sqref="L10:L200" xr:uid="{1682A818-CEFB-40F9-BFA0-54ECAE323B12}">
      <formula1>"Full Asset Disposal, Partial Component Disposal, Component Disposal Only"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="Please select a valid Asset SubType!" xr:uid="{38C2490C-3C42-4DD7-B07B-1DFA5A820614}">
          <x14:formula1>
            <xm:f>OFFSET(AH_SubType!$A$1,VLOOKUP($D10,AH_SubType!$A:$G,6,FALSE)-1,1,VLOOKUP($D10,AH_SubType!$A:$G,7,FALSE),1)</xm:f>
          </x14:formula1>
          <xm:sqref>E10:E200</xm:sqref>
        </x14:dataValidation>
        <x14:dataValidation type="list" allowBlank="1" showInputMessage="1" showErrorMessage="1" error="Please select a valid Asset Type!" xr:uid="{7C3F9E7C-50C4-47A7-9615-C3548B9991CB}">
          <x14:formula1>
            <xm:f>OFFSET(AH_Type!$A$1,VLOOKUP($C10,AH_Type!$A:$G,6,FALSE)-1,1,VLOOKUP($C10,AH_Type!$A:$G,7,FALSE),1)</xm:f>
          </x14:formula1>
          <xm:sqref>D10:D200</xm:sqref>
        </x14:dataValidation>
        <x14:dataValidation type="list" allowBlank="1" showInputMessage="1" showErrorMessage="1" error="Please select a valid Asset SubClass!" xr:uid="{A3B6778A-2520-443D-B82E-6BEAD20C55A5}">
          <x14:formula1>
            <xm:f>OFFSET(AH_SubClass!$A$1,VLOOKUP($B10,AH_SubClass!$A:$G,6,FALSE)-1,1,VLOOKUP($B10,AH_SubClass!$A:$G,7,FALSE),1)</xm:f>
          </x14:formula1>
          <xm:sqref>C10:C200</xm:sqref>
        </x14:dataValidation>
        <x14:dataValidation type="list" allowBlank="1" showInputMessage="1" showErrorMessage="1" error="Please select a valid Asset Class!" xr:uid="{67C456A4-0491-4461-93F9-762CEC59D2C8}">
          <x14:formula1>
            <xm:f>AH_Class!$A:$A</xm:f>
          </x14:formula1>
          <xm:sqref>B10:B200</xm:sqref>
        </x14:dataValidation>
        <x14:dataValidation type="list" allowBlank="1" showInputMessage="1" showErrorMessage="1" error="Please select a valid Component!" xr:uid="{7B274A47-D6AA-4BE4-B8FE-66EB31621F38}">
          <x14:formula1>
            <xm:f>OFFSET(SC_Component!$A$1,VLOOKUP($D10,SC_Component!$A:$G,6,FALSE)-1,1,VLOOKUP($D10,SC_Component!$A:$G,7,FALSE),1)</xm:f>
          </x14:formula1>
          <xm:sqref>F10:F200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DC32-1F96-40B6-BF5A-674901D3DF91}">
  <sheetPr codeName="SHt_HandoverCost"/>
  <dimension ref="A1:U1232"/>
  <sheetViews>
    <sheetView showGridLines="0" zoomScaleNormal="100" workbookViewId="0">
      <selection activeCell="A20" sqref="A20:U1020"/>
    </sheetView>
  </sheetViews>
  <sheetFormatPr defaultColWidth="8.75" defaultRowHeight="12.75" x14ac:dyDescent="0.2"/>
  <cols>
    <col min="1" max="1" width="1.75" style="94" customWidth="1"/>
    <col min="2" max="2" width="12.75" style="21" customWidth="1"/>
    <col min="3" max="3" width="13.625" style="21" customWidth="1"/>
    <col min="4" max="4" width="12.625" style="21" customWidth="1"/>
    <col min="5" max="5" width="8.25" style="21" customWidth="1"/>
    <col min="6" max="6" width="20.25" style="21" customWidth="1"/>
    <col min="7" max="7" width="9.375" style="91" customWidth="1"/>
    <col min="8" max="8" width="8.25" style="91" customWidth="1"/>
    <col min="9" max="9" width="12.125" style="23" customWidth="1"/>
    <col min="10" max="10" width="12.5" style="32" customWidth="1"/>
    <col min="11" max="11" width="9.5" style="24" customWidth="1"/>
    <col min="12" max="12" width="11.75" style="32" bestFit="1" customWidth="1"/>
    <col min="13" max="13" width="14.75" style="23" customWidth="1"/>
    <col min="14" max="14" width="13.25" style="22" customWidth="1"/>
    <col min="15" max="15" width="9.625" style="22" customWidth="1"/>
    <col min="16" max="16" width="13.75" style="21" customWidth="1"/>
    <col min="17" max="17" width="13.625" style="21" customWidth="1"/>
    <col min="18" max="18" width="11.75" style="21" customWidth="1"/>
    <col min="19" max="19" width="12.125" style="21" customWidth="1"/>
    <col min="20" max="20" width="11.625" style="21" customWidth="1"/>
    <col min="21" max="21" width="12.75" style="83" customWidth="1"/>
    <col min="22" max="16384" width="8.75" style="21"/>
  </cols>
  <sheetData>
    <row r="1" spans="1:21" customFormat="1" ht="3" customHeight="1" x14ac:dyDescent="0.25">
      <c r="A1" s="94"/>
      <c r="G1" s="11"/>
      <c r="H1" s="11"/>
      <c r="J1" s="11"/>
      <c r="K1" s="13"/>
      <c r="L1" s="11"/>
      <c r="N1" s="11"/>
      <c r="O1" s="11"/>
      <c r="U1" s="79"/>
    </row>
    <row r="2" spans="1:21" customFormat="1" ht="23.25" x14ac:dyDescent="0.2">
      <c r="A2" s="94"/>
      <c r="B2" s="33" t="str">
        <f>"Project Asset Register - " &amp; PR_T1_Number &amp; " " &amp; PR_Project_Name</f>
        <v>Project Asset Register - Z123 Test</v>
      </c>
      <c r="C2" s="33"/>
      <c r="D2" s="34"/>
      <c r="E2" s="34"/>
      <c r="F2" s="34"/>
      <c r="G2" s="35"/>
      <c r="H2" s="35"/>
      <c r="I2" s="34"/>
      <c r="J2" s="35"/>
      <c r="K2" s="36"/>
      <c r="L2" s="35"/>
      <c r="M2" s="34"/>
      <c r="N2" s="35"/>
      <c r="O2" s="35"/>
      <c r="U2" s="79"/>
    </row>
    <row r="3" spans="1:21" customFormat="1" ht="14.25" x14ac:dyDescent="0.2">
      <c r="A3" s="94"/>
      <c r="B3" s="34"/>
      <c r="C3" s="34"/>
      <c r="D3" s="34"/>
      <c r="E3" s="34"/>
      <c r="F3" s="34"/>
      <c r="G3" s="35"/>
      <c r="H3" s="35"/>
      <c r="I3" s="34"/>
      <c r="J3" s="35"/>
      <c r="K3" s="36"/>
      <c r="L3" s="35"/>
      <c r="M3" s="34"/>
      <c r="N3" s="35"/>
      <c r="O3" s="35"/>
      <c r="U3" s="79"/>
    </row>
    <row r="4" spans="1:21" customFormat="1" ht="14.25" x14ac:dyDescent="0.2">
      <c r="A4" s="94"/>
      <c r="B4" s="34"/>
      <c r="C4" s="34"/>
      <c r="D4" s="34"/>
      <c r="E4" s="34"/>
      <c r="F4" s="34"/>
      <c r="G4" s="35"/>
      <c r="H4" s="35"/>
      <c r="I4" s="34"/>
      <c r="J4" s="35"/>
      <c r="K4" s="36"/>
      <c r="L4" s="35"/>
      <c r="M4" s="34"/>
      <c r="N4" s="35"/>
      <c r="O4" s="35"/>
      <c r="U4" s="79"/>
    </row>
    <row r="5" spans="1:21" customFormat="1" ht="14.25" x14ac:dyDescent="0.2">
      <c r="A5" s="94"/>
      <c r="B5" s="34"/>
      <c r="C5" s="34"/>
      <c r="D5" s="34"/>
      <c r="E5" s="34"/>
      <c r="F5" s="34"/>
      <c r="G5" s="35"/>
      <c r="H5" s="35"/>
      <c r="I5" s="34"/>
      <c r="J5" s="35"/>
      <c r="K5" s="36"/>
      <c r="L5" s="35"/>
      <c r="M5" s="34"/>
      <c r="N5" s="35"/>
      <c r="O5" s="35"/>
      <c r="U5" s="79"/>
    </row>
    <row r="6" spans="1:21" customFormat="1" ht="14.25" x14ac:dyDescent="0.2">
      <c r="A6" s="94"/>
      <c r="B6" s="34"/>
      <c r="C6" s="34"/>
      <c r="D6" s="34"/>
      <c r="E6" s="34"/>
      <c r="F6" s="34"/>
      <c r="G6" s="35"/>
      <c r="H6" s="35"/>
      <c r="I6" s="34"/>
      <c r="J6" s="35"/>
      <c r="K6" s="36"/>
      <c r="L6" s="35"/>
      <c r="M6" s="34"/>
      <c r="N6" s="35"/>
      <c r="O6" s="35"/>
      <c r="U6" s="79"/>
    </row>
    <row r="7" spans="1:21" customFormat="1" ht="15.75" x14ac:dyDescent="0.25">
      <c r="A7" s="94"/>
      <c r="B7" s="25" t="s">
        <v>1000</v>
      </c>
      <c r="C7" s="25"/>
      <c r="D7" s="25"/>
      <c r="E7" s="25"/>
      <c r="F7" s="25"/>
      <c r="G7" s="26"/>
      <c r="H7" s="26"/>
      <c r="I7" s="25"/>
      <c r="J7" s="26"/>
      <c r="K7" s="26"/>
      <c r="L7" s="26"/>
      <c r="M7" s="25"/>
      <c r="N7" s="26"/>
      <c r="O7" s="26"/>
      <c r="U7" s="79"/>
    </row>
    <row r="8" spans="1:21" customFormat="1" ht="15.75" x14ac:dyDescent="0.25">
      <c r="A8" s="94"/>
      <c r="B8" s="66" t="s">
        <v>1001</v>
      </c>
      <c r="C8" s="5"/>
      <c r="D8" s="5"/>
      <c r="E8" s="5"/>
      <c r="F8" s="5"/>
      <c r="G8" s="12"/>
      <c r="H8" s="12"/>
      <c r="I8" s="5"/>
      <c r="J8" s="12"/>
      <c r="K8" s="13"/>
      <c r="L8" s="12"/>
      <c r="M8" s="5"/>
      <c r="N8" s="12"/>
      <c r="O8" s="12"/>
      <c r="U8" s="79"/>
    </row>
    <row r="9" spans="1:21" customFormat="1" ht="14.25" x14ac:dyDescent="0.2">
      <c r="A9" s="94"/>
      <c r="B9" s="185" t="s">
        <v>1002</v>
      </c>
      <c r="C9" s="185"/>
      <c r="D9" s="195" t="str">
        <f>PR_T1_Number &amp; " " &amp; PR_Project_Name</f>
        <v>Z123 Test</v>
      </c>
      <c r="E9" s="195"/>
      <c r="F9" s="195"/>
      <c r="G9" s="195"/>
      <c r="H9" s="191" t="s">
        <v>499</v>
      </c>
      <c r="I9" s="191"/>
      <c r="J9" s="187">
        <f>FI_Opening_Balance</f>
        <v>0</v>
      </c>
      <c r="K9" s="187"/>
      <c r="L9" s="185" t="s">
        <v>1003</v>
      </c>
      <c r="M9" s="185"/>
      <c r="N9" s="186">
        <f>NA_Total_Costs</f>
        <v>159970.99999999994</v>
      </c>
      <c r="O9" s="186"/>
      <c r="P9" s="191" t="s">
        <v>1004</v>
      </c>
      <c r="Q9" s="191"/>
      <c r="R9" s="189">
        <f>FI_Prev_Overhead</f>
        <v>0</v>
      </c>
      <c r="S9" s="190"/>
      <c r="U9" s="79"/>
    </row>
    <row r="10" spans="1:21" customFormat="1" ht="14.25" x14ac:dyDescent="0.2">
      <c r="A10" s="94"/>
      <c r="B10" s="185" t="s">
        <v>493</v>
      </c>
      <c r="C10" s="185"/>
      <c r="D10" s="195" t="str">
        <f>PR_Project_Manager</f>
        <v>Craig Jager</v>
      </c>
      <c r="E10" s="195"/>
      <c r="F10" s="195"/>
      <c r="G10" s="195"/>
      <c r="H10" s="191" t="s">
        <v>1005</v>
      </c>
      <c r="I10" s="191"/>
      <c r="J10" s="187">
        <f>FI_CY_Expenditure</f>
        <v>165433.74</v>
      </c>
      <c r="K10" s="187"/>
      <c r="L10" s="185" t="s">
        <v>1006</v>
      </c>
      <c r="M10" s="185"/>
      <c r="N10" s="186">
        <f>RA_Total_Costs</f>
        <v>0</v>
      </c>
      <c r="O10" s="186"/>
      <c r="P10" s="191" t="s">
        <v>1007</v>
      </c>
      <c r="Q10" s="191"/>
      <c r="R10" s="189">
        <f>J10*J12</f>
        <v>0</v>
      </c>
      <c r="S10" s="190"/>
      <c r="U10" s="79"/>
    </row>
    <row r="11" spans="1:21" customFormat="1" ht="14.25" x14ac:dyDescent="0.2">
      <c r="A11" s="94"/>
      <c r="B11" s="185" t="s">
        <v>494</v>
      </c>
      <c r="C11" s="185"/>
      <c r="D11" s="195" t="str">
        <f>PR_Asset_Manager</f>
        <v>Belinda Hill</v>
      </c>
      <c r="E11" s="195"/>
      <c r="F11" s="195"/>
      <c r="G11" s="195"/>
      <c r="H11" s="191" t="s">
        <v>502</v>
      </c>
      <c r="I11" s="191"/>
      <c r="J11" s="187">
        <f>FI_Closing_Balance</f>
        <v>165433.74</v>
      </c>
      <c r="K11" s="187"/>
      <c r="L11" s="185" t="s">
        <v>1008</v>
      </c>
      <c r="M11" s="185"/>
      <c r="N11" s="186">
        <f>PW_Total_Costs</f>
        <v>0</v>
      </c>
      <c r="O11" s="186"/>
      <c r="P11" s="185" t="s">
        <v>1009</v>
      </c>
      <c r="Q11" s="185"/>
      <c r="R11" s="186">
        <f>DA_Total_Amount</f>
        <v>0</v>
      </c>
      <c r="S11" s="186"/>
      <c r="U11" s="79"/>
    </row>
    <row r="12" spans="1:21" customFormat="1" ht="14.25" x14ac:dyDescent="0.2">
      <c r="A12" s="94"/>
      <c r="B12" s="191" t="s">
        <v>496</v>
      </c>
      <c r="C12" s="191"/>
      <c r="D12" s="196">
        <f>FI_Total_Budget</f>
        <v>0</v>
      </c>
      <c r="E12" s="196"/>
      <c r="F12" s="196"/>
      <c r="G12" s="196"/>
      <c r="H12" s="191" t="s">
        <v>503</v>
      </c>
      <c r="I12" s="191"/>
      <c r="J12" s="188">
        <f>FI_Overhead_Percentage</f>
        <v>0</v>
      </c>
      <c r="K12" s="188"/>
      <c r="L12" s="185" t="s">
        <v>1010</v>
      </c>
      <c r="M12" s="185"/>
      <c r="N12" s="186">
        <f>Total_Write_Off_Costs</f>
        <v>0</v>
      </c>
      <c r="O12" s="186"/>
      <c r="U12" s="79"/>
    </row>
    <row r="13" spans="1:21" customFormat="1" ht="14.25" x14ac:dyDescent="0.2">
      <c r="A13" s="94"/>
      <c r="B13" s="192" t="s">
        <v>1011</v>
      </c>
      <c r="C13" s="193"/>
      <c r="D13" s="193"/>
      <c r="E13" s="193"/>
      <c r="F13" s="193"/>
      <c r="G13" s="193"/>
      <c r="H13" s="193"/>
      <c r="I13" s="194"/>
      <c r="J13" s="186">
        <f>N13-J11+R9</f>
        <v>-5462.7400000000489</v>
      </c>
      <c r="K13" s="186"/>
      <c r="L13" s="185" t="s">
        <v>948</v>
      </c>
      <c r="M13" s="185"/>
      <c r="N13" s="186">
        <f>SUM(N9:O12)</f>
        <v>159970.99999999994</v>
      </c>
      <c r="O13" s="186"/>
      <c r="U13" s="79"/>
    </row>
    <row r="14" spans="1:21" customFormat="1" ht="15.75" x14ac:dyDescent="0.25">
      <c r="A14" s="94"/>
      <c r="B14" s="6"/>
      <c r="C14" s="5"/>
      <c r="D14" s="5"/>
      <c r="E14" s="5"/>
      <c r="F14" s="5"/>
      <c r="G14" s="12"/>
      <c r="H14" s="16"/>
      <c r="I14" s="16"/>
      <c r="J14" s="17"/>
      <c r="K14" s="18"/>
      <c r="L14" s="16"/>
      <c r="M14" s="16"/>
      <c r="N14" s="19"/>
      <c r="O14" s="19"/>
      <c r="U14" s="79"/>
    </row>
    <row r="15" spans="1:21" customFormat="1" ht="15.75" x14ac:dyDescent="0.25">
      <c r="A15" s="94"/>
      <c r="B15" s="6"/>
      <c r="C15" s="5"/>
      <c r="D15" s="5"/>
      <c r="E15" s="5"/>
      <c r="F15" s="5"/>
      <c r="G15" s="12"/>
      <c r="H15" s="16"/>
      <c r="I15" s="16"/>
      <c r="J15" s="17"/>
      <c r="K15" s="18"/>
      <c r="L15" s="16"/>
      <c r="M15" s="16"/>
      <c r="N15" s="19"/>
      <c r="O15" s="19"/>
      <c r="U15" s="79"/>
    </row>
    <row r="16" spans="1:21" s="2" customFormat="1" ht="26.25" x14ac:dyDescent="0.25">
      <c r="A16" s="95"/>
      <c r="B16" s="14"/>
      <c r="C16" s="15"/>
      <c r="E16" s="15"/>
      <c r="F16" s="15"/>
      <c r="G16" s="15"/>
      <c r="H16" s="15"/>
      <c r="I16" s="20"/>
      <c r="J16" s="62" t="s">
        <v>1012</v>
      </c>
      <c r="K16" s="63"/>
      <c r="L16" s="62" t="s">
        <v>1013</v>
      </c>
      <c r="M16" s="62" t="s">
        <v>1014</v>
      </c>
      <c r="N16" s="148" t="s">
        <v>1015</v>
      </c>
      <c r="O16" s="63"/>
      <c r="P16" s="62" t="s">
        <v>1016</v>
      </c>
      <c r="Q16" s="62" t="s">
        <v>1017</v>
      </c>
      <c r="R16" s="62" t="s">
        <v>1018</v>
      </c>
      <c r="S16" s="62" t="s">
        <v>1019</v>
      </c>
      <c r="U16" s="80"/>
    </row>
    <row r="17" spans="1:21" customFormat="1" ht="15" x14ac:dyDescent="0.25">
      <c r="A17" s="94"/>
      <c r="B17" s="21"/>
      <c r="C17" s="27"/>
      <c r="D17" s="21"/>
      <c r="E17" s="27"/>
      <c r="F17" s="27"/>
      <c r="G17" s="27"/>
      <c r="H17" s="28"/>
      <c r="I17" s="29"/>
      <c r="J17" s="49">
        <f>SUM(J20:J1020)</f>
        <v>159970.97</v>
      </c>
      <c r="K17" s="50"/>
      <c r="L17" s="49">
        <f>SUM(L20:L1020)</f>
        <v>0</v>
      </c>
      <c r="M17" s="49">
        <f>SUM(M20:M1020)-SUMIF(B20:B1020,"Write-off",M20:M1020)</f>
        <v>159970.97</v>
      </c>
      <c r="N17" s="149">
        <f>SUM(N20:N1020)</f>
        <v>0</v>
      </c>
      <c r="O17" s="50"/>
      <c r="P17" s="49">
        <f>SUM(P20:P1020)</f>
        <v>159970.97</v>
      </c>
      <c r="Q17" s="49">
        <f>SUM(Q20:Q1020)</f>
        <v>159970.97</v>
      </c>
      <c r="R17" s="49">
        <f>SUM(R20:R1020)</f>
        <v>0</v>
      </c>
      <c r="S17" s="49">
        <f>SUM(S20:S1020)</f>
        <v>0</v>
      </c>
      <c r="U17" s="79"/>
    </row>
    <row r="18" spans="1:21" customFormat="1" ht="15.75" x14ac:dyDescent="0.25">
      <c r="A18" s="94"/>
      <c r="B18" s="25" t="s">
        <v>1020</v>
      </c>
      <c r="C18" s="27"/>
      <c r="D18" s="21"/>
      <c r="E18" s="27"/>
      <c r="F18" s="27"/>
      <c r="G18" s="27"/>
      <c r="H18" s="28"/>
      <c r="I18" s="29"/>
      <c r="J18" s="31"/>
      <c r="K18" s="30"/>
      <c r="L18" s="31"/>
      <c r="M18" s="31"/>
      <c r="N18" s="31"/>
      <c r="O18" s="30"/>
      <c r="P18" s="31"/>
      <c r="Q18" s="31"/>
      <c r="R18" s="31"/>
      <c r="S18" s="31"/>
      <c r="U18" s="79"/>
    </row>
    <row r="19" spans="1:21" s="2" customFormat="1" ht="51" x14ac:dyDescent="0.2">
      <c r="A19" s="95"/>
      <c r="B19" s="60" t="s">
        <v>947</v>
      </c>
      <c r="C19" s="60" t="s">
        <v>1021</v>
      </c>
      <c r="D19" s="60" t="s">
        <v>1022</v>
      </c>
      <c r="E19" s="60" t="s">
        <v>1023</v>
      </c>
      <c r="F19" s="60" t="s">
        <v>1024</v>
      </c>
      <c r="G19" s="60" t="s">
        <v>956</v>
      </c>
      <c r="H19" s="60" t="s">
        <v>243</v>
      </c>
      <c r="I19" s="61" t="s">
        <v>1025</v>
      </c>
      <c r="J19" s="61" t="s">
        <v>1026</v>
      </c>
      <c r="K19" s="60" t="s">
        <v>1027</v>
      </c>
      <c r="L19" s="61" t="s">
        <v>1028</v>
      </c>
      <c r="M19" s="61" t="s">
        <v>1029</v>
      </c>
      <c r="N19" s="61" t="s">
        <v>1030</v>
      </c>
      <c r="O19" s="60" t="s">
        <v>1031</v>
      </c>
      <c r="P19" s="61" t="s">
        <v>1032</v>
      </c>
      <c r="Q19" s="61" t="s">
        <v>1033</v>
      </c>
      <c r="R19" s="61" t="s">
        <v>1034</v>
      </c>
      <c r="S19" s="61" t="s">
        <v>1035</v>
      </c>
      <c r="T19" s="61" t="s">
        <v>972</v>
      </c>
      <c r="U19" s="81" t="s">
        <v>968</v>
      </c>
    </row>
    <row r="20" spans="1:21" ht="25.5" x14ac:dyDescent="0.2">
      <c r="A20" s="94" t="s">
        <v>1442</v>
      </c>
      <c r="B20" s="104" t="s">
        <v>1440</v>
      </c>
      <c r="C20" s="104" t="s">
        <v>1441</v>
      </c>
      <c r="D20" s="104" t="str">
        <f>IFERROR(VLOOKUP("Traffic Signals",Asset_Class!A:D,4,FALSE),"")</f>
        <v>10.9000.9000.11305</v>
      </c>
      <c r="E20" s="105">
        <v>0</v>
      </c>
      <c r="F20" s="104" t="s">
        <v>1550</v>
      </c>
      <c r="G20" s="104">
        <v>294886</v>
      </c>
      <c r="H20" s="104">
        <v>1</v>
      </c>
      <c r="I20" s="106">
        <v>1270.06</v>
      </c>
      <c r="J20" s="106">
        <v>1270.06</v>
      </c>
      <c r="K20" s="107" t="s">
        <v>1389</v>
      </c>
      <c r="L20" s="106">
        <f t="shared" ref="L20:L51" si="0">IF(K20="Yes",J20/SUMIF(K:K,"Yes",J:J)*PW_Total_Costs,0)</f>
        <v>0</v>
      </c>
      <c r="M20" s="108">
        <f t="shared" ref="M20:M51" si="1">J20+L20</f>
        <v>1270.06</v>
      </c>
      <c r="N20" s="106">
        <f t="shared" ref="N20:N51" si="2">IF(B20="Write-off",0,IFERROR((M20/CPD_Total_Assets_Costs*FI_CY_Expenditure)*FI_Overhead_Percentage,0)+ IFERROR((M20/CPD_Total_Assets_Costs*FI_Prev_Overhead),0))</f>
        <v>0</v>
      </c>
      <c r="O20" s="107" t="s">
        <v>1389</v>
      </c>
      <c r="P20" s="106">
        <f t="shared" ref="P20:P51" si="3">M20+N20</f>
        <v>1270.06</v>
      </c>
      <c r="Q20" s="106">
        <f t="shared" ref="Q20:Q51" si="4">P20*(1-E20)</f>
        <v>1270.06</v>
      </c>
      <c r="R20" s="106">
        <f t="shared" ref="R20:R51" si="5">P20*(E20)</f>
        <v>0</v>
      </c>
      <c r="S20" s="106"/>
      <c r="T20" s="109"/>
      <c r="U20" s="110">
        <v>40</v>
      </c>
    </row>
    <row r="21" spans="1:21" ht="38.25" x14ac:dyDescent="0.2">
      <c r="A21" s="94" t="s">
        <v>1443</v>
      </c>
      <c r="B21" s="104" t="s">
        <v>1440</v>
      </c>
      <c r="C21" s="104" t="s">
        <v>1441</v>
      </c>
      <c r="D21" s="104" t="str">
        <f>IFERROR(VLOOKUP("Traffic Signals",Asset_Class!A:D,4,FALSE),"")</f>
        <v>10.9000.9000.11305</v>
      </c>
      <c r="E21" s="105">
        <v>0</v>
      </c>
      <c r="F21" s="104" t="s">
        <v>1551</v>
      </c>
      <c r="G21" s="104">
        <v>294888</v>
      </c>
      <c r="H21" s="104">
        <v>1</v>
      </c>
      <c r="I21" s="106">
        <v>8966.99</v>
      </c>
      <c r="J21" s="106">
        <v>8966.99</v>
      </c>
      <c r="K21" s="107" t="s">
        <v>1389</v>
      </c>
      <c r="L21" s="106">
        <f t="shared" si="0"/>
        <v>0</v>
      </c>
      <c r="M21" s="108">
        <f t="shared" si="1"/>
        <v>8966.99</v>
      </c>
      <c r="N21" s="106">
        <f t="shared" si="2"/>
        <v>0</v>
      </c>
      <c r="O21" s="107" t="s">
        <v>1389</v>
      </c>
      <c r="P21" s="106">
        <f t="shared" si="3"/>
        <v>8966.99</v>
      </c>
      <c r="Q21" s="106">
        <f t="shared" si="4"/>
        <v>8966.99</v>
      </c>
      <c r="R21" s="106">
        <f t="shared" si="5"/>
        <v>0</v>
      </c>
      <c r="S21" s="106"/>
      <c r="T21" s="106"/>
      <c r="U21" s="110">
        <v>40</v>
      </c>
    </row>
    <row r="22" spans="1:21" ht="38.25" x14ac:dyDescent="0.2">
      <c r="A22" s="94" t="s">
        <v>1444</v>
      </c>
      <c r="B22" s="104" t="s">
        <v>1440</v>
      </c>
      <c r="C22" s="104" t="s">
        <v>1441</v>
      </c>
      <c r="D22" s="104" t="str">
        <f>IFERROR(VLOOKUP("Traffic Signals",Asset_Class!A:D,4,FALSE),"")</f>
        <v>10.9000.9000.11305</v>
      </c>
      <c r="E22" s="105">
        <v>0</v>
      </c>
      <c r="F22" s="104" t="s">
        <v>1551</v>
      </c>
      <c r="G22" s="104">
        <v>294887</v>
      </c>
      <c r="H22" s="104">
        <v>1</v>
      </c>
      <c r="I22" s="106">
        <v>8966.99</v>
      </c>
      <c r="J22" s="106">
        <v>8966.99</v>
      </c>
      <c r="K22" s="107" t="s">
        <v>1389</v>
      </c>
      <c r="L22" s="106">
        <f t="shared" si="0"/>
        <v>0</v>
      </c>
      <c r="M22" s="108">
        <f t="shared" si="1"/>
        <v>8966.99</v>
      </c>
      <c r="N22" s="106">
        <f t="shared" si="2"/>
        <v>0</v>
      </c>
      <c r="O22" s="107" t="s">
        <v>1389</v>
      </c>
      <c r="P22" s="106">
        <f t="shared" si="3"/>
        <v>8966.99</v>
      </c>
      <c r="Q22" s="106">
        <f t="shared" si="4"/>
        <v>8966.99</v>
      </c>
      <c r="R22" s="106">
        <f t="shared" si="5"/>
        <v>0</v>
      </c>
      <c r="S22" s="106"/>
      <c r="T22" s="106"/>
      <c r="U22" s="110">
        <v>40</v>
      </c>
    </row>
    <row r="23" spans="1:21" ht="25.5" x14ac:dyDescent="0.2">
      <c r="A23" s="94" t="s">
        <v>1445</v>
      </c>
      <c r="B23" s="104" t="s">
        <v>1440</v>
      </c>
      <c r="C23" s="104" t="s">
        <v>1441</v>
      </c>
      <c r="D23" s="104" t="str">
        <f>IFERROR(VLOOKUP("Traffic Signals",Asset_Class!A:D,4,FALSE),"")</f>
        <v>10.9000.9000.11305</v>
      </c>
      <c r="E23" s="105">
        <v>0</v>
      </c>
      <c r="F23" s="104" t="s">
        <v>1552</v>
      </c>
      <c r="G23" s="104">
        <v>294889</v>
      </c>
      <c r="H23" s="104">
        <v>1</v>
      </c>
      <c r="I23" s="106">
        <v>1793.67</v>
      </c>
      <c r="J23" s="106">
        <v>1793.67</v>
      </c>
      <c r="K23" s="107" t="s">
        <v>1389</v>
      </c>
      <c r="L23" s="106">
        <f t="shared" si="0"/>
        <v>0</v>
      </c>
      <c r="M23" s="108">
        <f t="shared" si="1"/>
        <v>1793.67</v>
      </c>
      <c r="N23" s="106">
        <f t="shared" si="2"/>
        <v>0</v>
      </c>
      <c r="O23" s="107" t="s">
        <v>1389</v>
      </c>
      <c r="P23" s="106">
        <f t="shared" si="3"/>
        <v>1793.67</v>
      </c>
      <c r="Q23" s="106">
        <f t="shared" si="4"/>
        <v>1793.67</v>
      </c>
      <c r="R23" s="106">
        <f t="shared" si="5"/>
        <v>0</v>
      </c>
      <c r="S23" s="106"/>
      <c r="T23" s="106"/>
      <c r="U23" s="110">
        <v>40</v>
      </c>
    </row>
    <row r="24" spans="1:21" ht="38.25" x14ac:dyDescent="0.2">
      <c r="A24" s="94" t="s">
        <v>1446</v>
      </c>
      <c r="B24" s="104" t="s">
        <v>1440</v>
      </c>
      <c r="C24" s="104" t="s">
        <v>1441</v>
      </c>
      <c r="D24" s="104" t="str">
        <f>IFERROR(VLOOKUP("Traffic Signals",Asset_Class!A:D,4,FALSE),"")</f>
        <v>10.9000.9000.11305</v>
      </c>
      <c r="E24" s="111">
        <v>0</v>
      </c>
      <c r="F24" s="104" t="s">
        <v>1551</v>
      </c>
      <c r="G24" s="104">
        <v>294890</v>
      </c>
      <c r="H24" s="104">
        <v>1</v>
      </c>
      <c r="I24" s="106">
        <v>8966.99</v>
      </c>
      <c r="J24" s="106">
        <v>8966.99</v>
      </c>
      <c r="K24" s="112" t="s">
        <v>1389</v>
      </c>
      <c r="L24" s="106">
        <f t="shared" si="0"/>
        <v>0</v>
      </c>
      <c r="M24" s="108">
        <f t="shared" si="1"/>
        <v>8966.99</v>
      </c>
      <c r="N24" s="106">
        <f t="shared" si="2"/>
        <v>0</v>
      </c>
      <c r="O24" s="107" t="s">
        <v>1389</v>
      </c>
      <c r="P24" s="106">
        <f t="shared" si="3"/>
        <v>8966.99</v>
      </c>
      <c r="Q24" s="106">
        <f t="shared" si="4"/>
        <v>8966.99</v>
      </c>
      <c r="R24" s="106">
        <f t="shared" si="5"/>
        <v>0</v>
      </c>
      <c r="S24" s="106"/>
      <c r="T24" s="106"/>
      <c r="U24" s="110">
        <v>40</v>
      </c>
    </row>
    <row r="25" spans="1:21" ht="38.25" x14ac:dyDescent="0.2">
      <c r="A25" s="94" t="s">
        <v>1447</v>
      </c>
      <c r="B25" s="104" t="s">
        <v>1440</v>
      </c>
      <c r="C25" s="104" t="s">
        <v>1441</v>
      </c>
      <c r="D25" s="104" t="str">
        <f>IFERROR(VLOOKUP("Traffic Signals",Asset_Class!A:D,4,FALSE),"")</f>
        <v>10.9000.9000.11305</v>
      </c>
      <c r="E25" s="111">
        <v>0</v>
      </c>
      <c r="F25" s="104" t="s">
        <v>1551</v>
      </c>
      <c r="G25" s="104">
        <v>294891</v>
      </c>
      <c r="H25" s="104">
        <v>1</v>
      </c>
      <c r="I25" s="106">
        <v>8966.99</v>
      </c>
      <c r="J25" s="106">
        <v>8966.99</v>
      </c>
      <c r="K25" s="112" t="s">
        <v>1389</v>
      </c>
      <c r="L25" s="106">
        <f t="shared" si="0"/>
        <v>0</v>
      </c>
      <c r="M25" s="108">
        <f t="shared" si="1"/>
        <v>8966.99</v>
      </c>
      <c r="N25" s="106">
        <f t="shared" si="2"/>
        <v>0</v>
      </c>
      <c r="O25" s="112" t="s">
        <v>1389</v>
      </c>
      <c r="P25" s="106">
        <f t="shared" si="3"/>
        <v>8966.99</v>
      </c>
      <c r="Q25" s="106">
        <f t="shared" si="4"/>
        <v>8966.99</v>
      </c>
      <c r="R25" s="106">
        <f t="shared" si="5"/>
        <v>0</v>
      </c>
      <c r="S25" s="106"/>
      <c r="T25" s="106"/>
      <c r="U25" s="110">
        <v>40</v>
      </c>
    </row>
    <row r="26" spans="1:21" ht="38.25" x14ac:dyDescent="0.2">
      <c r="A26" s="94" t="s">
        <v>1448</v>
      </c>
      <c r="B26" s="104" t="s">
        <v>1440</v>
      </c>
      <c r="C26" s="104" t="s">
        <v>1441</v>
      </c>
      <c r="D26" s="104" t="str">
        <f>IFERROR(VLOOKUP("Traffic Signals",Asset_Class!A:D,4,FALSE),"")</f>
        <v>10.9000.9000.11305</v>
      </c>
      <c r="E26" s="111">
        <v>0</v>
      </c>
      <c r="F26" s="104" t="s">
        <v>1553</v>
      </c>
      <c r="G26" s="104">
        <v>294892</v>
      </c>
      <c r="H26" s="104">
        <v>1</v>
      </c>
      <c r="I26" s="106">
        <v>11956.9</v>
      </c>
      <c r="J26" s="106">
        <v>11956.9</v>
      </c>
      <c r="K26" s="112" t="s">
        <v>1389</v>
      </c>
      <c r="L26" s="106">
        <f t="shared" si="0"/>
        <v>0</v>
      </c>
      <c r="M26" s="108">
        <f t="shared" si="1"/>
        <v>11956.9</v>
      </c>
      <c r="N26" s="106">
        <f t="shared" si="2"/>
        <v>0</v>
      </c>
      <c r="O26" s="112" t="s">
        <v>1389</v>
      </c>
      <c r="P26" s="106">
        <f t="shared" si="3"/>
        <v>11956.9</v>
      </c>
      <c r="Q26" s="106">
        <f t="shared" si="4"/>
        <v>11956.9</v>
      </c>
      <c r="R26" s="106">
        <f t="shared" si="5"/>
        <v>0</v>
      </c>
      <c r="S26" s="106"/>
      <c r="T26" s="106"/>
      <c r="U26" s="110">
        <v>40</v>
      </c>
    </row>
    <row r="27" spans="1:21" ht="38.25" x14ac:dyDescent="0.2">
      <c r="A27" s="94" t="s">
        <v>1449</v>
      </c>
      <c r="B27" s="104" t="s">
        <v>1440</v>
      </c>
      <c r="C27" s="104" t="s">
        <v>1441</v>
      </c>
      <c r="D27" s="104" t="str">
        <f>IFERROR(VLOOKUP("Traffic Signals",Asset_Class!A:D,4,FALSE),"")</f>
        <v>10.9000.9000.11305</v>
      </c>
      <c r="E27" s="111">
        <v>0</v>
      </c>
      <c r="F27" s="104" t="s">
        <v>1551</v>
      </c>
      <c r="G27" s="104">
        <v>294893</v>
      </c>
      <c r="H27" s="104">
        <v>1</v>
      </c>
      <c r="I27" s="106">
        <v>8966.99</v>
      </c>
      <c r="J27" s="106">
        <v>8966.99</v>
      </c>
      <c r="K27" s="112" t="s">
        <v>1389</v>
      </c>
      <c r="L27" s="106">
        <f t="shared" si="0"/>
        <v>0</v>
      </c>
      <c r="M27" s="108">
        <f t="shared" si="1"/>
        <v>8966.99</v>
      </c>
      <c r="N27" s="106">
        <f t="shared" si="2"/>
        <v>0</v>
      </c>
      <c r="O27" s="107" t="s">
        <v>1389</v>
      </c>
      <c r="P27" s="106">
        <f t="shared" si="3"/>
        <v>8966.99</v>
      </c>
      <c r="Q27" s="106">
        <f t="shared" si="4"/>
        <v>8966.99</v>
      </c>
      <c r="R27" s="106">
        <f t="shared" si="5"/>
        <v>0</v>
      </c>
      <c r="S27" s="109"/>
      <c r="T27" s="109"/>
      <c r="U27" s="110">
        <v>40</v>
      </c>
    </row>
    <row r="28" spans="1:21" ht="25.5" x14ac:dyDescent="0.2">
      <c r="A28" s="94" t="s">
        <v>1450</v>
      </c>
      <c r="B28" s="104" t="s">
        <v>1440</v>
      </c>
      <c r="C28" s="104" t="s">
        <v>1441</v>
      </c>
      <c r="D28" s="104" t="str">
        <f>IFERROR(VLOOKUP("Traffic Signals",Asset_Class!A:D,4,FALSE),"")</f>
        <v>10.9000.9000.11305</v>
      </c>
      <c r="E28" s="111">
        <v>0</v>
      </c>
      <c r="F28" s="104" t="s">
        <v>1550</v>
      </c>
      <c r="G28" s="104">
        <v>294894</v>
      </c>
      <c r="H28" s="104">
        <v>1</v>
      </c>
      <c r="I28" s="106">
        <v>1270.06</v>
      </c>
      <c r="J28" s="106">
        <v>1270.06</v>
      </c>
      <c r="K28" s="112" t="s">
        <v>1389</v>
      </c>
      <c r="L28" s="106">
        <f t="shared" si="0"/>
        <v>0</v>
      </c>
      <c r="M28" s="108">
        <f t="shared" si="1"/>
        <v>1270.06</v>
      </c>
      <c r="N28" s="106">
        <f t="shared" si="2"/>
        <v>0</v>
      </c>
      <c r="O28" s="107" t="s">
        <v>1389</v>
      </c>
      <c r="P28" s="106">
        <f t="shared" si="3"/>
        <v>1270.06</v>
      </c>
      <c r="Q28" s="106">
        <f t="shared" si="4"/>
        <v>1270.06</v>
      </c>
      <c r="R28" s="106">
        <f t="shared" si="5"/>
        <v>0</v>
      </c>
      <c r="S28" s="109"/>
      <c r="T28" s="109"/>
      <c r="U28" s="110">
        <v>40</v>
      </c>
    </row>
    <row r="29" spans="1:21" ht="38.25" x14ac:dyDescent="0.2">
      <c r="A29" s="94" t="s">
        <v>1451</v>
      </c>
      <c r="B29" s="104" t="s">
        <v>1440</v>
      </c>
      <c r="C29" s="104" t="s">
        <v>1441</v>
      </c>
      <c r="D29" s="104" t="str">
        <f>IFERROR(VLOOKUP("Traffic Signals",Asset_Class!A:D,4,FALSE),"")</f>
        <v>10.9000.9000.11305</v>
      </c>
      <c r="E29" s="111">
        <v>0</v>
      </c>
      <c r="F29" s="104" t="s">
        <v>1551</v>
      </c>
      <c r="G29" s="104">
        <v>294895</v>
      </c>
      <c r="H29" s="104">
        <v>1</v>
      </c>
      <c r="I29" s="113">
        <v>8966.99</v>
      </c>
      <c r="J29" s="113">
        <v>8966.99</v>
      </c>
      <c r="K29" s="112" t="s">
        <v>1389</v>
      </c>
      <c r="L29" s="106">
        <f t="shared" si="0"/>
        <v>0</v>
      </c>
      <c r="M29" s="114">
        <f t="shared" si="1"/>
        <v>8966.99</v>
      </c>
      <c r="N29" s="106">
        <f t="shared" si="2"/>
        <v>0</v>
      </c>
      <c r="O29" s="107" t="s">
        <v>1389</v>
      </c>
      <c r="P29" s="113">
        <f t="shared" si="3"/>
        <v>8966.99</v>
      </c>
      <c r="Q29" s="113">
        <f t="shared" si="4"/>
        <v>8966.99</v>
      </c>
      <c r="R29" s="106">
        <f t="shared" si="5"/>
        <v>0</v>
      </c>
      <c r="S29" s="109"/>
      <c r="T29" s="109"/>
      <c r="U29" s="110">
        <v>40</v>
      </c>
    </row>
    <row r="30" spans="1:21" ht="25.5" x14ac:dyDescent="0.2">
      <c r="A30" s="94" t="s">
        <v>1452</v>
      </c>
      <c r="B30" s="104" t="s">
        <v>1440</v>
      </c>
      <c r="C30" s="104" t="s">
        <v>1441</v>
      </c>
      <c r="D30" s="104" t="str">
        <f>IFERROR(VLOOKUP("Traffic Signals",Asset_Class!A:D,4,FALSE),"")</f>
        <v>10.9000.9000.11305</v>
      </c>
      <c r="E30" s="111">
        <v>0</v>
      </c>
      <c r="F30" s="104" t="s">
        <v>1550</v>
      </c>
      <c r="G30" s="104">
        <v>294898</v>
      </c>
      <c r="H30" s="104">
        <v>1</v>
      </c>
      <c r="I30" s="113">
        <v>1270.06</v>
      </c>
      <c r="J30" s="113">
        <v>1270.06</v>
      </c>
      <c r="K30" s="112" t="s">
        <v>1389</v>
      </c>
      <c r="L30" s="106">
        <f t="shared" si="0"/>
        <v>0</v>
      </c>
      <c r="M30" s="114">
        <f t="shared" si="1"/>
        <v>1270.06</v>
      </c>
      <c r="N30" s="106">
        <f t="shared" si="2"/>
        <v>0</v>
      </c>
      <c r="O30" s="107" t="s">
        <v>1389</v>
      </c>
      <c r="P30" s="113">
        <f t="shared" si="3"/>
        <v>1270.06</v>
      </c>
      <c r="Q30" s="113">
        <f t="shared" si="4"/>
        <v>1270.06</v>
      </c>
      <c r="R30" s="106">
        <f t="shared" si="5"/>
        <v>0</v>
      </c>
      <c r="S30" s="109"/>
      <c r="T30" s="109"/>
      <c r="U30" s="110">
        <v>40</v>
      </c>
    </row>
    <row r="31" spans="1:21" ht="38.25" x14ac:dyDescent="0.2">
      <c r="A31" s="94" t="s">
        <v>1453</v>
      </c>
      <c r="B31" s="104" t="s">
        <v>1440</v>
      </c>
      <c r="C31" s="104" t="s">
        <v>1441</v>
      </c>
      <c r="D31" s="104" t="str">
        <f>IFERROR(VLOOKUP("Traffic Signals",Asset_Class!A:D,4,FALSE),"")</f>
        <v>10.9000.9000.11305</v>
      </c>
      <c r="E31" s="111">
        <v>0</v>
      </c>
      <c r="F31" s="104" t="s">
        <v>1551</v>
      </c>
      <c r="G31" s="104">
        <v>294896</v>
      </c>
      <c r="H31" s="104">
        <v>1</v>
      </c>
      <c r="I31" s="113">
        <v>8966.99</v>
      </c>
      <c r="J31" s="113">
        <v>8966.99</v>
      </c>
      <c r="K31" s="107" t="s">
        <v>1389</v>
      </c>
      <c r="L31" s="106">
        <f t="shared" si="0"/>
        <v>0</v>
      </c>
      <c r="M31" s="114">
        <f t="shared" si="1"/>
        <v>8966.99</v>
      </c>
      <c r="N31" s="106">
        <f t="shared" si="2"/>
        <v>0</v>
      </c>
      <c r="O31" s="107" t="s">
        <v>1389</v>
      </c>
      <c r="P31" s="113">
        <f t="shared" si="3"/>
        <v>8966.99</v>
      </c>
      <c r="Q31" s="109">
        <f t="shared" si="4"/>
        <v>8966.99</v>
      </c>
      <c r="R31" s="109">
        <f t="shared" si="5"/>
        <v>0</v>
      </c>
      <c r="S31" s="109"/>
      <c r="T31" s="109"/>
      <c r="U31" s="110">
        <v>40</v>
      </c>
    </row>
    <row r="32" spans="1:21" ht="38.25" x14ac:dyDescent="0.2">
      <c r="A32" s="94" t="s">
        <v>1454</v>
      </c>
      <c r="B32" s="104" t="s">
        <v>1440</v>
      </c>
      <c r="C32" s="104" t="s">
        <v>1441</v>
      </c>
      <c r="D32" s="104" t="str">
        <f>IFERROR(VLOOKUP("Traffic Signals",Asset_Class!A:D,4,FALSE),"")</f>
        <v>10.9000.9000.11305</v>
      </c>
      <c r="E32" s="111">
        <v>0</v>
      </c>
      <c r="F32" s="104" t="s">
        <v>1551</v>
      </c>
      <c r="G32" s="104">
        <v>294899</v>
      </c>
      <c r="H32" s="104">
        <v>1</v>
      </c>
      <c r="I32" s="113">
        <v>8966.99</v>
      </c>
      <c r="J32" s="113">
        <v>8966.99</v>
      </c>
      <c r="K32" s="107" t="s">
        <v>1389</v>
      </c>
      <c r="L32" s="106">
        <f t="shared" si="0"/>
        <v>0</v>
      </c>
      <c r="M32" s="114">
        <f t="shared" si="1"/>
        <v>8966.99</v>
      </c>
      <c r="N32" s="106">
        <f t="shared" si="2"/>
        <v>0</v>
      </c>
      <c r="O32" s="107" t="s">
        <v>1389</v>
      </c>
      <c r="P32" s="113">
        <f t="shared" si="3"/>
        <v>8966.99</v>
      </c>
      <c r="Q32" s="109">
        <f t="shared" si="4"/>
        <v>8966.99</v>
      </c>
      <c r="R32" s="109">
        <f t="shared" si="5"/>
        <v>0</v>
      </c>
      <c r="S32" s="109"/>
      <c r="T32" s="109"/>
      <c r="U32" s="110">
        <v>40</v>
      </c>
    </row>
    <row r="33" spans="1:21" ht="51" x14ac:dyDescent="0.2">
      <c r="A33" s="94" t="s">
        <v>1455</v>
      </c>
      <c r="B33" s="104" t="s">
        <v>1440</v>
      </c>
      <c r="C33" s="104" t="s">
        <v>1441</v>
      </c>
      <c r="D33" s="104" t="str">
        <f>IFERROR(VLOOKUP("Traffic Signals",Asset_Class!A:D,4,FALSE),"")</f>
        <v>10.9000.9000.11305</v>
      </c>
      <c r="E33" s="111">
        <v>0</v>
      </c>
      <c r="F33" s="104" t="s">
        <v>1554</v>
      </c>
      <c r="G33" s="104">
        <v>294897</v>
      </c>
      <c r="H33" s="104">
        <v>3</v>
      </c>
      <c r="I33" s="113">
        <v>83.39</v>
      </c>
      <c r="J33" s="113">
        <v>250.18</v>
      </c>
      <c r="K33" s="107" t="s">
        <v>1389</v>
      </c>
      <c r="L33" s="106">
        <f t="shared" si="0"/>
        <v>0</v>
      </c>
      <c r="M33" s="114">
        <f t="shared" si="1"/>
        <v>250.18</v>
      </c>
      <c r="N33" s="106">
        <f t="shared" si="2"/>
        <v>0</v>
      </c>
      <c r="O33" s="107" t="s">
        <v>1389</v>
      </c>
      <c r="P33" s="113">
        <f t="shared" si="3"/>
        <v>250.18</v>
      </c>
      <c r="Q33" s="109">
        <f t="shared" si="4"/>
        <v>250.18</v>
      </c>
      <c r="R33" s="109">
        <f t="shared" si="5"/>
        <v>0</v>
      </c>
      <c r="S33" s="109"/>
      <c r="T33" s="109"/>
      <c r="U33" s="110">
        <v>20</v>
      </c>
    </row>
    <row r="34" spans="1:21" ht="38.25" x14ac:dyDescent="0.2">
      <c r="A34" s="94" t="s">
        <v>1456</v>
      </c>
      <c r="B34" s="104" t="s">
        <v>1440</v>
      </c>
      <c r="C34" s="104" t="s">
        <v>1441</v>
      </c>
      <c r="D34" s="104" t="str">
        <f>IFERROR(VLOOKUP("Traffic Signals",Asset_Class!A:D,4,FALSE),"")</f>
        <v>10.9000.9000.11305</v>
      </c>
      <c r="E34" s="111">
        <v>0</v>
      </c>
      <c r="F34" s="104" t="s">
        <v>1555</v>
      </c>
      <c r="G34" s="104">
        <v>294897</v>
      </c>
      <c r="H34" s="104">
        <v>3</v>
      </c>
      <c r="I34" s="113">
        <v>0</v>
      </c>
      <c r="J34" s="113">
        <v>0</v>
      </c>
      <c r="K34" s="107" t="s">
        <v>1433</v>
      </c>
      <c r="L34" s="106">
        <f t="shared" si="0"/>
        <v>0</v>
      </c>
      <c r="M34" s="114">
        <f t="shared" si="1"/>
        <v>0</v>
      </c>
      <c r="N34" s="106">
        <f t="shared" si="2"/>
        <v>0</v>
      </c>
      <c r="O34" s="107" t="s">
        <v>1389</v>
      </c>
      <c r="P34" s="113">
        <f t="shared" si="3"/>
        <v>0</v>
      </c>
      <c r="Q34" s="109">
        <f t="shared" si="4"/>
        <v>0</v>
      </c>
      <c r="R34" s="109">
        <f t="shared" si="5"/>
        <v>0</v>
      </c>
      <c r="S34" s="109"/>
      <c r="T34" s="109"/>
      <c r="U34" s="110">
        <v>20</v>
      </c>
    </row>
    <row r="35" spans="1:21" ht="63.75" x14ac:dyDescent="0.2">
      <c r="A35" s="94" t="s">
        <v>1457</v>
      </c>
      <c r="B35" s="104" t="s">
        <v>1440</v>
      </c>
      <c r="C35" s="104" t="s">
        <v>1441</v>
      </c>
      <c r="D35" s="104" t="str">
        <f>IFERROR(VLOOKUP("Traffic Signals",Asset_Class!A:D,4,FALSE),"")</f>
        <v>10.9000.9000.11305</v>
      </c>
      <c r="E35" s="111">
        <v>0</v>
      </c>
      <c r="F35" s="104" t="s">
        <v>1556</v>
      </c>
      <c r="G35" s="104">
        <v>294900</v>
      </c>
      <c r="H35" s="104">
        <v>0.5</v>
      </c>
      <c r="I35" s="113">
        <v>83.39</v>
      </c>
      <c r="J35" s="113">
        <v>41.7</v>
      </c>
      <c r="K35" s="107" t="s">
        <v>1389</v>
      </c>
      <c r="L35" s="106">
        <f t="shared" si="0"/>
        <v>0</v>
      </c>
      <c r="M35" s="114">
        <f t="shared" si="1"/>
        <v>41.7</v>
      </c>
      <c r="N35" s="106">
        <f t="shared" si="2"/>
        <v>0</v>
      </c>
      <c r="O35" s="107" t="s">
        <v>1389</v>
      </c>
      <c r="P35" s="113">
        <f t="shared" si="3"/>
        <v>41.7</v>
      </c>
      <c r="Q35" s="109">
        <f t="shared" si="4"/>
        <v>41.7</v>
      </c>
      <c r="R35" s="109">
        <f t="shared" si="5"/>
        <v>0</v>
      </c>
      <c r="S35" s="109"/>
      <c r="T35" s="109"/>
      <c r="U35" s="110">
        <v>20</v>
      </c>
    </row>
    <row r="36" spans="1:21" ht="51" x14ac:dyDescent="0.2">
      <c r="A36" s="94" t="s">
        <v>1458</v>
      </c>
      <c r="B36" s="104" t="s">
        <v>1440</v>
      </c>
      <c r="C36" s="104" t="s">
        <v>1441</v>
      </c>
      <c r="D36" s="104" t="str">
        <f>IFERROR(VLOOKUP("Traffic Signals",Asset_Class!A:D,4,FALSE),"")</f>
        <v>10.9000.9000.11305</v>
      </c>
      <c r="E36" s="111">
        <v>0</v>
      </c>
      <c r="F36" s="104" t="s">
        <v>1557</v>
      </c>
      <c r="G36" s="104">
        <v>294900</v>
      </c>
      <c r="H36" s="104">
        <v>0.5</v>
      </c>
      <c r="I36" s="113">
        <v>0</v>
      </c>
      <c r="J36" s="113">
        <v>0</v>
      </c>
      <c r="K36" s="107" t="s">
        <v>1433</v>
      </c>
      <c r="L36" s="106">
        <f t="shared" si="0"/>
        <v>0</v>
      </c>
      <c r="M36" s="114">
        <f t="shared" si="1"/>
        <v>0</v>
      </c>
      <c r="N36" s="106">
        <f t="shared" si="2"/>
        <v>0</v>
      </c>
      <c r="O36" s="107" t="s">
        <v>1389</v>
      </c>
      <c r="P36" s="113">
        <f t="shared" si="3"/>
        <v>0</v>
      </c>
      <c r="Q36" s="109">
        <f t="shared" si="4"/>
        <v>0</v>
      </c>
      <c r="R36" s="109">
        <f t="shared" si="5"/>
        <v>0</v>
      </c>
      <c r="S36" s="109"/>
      <c r="T36" s="109"/>
      <c r="U36" s="110">
        <v>20</v>
      </c>
    </row>
    <row r="37" spans="1:21" ht="51" x14ac:dyDescent="0.2">
      <c r="A37" s="94" t="s">
        <v>1459</v>
      </c>
      <c r="B37" s="104" t="s">
        <v>1440</v>
      </c>
      <c r="C37" s="104" t="s">
        <v>1441</v>
      </c>
      <c r="D37" s="104" t="str">
        <f>IFERROR(VLOOKUP("Traffic Signals",Asset_Class!A:D,4,FALSE),"")</f>
        <v>10.9000.9000.11305</v>
      </c>
      <c r="E37" s="111">
        <v>0</v>
      </c>
      <c r="F37" s="104" t="s">
        <v>1557</v>
      </c>
      <c r="G37" s="104">
        <v>294901</v>
      </c>
      <c r="H37" s="104">
        <v>6</v>
      </c>
      <c r="I37" s="113">
        <v>0</v>
      </c>
      <c r="J37" s="113">
        <v>0</v>
      </c>
      <c r="K37" s="107" t="s">
        <v>1433</v>
      </c>
      <c r="L37" s="106">
        <f t="shared" si="0"/>
        <v>0</v>
      </c>
      <c r="M37" s="114">
        <f t="shared" si="1"/>
        <v>0</v>
      </c>
      <c r="N37" s="106">
        <f t="shared" si="2"/>
        <v>0</v>
      </c>
      <c r="O37" s="107" t="s">
        <v>1389</v>
      </c>
      <c r="P37" s="113">
        <f t="shared" si="3"/>
        <v>0</v>
      </c>
      <c r="Q37" s="109">
        <f t="shared" si="4"/>
        <v>0</v>
      </c>
      <c r="R37" s="109">
        <f t="shared" si="5"/>
        <v>0</v>
      </c>
      <c r="S37" s="109"/>
      <c r="T37" s="109"/>
      <c r="U37" s="110">
        <v>20</v>
      </c>
    </row>
    <row r="38" spans="1:21" ht="63.75" x14ac:dyDescent="0.2">
      <c r="A38" s="94" t="s">
        <v>1460</v>
      </c>
      <c r="B38" s="104" t="s">
        <v>1440</v>
      </c>
      <c r="C38" s="104" t="s">
        <v>1441</v>
      </c>
      <c r="D38" s="104" t="str">
        <f>IFERROR(VLOOKUP("Traffic Signals",Asset_Class!A:D,4,FALSE),"")</f>
        <v>10.9000.9000.11305</v>
      </c>
      <c r="E38" s="111">
        <v>0</v>
      </c>
      <c r="F38" s="104" t="s">
        <v>1558</v>
      </c>
      <c r="G38" s="104">
        <v>294901</v>
      </c>
      <c r="H38" s="104">
        <v>6</v>
      </c>
      <c r="I38" s="113">
        <v>83.39</v>
      </c>
      <c r="J38" s="113">
        <v>500.37</v>
      </c>
      <c r="K38" s="107" t="s">
        <v>1389</v>
      </c>
      <c r="L38" s="106">
        <f t="shared" si="0"/>
        <v>0</v>
      </c>
      <c r="M38" s="114">
        <f t="shared" si="1"/>
        <v>500.37</v>
      </c>
      <c r="N38" s="106">
        <f t="shared" si="2"/>
        <v>0</v>
      </c>
      <c r="O38" s="107" t="s">
        <v>1389</v>
      </c>
      <c r="P38" s="113">
        <f t="shared" si="3"/>
        <v>500.37</v>
      </c>
      <c r="Q38" s="109">
        <f t="shared" si="4"/>
        <v>500.37</v>
      </c>
      <c r="R38" s="109">
        <f t="shared" si="5"/>
        <v>0</v>
      </c>
      <c r="S38" s="109"/>
      <c r="T38" s="109"/>
      <c r="U38" s="110">
        <v>20</v>
      </c>
    </row>
    <row r="39" spans="1:21" ht="63.75" x14ac:dyDescent="0.2">
      <c r="A39" s="94" t="s">
        <v>1461</v>
      </c>
      <c r="B39" s="104" t="s">
        <v>1440</v>
      </c>
      <c r="C39" s="104" t="s">
        <v>1441</v>
      </c>
      <c r="D39" s="104" t="str">
        <f>IFERROR(VLOOKUP("Traffic Signals",Asset_Class!A:D,4,FALSE),"")</f>
        <v>10.9000.9000.11305</v>
      </c>
      <c r="E39" s="111">
        <v>0</v>
      </c>
      <c r="F39" s="104" t="s">
        <v>1559</v>
      </c>
      <c r="G39" s="104">
        <v>294901</v>
      </c>
      <c r="H39" s="104">
        <v>6</v>
      </c>
      <c r="I39" s="113">
        <v>157.22</v>
      </c>
      <c r="J39" s="113">
        <v>943.32</v>
      </c>
      <c r="K39" s="107" t="s">
        <v>1389</v>
      </c>
      <c r="L39" s="106">
        <f t="shared" si="0"/>
        <v>0</v>
      </c>
      <c r="M39" s="114">
        <f t="shared" si="1"/>
        <v>943.32</v>
      </c>
      <c r="N39" s="106">
        <f t="shared" si="2"/>
        <v>0</v>
      </c>
      <c r="O39" s="107" t="s">
        <v>1389</v>
      </c>
      <c r="P39" s="113">
        <f t="shared" si="3"/>
        <v>943.32</v>
      </c>
      <c r="Q39" s="109">
        <f t="shared" si="4"/>
        <v>943.32</v>
      </c>
      <c r="R39" s="109">
        <f t="shared" si="5"/>
        <v>0</v>
      </c>
      <c r="S39" s="109"/>
      <c r="T39" s="109"/>
      <c r="U39" s="110">
        <v>20</v>
      </c>
    </row>
    <row r="40" spans="1:21" ht="51" x14ac:dyDescent="0.2">
      <c r="A40" s="94" t="s">
        <v>1462</v>
      </c>
      <c r="B40" s="104" t="s">
        <v>1440</v>
      </c>
      <c r="C40" s="104" t="s">
        <v>1441</v>
      </c>
      <c r="D40" s="104" t="str">
        <f>IFERROR(VLOOKUP("Traffic Signals",Asset_Class!A:D,4,FALSE),"")</f>
        <v>10.9000.9000.11305</v>
      </c>
      <c r="E40" s="111">
        <v>0</v>
      </c>
      <c r="F40" s="104" t="s">
        <v>1557</v>
      </c>
      <c r="G40" s="104">
        <v>294905</v>
      </c>
      <c r="H40" s="104">
        <v>6</v>
      </c>
      <c r="I40" s="113">
        <v>0</v>
      </c>
      <c r="J40" s="113">
        <v>0</v>
      </c>
      <c r="K40" s="107" t="s">
        <v>1433</v>
      </c>
      <c r="L40" s="106">
        <f t="shared" si="0"/>
        <v>0</v>
      </c>
      <c r="M40" s="114">
        <f t="shared" si="1"/>
        <v>0</v>
      </c>
      <c r="N40" s="106">
        <f t="shared" si="2"/>
        <v>0</v>
      </c>
      <c r="O40" s="107" t="s">
        <v>1389</v>
      </c>
      <c r="P40" s="113">
        <f t="shared" si="3"/>
        <v>0</v>
      </c>
      <c r="Q40" s="109">
        <f t="shared" si="4"/>
        <v>0</v>
      </c>
      <c r="R40" s="109">
        <f t="shared" si="5"/>
        <v>0</v>
      </c>
      <c r="S40" s="109"/>
      <c r="T40" s="109"/>
      <c r="U40" s="110">
        <v>20</v>
      </c>
    </row>
    <row r="41" spans="1:21" ht="63.75" x14ac:dyDescent="0.2">
      <c r="A41" s="94" t="s">
        <v>1463</v>
      </c>
      <c r="B41" s="104" t="s">
        <v>1440</v>
      </c>
      <c r="C41" s="104" t="s">
        <v>1441</v>
      </c>
      <c r="D41" s="104" t="str">
        <f>IFERROR(VLOOKUP("Traffic Signals",Asset_Class!A:D,4,FALSE),"")</f>
        <v>10.9000.9000.11305</v>
      </c>
      <c r="E41" s="111">
        <v>0</v>
      </c>
      <c r="F41" s="104" t="s">
        <v>1558</v>
      </c>
      <c r="G41" s="104">
        <v>294905</v>
      </c>
      <c r="H41" s="104">
        <v>6</v>
      </c>
      <c r="I41" s="113">
        <v>83.39</v>
      </c>
      <c r="J41" s="113">
        <v>500.37</v>
      </c>
      <c r="K41" s="107" t="s">
        <v>1389</v>
      </c>
      <c r="L41" s="106">
        <f t="shared" si="0"/>
        <v>0</v>
      </c>
      <c r="M41" s="114">
        <f t="shared" si="1"/>
        <v>500.37</v>
      </c>
      <c r="N41" s="106">
        <f t="shared" si="2"/>
        <v>0</v>
      </c>
      <c r="O41" s="107" t="s">
        <v>1389</v>
      </c>
      <c r="P41" s="113">
        <f t="shared" si="3"/>
        <v>500.37</v>
      </c>
      <c r="Q41" s="109">
        <f t="shared" si="4"/>
        <v>500.37</v>
      </c>
      <c r="R41" s="109">
        <f t="shared" si="5"/>
        <v>0</v>
      </c>
      <c r="S41" s="109"/>
      <c r="T41" s="109"/>
      <c r="U41" s="110">
        <v>20</v>
      </c>
    </row>
    <row r="42" spans="1:21" ht="63.75" x14ac:dyDescent="0.2">
      <c r="A42" s="94" t="s">
        <v>1464</v>
      </c>
      <c r="B42" s="104" t="s">
        <v>1440</v>
      </c>
      <c r="C42" s="104" t="s">
        <v>1441</v>
      </c>
      <c r="D42" s="104" t="str">
        <f>IFERROR(VLOOKUP("Traffic Signals",Asset_Class!A:D,4,FALSE),"")</f>
        <v>10.9000.9000.11305</v>
      </c>
      <c r="E42" s="111">
        <v>0</v>
      </c>
      <c r="F42" s="104" t="s">
        <v>1559</v>
      </c>
      <c r="G42" s="104">
        <v>294905</v>
      </c>
      <c r="H42" s="104">
        <v>6</v>
      </c>
      <c r="I42" s="113">
        <v>157.22</v>
      </c>
      <c r="J42" s="113">
        <v>943.32</v>
      </c>
      <c r="K42" s="107" t="s">
        <v>1389</v>
      </c>
      <c r="L42" s="106">
        <f t="shared" si="0"/>
        <v>0</v>
      </c>
      <c r="M42" s="114">
        <f t="shared" si="1"/>
        <v>943.32</v>
      </c>
      <c r="N42" s="106">
        <f t="shared" si="2"/>
        <v>0</v>
      </c>
      <c r="O42" s="107" t="s">
        <v>1389</v>
      </c>
      <c r="P42" s="113">
        <f t="shared" si="3"/>
        <v>943.32</v>
      </c>
      <c r="Q42" s="109">
        <f t="shared" si="4"/>
        <v>943.32</v>
      </c>
      <c r="R42" s="109">
        <f t="shared" si="5"/>
        <v>0</v>
      </c>
      <c r="S42" s="109"/>
      <c r="T42" s="109"/>
      <c r="U42" s="110">
        <v>20</v>
      </c>
    </row>
    <row r="43" spans="1:21" ht="51" x14ac:dyDescent="0.2">
      <c r="A43" s="94" t="s">
        <v>1465</v>
      </c>
      <c r="B43" s="104" t="s">
        <v>1440</v>
      </c>
      <c r="C43" s="104" t="s">
        <v>1441</v>
      </c>
      <c r="D43" s="104" t="str">
        <f>IFERROR(VLOOKUP("Traffic Signals",Asset_Class!A:D,4,FALSE),"")</f>
        <v>10.9000.9000.11305</v>
      </c>
      <c r="E43" s="111">
        <v>0</v>
      </c>
      <c r="F43" s="104" t="s">
        <v>1557</v>
      </c>
      <c r="G43" s="104">
        <v>294902</v>
      </c>
      <c r="H43" s="104">
        <v>6</v>
      </c>
      <c r="I43" s="113">
        <v>0</v>
      </c>
      <c r="J43" s="113">
        <v>0</v>
      </c>
      <c r="K43" s="107" t="s">
        <v>1433</v>
      </c>
      <c r="L43" s="106">
        <f t="shared" si="0"/>
        <v>0</v>
      </c>
      <c r="M43" s="114">
        <f t="shared" si="1"/>
        <v>0</v>
      </c>
      <c r="N43" s="106">
        <f t="shared" si="2"/>
        <v>0</v>
      </c>
      <c r="O43" s="107" t="s">
        <v>1389</v>
      </c>
      <c r="P43" s="113">
        <f t="shared" si="3"/>
        <v>0</v>
      </c>
      <c r="Q43" s="109">
        <f t="shared" si="4"/>
        <v>0</v>
      </c>
      <c r="R43" s="109">
        <f t="shared" si="5"/>
        <v>0</v>
      </c>
      <c r="S43" s="109"/>
      <c r="T43" s="109"/>
      <c r="U43" s="110">
        <v>20</v>
      </c>
    </row>
    <row r="44" spans="1:21" ht="63.75" x14ac:dyDescent="0.2">
      <c r="A44" s="94" t="s">
        <v>1466</v>
      </c>
      <c r="B44" s="104" t="s">
        <v>1440</v>
      </c>
      <c r="C44" s="104" t="s">
        <v>1441</v>
      </c>
      <c r="D44" s="104" t="str">
        <f>IFERROR(VLOOKUP("Traffic Signals",Asset_Class!A:D,4,FALSE),"")</f>
        <v>10.9000.9000.11305</v>
      </c>
      <c r="E44" s="111">
        <v>0</v>
      </c>
      <c r="F44" s="104" t="s">
        <v>1558</v>
      </c>
      <c r="G44" s="104">
        <v>294902</v>
      </c>
      <c r="H44" s="104">
        <v>6</v>
      </c>
      <c r="I44" s="113">
        <v>83.39</v>
      </c>
      <c r="J44" s="113">
        <v>500.37</v>
      </c>
      <c r="K44" s="107" t="s">
        <v>1389</v>
      </c>
      <c r="L44" s="106">
        <f t="shared" si="0"/>
        <v>0</v>
      </c>
      <c r="M44" s="114">
        <f t="shared" si="1"/>
        <v>500.37</v>
      </c>
      <c r="N44" s="106">
        <f t="shared" si="2"/>
        <v>0</v>
      </c>
      <c r="O44" s="107" t="s">
        <v>1389</v>
      </c>
      <c r="P44" s="113">
        <f t="shared" si="3"/>
        <v>500.37</v>
      </c>
      <c r="Q44" s="109">
        <f t="shared" si="4"/>
        <v>500.37</v>
      </c>
      <c r="R44" s="109">
        <f t="shared" si="5"/>
        <v>0</v>
      </c>
      <c r="S44" s="109"/>
      <c r="T44" s="109"/>
      <c r="U44" s="110">
        <v>20</v>
      </c>
    </row>
    <row r="45" spans="1:21" ht="63.75" x14ac:dyDescent="0.2">
      <c r="A45" s="94" t="s">
        <v>1467</v>
      </c>
      <c r="B45" s="104" t="s">
        <v>1440</v>
      </c>
      <c r="C45" s="104" t="s">
        <v>1441</v>
      </c>
      <c r="D45" s="104" t="str">
        <f>IFERROR(VLOOKUP("Traffic Signals",Asset_Class!A:D,4,FALSE),"")</f>
        <v>10.9000.9000.11305</v>
      </c>
      <c r="E45" s="111">
        <v>0</v>
      </c>
      <c r="F45" s="104" t="s">
        <v>1559</v>
      </c>
      <c r="G45" s="104">
        <v>294902</v>
      </c>
      <c r="H45" s="104">
        <v>6</v>
      </c>
      <c r="I45" s="113">
        <v>157.22</v>
      </c>
      <c r="J45" s="113">
        <v>943.32</v>
      </c>
      <c r="K45" s="107" t="s">
        <v>1389</v>
      </c>
      <c r="L45" s="106">
        <f t="shared" si="0"/>
        <v>0</v>
      </c>
      <c r="M45" s="114">
        <f t="shared" si="1"/>
        <v>943.32</v>
      </c>
      <c r="N45" s="106">
        <f t="shared" si="2"/>
        <v>0</v>
      </c>
      <c r="O45" s="107" t="s">
        <v>1389</v>
      </c>
      <c r="P45" s="113">
        <f t="shared" si="3"/>
        <v>943.32</v>
      </c>
      <c r="Q45" s="109">
        <f t="shared" si="4"/>
        <v>943.32</v>
      </c>
      <c r="R45" s="109">
        <f t="shared" si="5"/>
        <v>0</v>
      </c>
      <c r="S45" s="109"/>
      <c r="T45" s="109"/>
      <c r="U45" s="110">
        <v>20</v>
      </c>
    </row>
    <row r="46" spans="1:21" ht="63.75" x14ac:dyDescent="0.2">
      <c r="A46" s="94" t="s">
        <v>1468</v>
      </c>
      <c r="B46" s="104" t="s">
        <v>1440</v>
      </c>
      <c r="C46" s="104" t="s">
        <v>1441</v>
      </c>
      <c r="D46" s="104" t="str">
        <f>IFERROR(VLOOKUP("Traffic Signals",Asset_Class!A:D,4,FALSE),"")</f>
        <v>10.9000.9000.11305</v>
      </c>
      <c r="E46" s="111">
        <v>0</v>
      </c>
      <c r="F46" s="104" t="s">
        <v>1556</v>
      </c>
      <c r="G46" s="104">
        <v>294904</v>
      </c>
      <c r="H46" s="104">
        <v>1</v>
      </c>
      <c r="I46" s="113">
        <v>83.39</v>
      </c>
      <c r="J46" s="113">
        <v>83.39</v>
      </c>
      <c r="K46" s="107" t="s">
        <v>1389</v>
      </c>
      <c r="L46" s="106">
        <f t="shared" si="0"/>
        <v>0</v>
      </c>
      <c r="M46" s="114">
        <f t="shared" si="1"/>
        <v>83.39</v>
      </c>
      <c r="N46" s="106">
        <f t="shared" si="2"/>
        <v>0</v>
      </c>
      <c r="O46" s="107" t="s">
        <v>1389</v>
      </c>
      <c r="P46" s="113">
        <f t="shared" si="3"/>
        <v>83.39</v>
      </c>
      <c r="Q46" s="109">
        <f t="shared" si="4"/>
        <v>83.39</v>
      </c>
      <c r="R46" s="109">
        <f t="shared" si="5"/>
        <v>0</v>
      </c>
      <c r="S46" s="109"/>
      <c r="T46" s="109"/>
      <c r="U46" s="110">
        <v>20</v>
      </c>
    </row>
    <row r="47" spans="1:21" ht="51" x14ac:dyDescent="0.2">
      <c r="A47" s="94" t="s">
        <v>1469</v>
      </c>
      <c r="B47" s="104" t="s">
        <v>1440</v>
      </c>
      <c r="C47" s="104" t="s">
        <v>1441</v>
      </c>
      <c r="D47" s="104" t="str">
        <f>IFERROR(VLOOKUP("Traffic Signals",Asset_Class!A:D,4,FALSE),"")</f>
        <v>10.9000.9000.11305</v>
      </c>
      <c r="E47" s="111">
        <v>0</v>
      </c>
      <c r="F47" s="104" t="s">
        <v>1557</v>
      </c>
      <c r="G47" s="104">
        <v>294904</v>
      </c>
      <c r="H47" s="104">
        <v>1</v>
      </c>
      <c r="I47" s="113">
        <v>0</v>
      </c>
      <c r="J47" s="113">
        <v>0</v>
      </c>
      <c r="K47" s="107" t="s">
        <v>1433</v>
      </c>
      <c r="L47" s="106">
        <f t="shared" si="0"/>
        <v>0</v>
      </c>
      <c r="M47" s="114">
        <f t="shared" si="1"/>
        <v>0</v>
      </c>
      <c r="N47" s="106">
        <f t="shared" si="2"/>
        <v>0</v>
      </c>
      <c r="O47" s="107" t="s">
        <v>1389</v>
      </c>
      <c r="P47" s="113">
        <f t="shared" si="3"/>
        <v>0</v>
      </c>
      <c r="Q47" s="109">
        <f t="shared" si="4"/>
        <v>0</v>
      </c>
      <c r="R47" s="109">
        <f t="shared" si="5"/>
        <v>0</v>
      </c>
      <c r="S47" s="109"/>
      <c r="T47" s="109"/>
      <c r="U47" s="110">
        <v>20</v>
      </c>
    </row>
    <row r="48" spans="1:21" ht="51" x14ac:dyDescent="0.2">
      <c r="A48" s="94" t="s">
        <v>1470</v>
      </c>
      <c r="B48" s="104" t="s">
        <v>1440</v>
      </c>
      <c r="C48" s="104" t="s">
        <v>1441</v>
      </c>
      <c r="D48" s="104" t="str">
        <f>IFERROR(VLOOKUP("Traffic Signals",Asset_Class!A:D,4,FALSE),"")</f>
        <v>10.9000.9000.11305</v>
      </c>
      <c r="E48" s="111">
        <v>0</v>
      </c>
      <c r="F48" s="104" t="s">
        <v>1557</v>
      </c>
      <c r="G48" s="104">
        <v>294903</v>
      </c>
      <c r="H48" s="104">
        <v>25</v>
      </c>
      <c r="I48" s="113">
        <v>0</v>
      </c>
      <c r="J48" s="113">
        <v>0</v>
      </c>
      <c r="K48" s="107" t="s">
        <v>1433</v>
      </c>
      <c r="L48" s="106">
        <f t="shared" si="0"/>
        <v>0</v>
      </c>
      <c r="M48" s="114">
        <f t="shared" si="1"/>
        <v>0</v>
      </c>
      <c r="N48" s="106">
        <f t="shared" si="2"/>
        <v>0</v>
      </c>
      <c r="O48" s="107" t="s">
        <v>1389</v>
      </c>
      <c r="P48" s="113">
        <f t="shared" si="3"/>
        <v>0</v>
      </c>
      <c r="Q48" s="109">
        <f t="shared" si="4"/>
        <v>0</v>
      </c>
      <c r="R48" s="109">
        <f t="shared" si="5"/>
        <v>0</v>
      </c>
      <c r="S48" s="109"/>
      <c r="T48" s="109"/>
      <c r="U48" s="110">
        <v>20</v>
      </c>
    </row>
    <row r="49" spans="1:21" ht="63.75" x14ac:dyDescent="0.2">
      <c r="A49" s="94" t="s">
        <v>1471</v>
      </c>
      <c r="B49" s="104" t="s">
        <v>1440</v>
      </c>
      <c r="C49" s="104" t="s">
        <v>1441</v>
      </c>
      <c r="D49" s="104" t="str">
        <f>IFERROR(VLOOKUP("Traffic Signals",Asset_Class!A:D,4,FALSE),"")</f>
        <v>10.9000.9000.11305</v>
      </c>
      <c r="E49" s="111">
        <v>0</v>
      </c>
      <c r="F49" s="104" t="s">
        <v>1558</v>
      </c>
      <c r="G49" s="104">
        <v>294903</v>
      </c>
      <c r="H49" s="104">
        <v>25</v>
      </c>
      <c r="I49" s="113">
        <v>83.39</v>
      </c>
      <c r="J49" s="113">
        <v>2084.87</v>
      </c>
      <c r="K49" s="107" t="s">
        <v>1389</v>
      </c>
      <c r="L49" s="106">
        <f t="shared" si="0"/>
        <v>0</v>
      </c>
      <c r="M49" s="114">
        <f t="shared" si="1"/>
        <v>2084.87</v>
      </c>
      <c r="N49" s="106">
        <f t="shared" si="2"/>
        <v>0</v>
      </c>
      <c r="O49" s="107" t="s">
        <v>1389</v>
      </c>
      <c r="P49" s="113">
        <f t="shared" si="3"/>
        <v>2084.87</v>
      </c>
      <c r="Q49" s="109">
        <f t="shared" si="4"/>
        <v>2084.87</v>
      </c>
      <c r="R49" s="109">
        <f t="shared" si="5"/>
        <v>0</v>
      </c>
      <c r="S49" s="109"/>
      <c r="T49" s="109"/>
      <c r="U49" s="110">
        <v>20</v>
      </c>
    </row>
    <row r="50" spans="1:21" ht="63.75" x14ac:dyDescent="0.2">
      <c r="A50" s="94" t="s">
        <v>1472</v>
      </c>
      <c r="B50" s="104" t="s">
        <v>1440</v>
      </c>
      <c r="C50" s="104" t="s">
        <v>1441</v>
      </c>
      <c r="D50" s="104" t="str">
        <f>IFERROR(VLOOKUP("Traffic Signals",Asset_Class!A:D,4,FALSE),"")</f>
        <v>10.9000.9000.11305</v>
      </c>
      <c r="E50" s="111">
        <v>0</v>
      </c>
      <c r="F50" s="104" t="s">
        <v>1559</v>
      </c>
      <c r="G50" s="104">
        <v>294903</v>
      </c>
      <c r="H50" s="104">
        <v>25</v>
      </c>
      <c r="I50" s="113">
        <v>157.22</v>
      </c>
      <c r="J50" s="113">
        <v>3930.49</v>
      </c>
      <c r="K50" s="107" t="s">
        <v>1389</v>
      </c>
      <c r="L50" s="106">
        <f t="shared" si="0"/>
        <v>0</v>
      </c>
      <c r="M50" s="114">
        <f t="shared" si="1"/>
        <v>3930.49</v>
      </c>
      <c r="N50" s="106">
        <f t="shared" si="2"/>
        <v>0</v>
      </c>
      <c r="O50" s="107" t="s">
        <v>1389</v>
      </c>
      <c r="P50" s="113">
        <f t="shared" si="3"/>
        <v>3930.49</v>
      </c>
      <c r="Q50" s="109">
        <f t="shared" si="4"/>
        <v>3930.49</v>
      </c>
      <c r="R50" s="109">
        <f t="shared" si="5"/>
        <v>0</v>
      </c>
      <c r="S50" s="109"/>
      <c r="T50" s="109"/>
      <c r="U50" s="110">
        <v>20</v>
      </c>
    </row>
    <row r="51" spans="1:21" ht="51" x14ac:dyDescent="0.2">
      <c r="A51" s="94" t="s">
        <v>1473</v>
      </c>
      <c r="B51" s="104" t="s">
        <v>1440</v>
      </c>
      <c r="C51" s="104" t="s">
        <v>1441</v>
      </c>
      <c r="D51" s="104" t="str">
        <f>IFERROR(VLOOKUP("Traffic Signals",Asset_Class!A:D,4,FALSE),"")</f>
        <v>10.9000.9000.11305</v>
      </c>
      <c r="E51" s="111">
        <v>0</v>
      </c>
      <c r="F51" s="104" t="s">
        <v>1557</v>
      </c>
      <c r="G51" s="104">
        <v>294909</v>
      </c>
      <c r="H51" s="104">
        <v>25</v>
      </c>
      <c r="I51" s="113">
        <v>0</v>
      </c>
      <c r="J51" s="113">
        <v>0</v>
      </c>
      <c r="K51" s="107" t="s">
        <v>1433</v>
      </c>
      <c r="L51" s="106">
        <f t="shared" si="0"/>
        <v>0</v>
      </c>
      <c r="M51" s="114">
        <f t="shared" si="1"/>
        <v>0</v>
      </c>
      <c r="N51" s="106">
        <f t="shared" si="2"/>
        <v>0</v>
      </c>
      <c r="O51" s="107" t="s">
        <v>1389</v>
      </c>
      <c r="P51" s="113">
        <f t="shared" si="3"/>
        <v>0</v>
      </c>
      <c r="Q51" s="109">
        <f t="shared" si="4"/>
        <v>0</v>
      </c>
      <c r="R51" s="109">
        <f t="shared" si="5"/>
        <v>0</v>
      </c>
      <c r="S51" s="109"/>
      <c r="T51" s="109"/>
      <c r="U51" s="110">
        <v>20</v>
      </c>
    </row>
    <row r="52" spans="1:21" ht="63.75" x14ac:dyDescent="0.2">
      <c r="A52" s="94" t="s">
        <v>1474</v>
      </c>
      <c r="B52" s="104" t="s">
        <v>1440</v>
      </c>
      <c r="C52" s="104" t="s">
        <v>1441</v>
      </c>
      <c r="D52" s="104" t="str">
        <f>IFERROR(VLOOKUP("Traffic Signals",Asset_Class!A:D,4,FALSE),"")</f>
        <v>10.9000.9000.11305</v>
      </c>
      <c r="E52" s="111">
        <v>0</v>
      </c>
      <c r="F52" s="104" t="s">
        <v>1558</v>
      </c>
      <c r="G52" s="104">
        <v>294909</v>
      </c>
      <c r="H52" s="104">
        <v>25</v>
      </c>
      <c r="I52" s="113">
        <v>83.39</v>
      </c>
      <c r="J52" s="113">
        <v>2084.87</v>
      </c>
      <c r="K52" s="107" t="s">
        <v>1389</v>
      </c>
      <c r="L52" s="106">
        <f t="shared" ref="L52:L83" si="6">IF(K52="Yes",J52/SUMIF(K:K,"Yes",J:J)*PW_Total_Costs,0)</f>
        <v>0</v>
      </c>
      <c r="M52" s="114">
        <f t="shared" ref="M52:M83" si="7">J52+L52</f>
        <v>2084.87</v>
      </c>
      <c r="N52" s="106">
        <f t="shared" ref="N52:N83" si="8">IF(B52="Write-off",0,IFERROR((M52/CPD_Total_Assets_Costs*FI_CY_Expenditure)*FI_Overhead_Percentage,0)+ IFERROR((M52/CPD_Total_Assets_Costs*FI_Prev_Overhead),0))</f>
        <v>0</v>
      </c>
      <c r="O52" s="107" t="s">
        <v>1389</v>
      </c>
      <c r="P52" s="113">
        <f t="shared" ref="P52:P83" si="9">M52+N52</f>
        <v>2084.87</v>
      </c>
      <c r="Q52" s="109">
        <f t="shared" ref="Q52:Q83" si="10">P52*(1-E52)</f>
        <v>2084.87</v>
      </c>
      <c r="R52" s="109">
        <f t="shared" ref="R52:R83" si="11">P52*(E52)</f>
        <v>0</v>
      </c>
      <c r="S52" s="109"/>
      <c r="T52" s="109"/>
      <c r="U52" s="110">
        <v>20</v>
      </c>
    </row>
    <row r="53" spans="1:21" ht="63.75" x14ac:dyDescent="0.2">
      <c r="A53" s="94" t="s">
        <v>1475</v>
      </c>
      <c r="B53" s="104" t="s">
        <v>1440</v>
      </c>
      <c r="C53" s="104" t="s">
        <v>1441</v>
      </c>
      <c r="D53" s="104" t="str">
        <f>IFERROR(VLOOKUP("Traffic Signals",Asset_Class!A:D,4,FALSE),"")</f>
        <v>10.9000.9000.11305</v>
      </c>
      <c r="E53" s="111">
        <v>0</v>
      </c>
      <c r="F53" s="104" t="s">
        <v>1559</v>
      </c>
      <c r="G53" s="104">
        <v>294909</v>
      </c>
      <c r="H53" s="104">
        <v>25</v>
      </c>
      <c r="I53" s="113">
        <v>157.22</v>
      </c>
      <c r="J53" s="113">
        <v>3930.49</v>
      </c>
      <c r="K53" s="107" t="s">
        <v>1389</v>
      </c>
      <c r="L53" s="106">
        <f t="shared" si="6"/>
        <v>0</v>
      </c>
      <c r="M53" s="114">
        <f t="shared" si="7"/>
        <v>3930.49</v>
      </c>
      <c r="N53" s="106">
        <f t="shared" si="8"/>
        <v>0</v>
      </c>
      <c r="O53" s="107" t="s">
        <v>1389</v>
      </c>
      <c r="P53" s="113">
        <f t="shared" si="9"/>
        <v>3930.49</v>
      </c>
      <c r="Q53" s="109">
        <f t="shared" si="10"/>
        <v>3930.49</v>
      </c>
      <c r="R53" s="109">
        <f t="shared" si="11"/>
        <v>0</v>
      </c>
      <c r="S53" s="109"/>
      <c r="T53" s="109"/>
      <c r="U53" s="110">
        <v>20</v>
      </c>
    </row>
    <row r="54" spans="1:21" ht="51" x14ac:dyDescent="0.2">
      <c r="A54" s="94" t="s">
        <v>1476</v>
      </c>
      <c r="B54" s="104" t="s">
        <v>1440</v>
      </c>
      <c r="C54" s="104" t="s">
        <v>1441</v>
      </c>
      <c r="D54" s="104" t="str">
        <f>IFERROR(VLOOKUP("Traffic Signals",Asset_Class!A:D,4,FALSE),"")</f>
        <v>10.9000.9000.11305</v>
      </c>
      <c r="E54" s="111">
        <v>0</v>
      </c>
      <c r="F54" s="104" t="s">
        <v>1557</v>
      </c>
      <c r="G54" s="104">
        <v>294910</v>
      </c>
      <c r="H54" s="104">
        <v>25</v>
      </c>
      <c r="I54" s="113">
        <v>0</v>
      </c>
      <c r="J54" s="113">
        <v>0</v>
      </c>
      <c r="K54" s="107" t="s">
        <v>1433</v>
      </c>
      <c r="L54" s="106">
        <f t="shared" si="6"/>
        <v>0</v>
      </c>
      <c r="M54" s="114">
        <f t="shared" si="7"/>
        <v>0</v>
      </c>
      <c r="N54" s="106">
        <f t="shared" si="8"/>
        <v>0</v>
      </c>
      <c r="O54" s="107" t="s">
        <v>1389</v>
      </c>
      <c r="P54" s="113">
        <f t="shared" si="9"/>
        <v>0</v>
      </c>
      <c r="Q54" s="109">
        <f t="shared" si="10"/>
        <v>0</v>
      </c>
      <c r="R54" s="109">
        <f t="shared" si="11"/>
        <v>0</v>
      </c>
      <c r="S54" s="109"/>
      <c r="T54" s="109"/>
      <c r="U54" s="110">
        <v>20</v>
      </c>
    </row>
    <row r="55" spans="1:21" ht="63.75" x14ac:dyDescent="0.2">
      <c r="A55" s="94" t="s">
        <v>1477</v>
      </c>
      <c r="B55" s="104" t="s">
        <v>1440</v>
      </c>
      <c r="C55" s="104" t="s">
        <v>1441</v>
      </c>
      <c r="D55" s="104" t="str">
        <f>IFERROR(VLOOKUP("Traffic Signals",Asset_Class!A:D,4,FALSE),"")</f>
        <v>10.9000.9000.11305</v>
      </c>
      <c r="E55" s="111">
        <v>0</v>
      </c>
      <c r="F55" s="104" t="s">
        <v>1558</v>
      </c>
      <c r="G55" s="104">
        <v>294910</v>
      </c>
      <c r="H55" s="104">
        <v>25</v>
      </c>
      <c r="I55" s="113">
        <v>83.39</v>
      </c>
      <c r="J55" s="113">
        <v>2084.87</v>
      </c>
      <c r="K55" s="107" t="s">
        <v>1389</v>
      </c>
      <c r="L55" s="106">
        <f t="shared" si="6"/>
        <v>0</v>
      </c>
      <c r="M55" s="114">
        <f t="shared" si="7"/>
        <v>2084.87</v>
      </c>
      <c r="N55" s="106">
        <f t="shared" si="8"/>
        <v>0</v>
      </c>
      <c r="O55" s="107" t="s">
        <v>1389</v>
      </c>
      <c r="P55" s="113">
        <f t="shared" si="9"/>
        <v>2084.87</v>
      </c>
      <c r="Q55" s="109">
        <f t="shared" si="10"/>
        <v>2084.87</v>
      </c>
      <c r="R55" s="109">
        <f t="shared" si="11"/>
        <v>0</v>
      </c>
      <c r="S55" s="109"/>
      <c r="T55" s="109"/>
      <c r="U55" s="110">
        <v>20</v>
      </c>
    </row>
    <row r="56" spans="1:21" ht="63.75" x14ac:dyDescent="0.2">
      <c r="A56" s="94" t="s">
        <v>1478</v>
      </c>
      <c r="B56" s="104" t="s">
        <v>1440</v>
      </c>
      <c r="C56" s="104" t="s">
        <v>1441</v>
      </c>
      <c r="D56" s="104" t="str">
        <f>IFERROR(VLOOKUP("Traffic Signals",Asset_Class!A:D,4,FALSE),"")</f>
        <v>10.9000.9000.11305</v>
      </c>
      <c r="E56" s="111">
        <v>0</v>
      </c>
      <c r="F56" s="104" t="s">
        <v>1559</v>
      </c>
      <c r="G56" s="104">
        <v>294910</v>
      </c>
      <c r="H56" s="104">
        <v>25</v>
      </c>
      <c r="I56" s="113">
        <v>157.22</v>
      </c>
      <c r="J56" s="113">
        <v>3930.49</v>
      </c>
      <c r="K56" s="107" t="s">
        <v>1389</v>
      </c>
      <c r="L56" s="106">
        <f t="shared" si="6"/>
        <v>0</v>
      </c>
      <c r="M56" s="114">
        <f t="shared" si="7"/>
        <v>3930.49</v>
      </c>
      <c r="N56" s="106">
        <f t="shared" si="8"/>
        <v>0</v>
      </c>
      <c r="O56" s="107" t="s">
        <v>1389</v>
      </c>
      <c r="P56" s="113">
        <f t="shared" si="9"/>
        <v>3930.49</v>
      </c>
      <c r="Q56" s="109">
        <f t="shared" si="10"/>
        <v>3930.49</v>
      </c>
      <c r="R56" s="109">
        <f t="shared" si="11"/>
        <v>0</v>
      </c>
      <c r="S56" s="109"/>
      <c r="T56" s="109"/>
      <c r="U56" s="110">
        <v>20</v>
      </c>
    </row>
    <row r="57" spans="1:21" ht="51" x14ac:dyDescent="0.2">
      <c r="A57" s="94" t="s">
        <v>1479</v>
      </c>
      <c r="B57" s="104" t="s">
        <v>1440</v>
      </c>
      <c r="C57" s="104" t="s">
        <v>1441</v>
      </c>
      <c r="D57" s="104" t="str">
        <f>IFERROR(VLOOKUP("Traffic Signals",Asset_Class!A:D,4,FALSE),"")</f>
        <v>10.9000.9000.11305</v>
      </c>
      <c r="E57" s="111">
        <v>0</v>
      </c>
      <c r="F57" s="104" t="s">
        <v>1554</v>
      </c>
      <c r="G57" s="104">
        <v>294906</v>
      </c>
      <c r="H57" s="104">
        <v>3</v>
      </c>
      <c r="I57" s="113">
        <v>83.39</v>
      </c>
      <c r="J57" s="113">
        <v>250.18</v>
      </c>
      <c r="K57" s="107" t="s">
        <v>1389</v>
      </c>
      <c r="L57" s="106">
        <f t="shared" si="6"/>
        <v>0</v>
      </c>
      <c r="M57" s="114">
        <f t="shared" si="7"/>
        <v>250.18</v>
      </c>
      <c r="N57" s="106">
        <f t="shared" si="8"/>
        <v>0</v>
      </c>
      <c r="O57" s="107" t="s">
        <v>1389</v>
      </c>
      <c r="P57" s="113">
        <f t="shared" si="9"/>
        <v>250.18</v>
      </c>
      <c r="Q57" s="109">
        <f t="shared" si="10"/>
        <v>250.18</v>
      </c>
      <c r="R57" s="109">
        <f t="shared" si="11"/>
        <v>0</v>
      </c>
      <c r="S57" s="109"/>
      <c r="T57" s="109"/>
      <c r="U57" s="110">
        <v>20</v>
      </c>
    </row>
    <row r="58" spans="1:21" ht="38.25" x14ac:dyDescent="0.2">
      <c r="A58" s="94" t="s">
        <v>1480</v>
      </c>
      <c r="B58" s="104" t="s">
        <v>1440</v>
      </c>
      <c r="C58" s="104" t="s">
        <v>1441</v>
      </c>
      <c r="D58" s="104" t="str">
        <f>IFERROR(VLOOKUP("Traffic Signals",Asset_Class!A:D,4,FALSE),"")</f>
        <v>10.9000.9000.11305</v>
      </c>
      <c r="E58" s="111">
        <v>0</v>
      </c>
      <c r="F58" s="104" t="s">
        <v>1560</v>
      </c>
      <c r="G58" s="104">
        <v>294906</v>
      </c>
      <c r="H58" s="104">
        <v>3</v>
      </c>
      <c r="I58" s="113">
        <v>0</v>
      </c>
      <c r="J58" s="113">
        <v>0</v>
      </c>
      <c r="K58" s="107" t="s">
        <v>1433</v>
      </c>
      <c r="L58" s="106">
        <f t="shared" si="6"/>
        <v>0</v>
      </c>
      <c r="M58" s="114">
        <f t="shared" si="7"/>
        <v>0</v>
      </c>
      <c r="N58" s="106">
        <f t="shared" si="8"/>
        <v>0</v>
      </c>
      <c r="O58" s="107" t="s">
        <v>1389</v>
      </c>
      <c r="P58" s="113">
        <f t="shared" si="9"/>
        <v>0</v>
      </c>
      <c r="Q58" s="109">
        <f t="shared" si="10"/>
        <v>0</v>
      </c>
      <c r="R58" s="109">
        <f t="shared" si="11"/>
        <v>0</v>
      </c>
      <c r="S58" s="109"/>
      <c r="T58" s="109"/>
      <c r="U58" s="110">
        <v>20</v>
      </c>
    </row>
    <row r="59" spans="1:21" ht="63.75" x14ac:dyDescent="0.2">
      <c r="A59" s="94" t="s">
        <v>1481</v>
      </c>
      <c r="B59" s="104" t="s">
        <v>1440</v>
      </c>
      <c r="C59" s="104" t="s">
        <v>1441</v>
      </c>
      <c r="D59" s="104" t="str">
        <f>IFERROR(VLOOKUP("Traffic Signals",Asset_Class!A:D,4,FALSE),"")</f>
        <v>10.9000.9000.11305</v>
      </c>
      <c r="E59" s="111">
        <v>0</v>
      </c>
      <c r="F59" s="104" t="s">
        <v>1556</v>
      </c>
      <c r="G59" s="104">
        <v>294907</v>
      </c>
      <c r="H59" s="104">
        <v>4</v>
      </c>
      <c r="I59" s="113">
        <v>83.39</v>
      </c>
      <c r="J59" s="113">
        <v>333.58</v>
      </c>
      <c r="K59" s="107" t="s">
        <v>1389</v>
      </c>
      <c r="L59" s="106">
        <f t="shared" si="6"/>
        <v>0</v>
      </c>
      <c r="M59" s="114">
        <f t="shared" si="7"/>
        <v>333.58</v>
      </c>
      <c r="N59" s="106">
        <f t="shared" si="8"/>
        <v>0</v>
      </c>
      <c r="O59" s="107" t="s">
        <v>1389</v>
      </c>
      <c r="P59" s="113">
        <f t="shared" si="9"/>
        <v>333.58</v>
      </c>
      <c r="Q59" s="109">
        <f t="shared" si="10"/>
        <v>333.58</v>
      </c>
      <c r="R59" s="109">
        <f t="shared" si="11"/>
        <v>0</v>
      </c>
      <c r="S59" s="109"/>
      <c r="T59" s="109"/>
      <c r="U59" s="110">
        <v>20</v>
      </c>
    </row>
    <row r="60" spans="1:21" ht="51" x14ac:dyDescent="0.2">
      <c r="A60" s="94" t="s">
        <v>1482</v>
      </c>
      <c r="B60" s="104" t="s">
        <v>1440</v>
      </c>
      <c r="C60" s="104" t="s">
        <v>1441</v>
      </c>
      <c r="D60" s="104" t="str">
        <f>IFERROR(VLOOKUP("Traffic Signals",Asset_Class!A:D,4,FALSE),"")</f>
        <v>10.9000.9000.11305</v>
      </c>
      <c r="E60" s="111">
        <v>0</v>
      </c>
      <c r="F60" s="104" t="s">
        <v>1557</v>
      </c>
      <c r="G60" s="104">
        <v>294907</v>
      </c>
      <c r="H60" s="104">
        <v>4</v>
      </c>
      <c r="I60" s="113">
        <v>0</v>
      </c>
      <c r="J60" s="113">
        <v>0</v>
      </c>
      <c r="K60" s="107" t="s">
        <v>1433</v>
      </c>
      <c r="L60" s="106">
        <f t="shared" si="6"/>
        <v>0</v>
      </c>
      <c r="M60" s="114">
        <f t="shared" si="7"/>
        <v>0</v>
      </c>
      <c r="N60" s="106">
        <f t="shared" si="8"/>
        <v>0</v>
      </c>
      <c r="O60" s="107" t="s">
        <v>1389</v>
      </c>
      <c r="P60" s="113">
        <f t="shared" si="9"/>
        <v>0</v>
      </c>
      <c r="Q60" s="109">
        <f t="shared" si="10"/>
        <v>0</v>
      </c>
      <c r="R60" s="109">
        <f t="shared" si="11"/>
        <v>0</v>
      </c>
      <c r="S60" s="109"/>
      <c r="T60" s="109"/>
      <c r="U60" s="110">
        <v>20</v>
      </c>
    </row>
    <row r="61" spans="1:21" ht="63.75" x14ac:dyDescent="0.2">
      <c r="A61" s="94" t="s">
        <v>1483</v>
      </c>
      <c r="B61" s="104" t="s">
        <v>1440</v>
      </c>
      <c r="C61" s="104" t="s">
        <v>1441</v>
      </c>
      <c r="D61" s="104" t="str">
        <f>IFERROR(VLOOKUP("Traffic Signals",Asset_Class!A:D,4,FALSE),"")</f>
        <v>10.9000.9000.11305</v>
      </c>
      <c r="E61" s="111">
        <v>0</v>
      </c>
      <c r="F61" s="104" t="s">
        <v>1556</v>
      </c>
      <c r="G61" s="104">
        <v>294908</v>
      </c>
      <c r="H61" s="104">
        <v>4</v>
      </c>
      <c r="I61" s="113">
        <v>83.39</v>
      </c>
      <c r="J61" s="113">
        <v>333.58</v>
      </c>
      <c r="K61" s="107" t="s">
        <v>1389</v>
      </c>
      <c r="L61" s="106">
        <f t="shared" si="6"/>
        <v>0</v>
      </c>
      <c r="M61" s="114">
        <f t="shared" si="7"/>
        <v>333.58</v>
      </c>
      <c r="N61" s="106">
        <f t="shared" si="8"/>
        <v>0</v>
      </c>
      <c r="O61" s="107" t="s">
        <v>1389</v>
      </c>
      <c r="P61" s="113">
        <f t="shared" si="9"/>
        <v>333.58</v>
      </c>
      <c r="Q61" s="109">
        <f t="shared" si="10"/>
        <v>333.58</v>
      </c>
      <c r="R61" s="109">
        <f t="shared" si="11"/>
        <v>0</v>
      </c>
      <c r="S61" s="109"/>
      <c r="T61" s="109"/>
      <c r="U61" s="110">
        <v>20</v>
      </c>
    </row>
    <row r="62" spans="1:21" ht="51" x14ac:dyDescent="0.2">
      <c r="A62" s="94" t="s">
        <v>1484</v>
      </c>
      <c r="B62" s="104" t="s">
        <v>1440</v>
      </c>
      <c r="C62" s="104" t="s">
        <v>1441</v>
      </c>
      <c r="D62" s="104" t="str">
        <f>IFERROR(VLOOKUP("Traffic Signals",Asset_Class!A:D,4,FALSE),"")</f>
        <v>10.9000.9000.11305</v>
      </c>
      <c r="E62" s="111">
        <v>0</v>
      </c>
      <c r="F62" s="104" t="s">
        <v>1557</v>
      </c>
      <c r="G62" s="104">
        <v>294908</v>
      </c>
      <c r="H62" s="104">
        <v>4</v>
      </c>
      <c r="I62" s="113">
        <v>0</v>
      </c>
      <c r="J62" s="113">
        <v>0</v>
      </c>
      <c r="K62" s="107" t="s">
        <v>1433</v>
      </c>
      <c r="L62" s="106">
        <f t="shared" si="6"/>
        <v>0</v>
      </c>
      <c r="M62" s="114">
        <f t="shared" si="7"/>
        <v>0</v>
      </c>
      <c r="N62" s="106">
        <f t="shared" si="8"/>
        <v>0</v>
      </c>
      <c r="O62" s="107" t="s">
        <v>1389</v>
      </c>
      <c r="P62" s="113">
        <f t="shared" si="9"/>
        <v>0</v>
      </c>
      <c r="Q62" s="109">
        <f t="shared" si="10"/>
        <v>0</v>
      </c>
      <c r="R62" s="109">
        <f t="shared" si="11"/>
        <v>0</v>
      </c>
      <c r="S62" s="109"/>
      <c r="T62" s="109"/>
      <c r="U62" s="110">
        <v>20</v>
      </c>
    </row>
    <row r="63" spans="1:21" ht="51" x14ac:dyDescent="0.2">
      <c r="A63" s="94" t="s">
        <v>1485</v>
      </c>
      <c r="B63" s="104" t="s">
        <v>1440</v>
      </c>
      <c r="C63" s="104" t="s">
        <v>1441</v>
      </c>
      <c r="D63" s="104" t="str">
        <f>IFERROR(VLOOKUP("Traffic Signals",Asset_Class!A:D,4,FALSE),"")</f>
        <v>10.9000.9000.11305</v>
      </c>
      <c r="E63" s="111">
        <v>0</v>
      </c>
      <c r="F63" s="104" t="s">
        <v>1557</v>
      </c>
      <c r="G63" s="104">
        <v>294911</v>
      </c>
      <c r="H63" s="104">
        <v>9</v>
      </c>
      <c r="I63" s="113">
        <v>0</v>
      </c>
      <c r="J63" s="113">
        <v>0</v>
      </c>
      <c r="K63" s="107" t="s">
        <v>1433</v>
      </c>
      <c r="L63" s="106">
        <f t="shared" si="6"/>
        <v>0</v>
      </c>
      <c r="M63" s="114">
        <f t="shared" si="7"/>
        <v>0</v>
      </c>
      <c r="N63" s="106">
        <f t="shared" si="8"/>
        <v>0</v>
      </c>
      <c r="O63" s="107" t="s">
        <v>1389</v>
      </c>
      <c r="P63" s="113">
        <f t="shared" si="9"/>
        <v>0</v>
      </c>
      <c r="Q63" s="109">
        <f t="shared" si="10"/>
        <v>0</v>
      </c>
      <c r="R63" s="109">
        <f t="shared" si="11"/>
        <v>0</v>
      </c>
      <c r="S63" s="109"/>
      <c r="T63" s="109"/>
      <c r="U63" s="110">
        <v>20</v>
      </c>
    </row>
    <row r="64" spans="1:21" ht="63.75" x14ac:dyDescent="0.2">
      <c r="A64" s="94" t="s">
        <v>1486</v>
      </c>
      <c r="B64" s="104" t="s">
        <v>1440</v>
      </c>
      <c r="C64" s="104" t="s">
        <v>1441</v>
      </c>
      <c r="D64" s="104" t="str">
        <f>IFERROR(VLOOKUP("Traffic Signals",Asset_Class!A:D,4,FALSE),"")</f>
        <v>10.9000.9000.11305</v>
      </c>
      <c r="E64" s="111">
        <v>0</v>
      </c>
      <c r="F64" s="104" t="s">
        <v>1558</v>
      </c>
      <c r="G64" s="104">
        <v>294911</v>
      </c>
      <c r="H64" s="104">
        <v>9</v>
      </c>
      <c r="I64" s="113">
        <v>83.39</v>
      </c>
      <c r="J64" s="113">
        <v>750.55</v>
      </c>
      <c r="K64" s="107" t="s">
        <v>1389</v>
      </c>
      <c r="L64" s="106">
        <f t="shared" si="6"/>
        <v>0</v>
      </c>
      <c r="M64" s="114">
        <f t="shared" si="7"/>
        <v>750.55</v>
      </c>
      <c r="N64" s="106">
        <f t="shared" si="8"/>
        <v>0</v>
      </c>
      <c r="O64" s="107" t="s">
        <v>1389</v>
      </c>
      <c r="P64" s="113">
        <f t="shared" si="9"/>
        <v>750.55</v>
      </c>
      <c r="Q64" s="109">
        <f t="shared" si="10"/>
        <v>750.55</v>
      </c>
      <c r="R64" s="109">
        <f t="shared" si="11"/>
        <v>0</v>
      </c>
      <c r="S64" s="109"/>
      <c r="T64" s="109"/>
      <c r="U64" s="110">
        <v>20</v>
      </c>
    </row>
    <row r="65" spans="1:21" ht="63.75" x14ac:dyDescent="0.2">
      <c r="A65" s="94" t="s">
        <v>1487</v>
      </c>
      <c r="B65" s="104" t="s">
        <v>1440</v>
      </c>
      <c r="C65" s="104" t="s">
        <v>1441</v>
      </c>
      <c r="D65" s="104" t="str">
        <f>IFERROR(VLOOKUP("Traffic Signals",Asset_Class!A:D,4,FALSE),"")</f>
        <v>10.9000.9000.11305</v>
      </c>
      <c r="E65" s="111">
        <v>0</v>
      </c>
      <c r="F65" s="104" t="s">
        <v>1559</v>
      </c>
      <c r="G65" s="104">
        <v>294911</v>
      </c>
      <c r="H65" s="104">
        <v>9</v>
      </c>
      <c r="I65" s="113">
        <v>157.22</v>
      </c>
      <c r="J65" s="113">
        <v>1414.98</v>
      </c>
      <c r="K65" s="107" t="s">
        <v>1389</v>
      </c>
      <c r="L65" s="106">
        <f t="shared" si="6"/>
        <v>0</v>
      </c>
      <c r="M65" s="114">
        <f t="shared" si="7"/>
        <v>1414.98</v>
      </c>
      <c r="N65" s="106">
        <f t="shared" si="8"/>
        <v>0</v>
      </c>
      <c r="O65" s="107" t="s">
        <v>1389</v>
      </c>
      <c r="P65" s="113">
        <f t="shared" si="9"/>
        <v>1414.98</v>
      </c>
      <c r="Q65" s="109">
        <f t="shared" si="10"/>
        <v>1414.98</v>
      </c>
      <c r="R65" s="109">
        <f t="shared" si="11"/>
        <v>0</v>
      </c>
      <c r="S65" s="109"/>
      <c r="T65" s="109"/>
      <c r="U65" s="110">
        <v>20</v>
      </c>
    </row>
    <row r="66" spans="1:21" ht="51" x14ac:dyDescent="0.2">
      <c r="A66" s="94" t="s">
        <v>1488</v>
      </c>
      <c r="B66" s="104" t="s">
        <v>1440</v>
      </c>
      <c r="C66" s="104" t="s">
        <v>1441</v>
      </c>
      <c r="D66" s="104" t="str">
        <f>IFERROR(VLOOKUP("Traffic Signals",Asset_Class!A:D,4,FALSE),"")</f>
        <v>10.9000.9000.11305</v>
      </c>
      <c r="E66" s="111">
        <v>0</v>
      </c>
      <c r="F66" s="104" t="s">
        <v>1557</v>
      </c>
      <c r="G66" s="104">
        <v>294913</v>
      </c>
      <c r="H66" s="104">
        <v>9</v>
      </c>
      <c r="I66" s="113">
        <v>0</v>
      </c>
      <c r="J66" s="113">
        <v>0</v>
      </c>
      <c r="K66" s="107" t="s">
        <v>1433</v>
      </c>
      <c r="L66" s="106">
        <f t="shared" si="6"/>
        <v>0</v>
      </c>
      <c r="M66" s="114">
        <f t="shared" si="7"/>
        <v>0</v>
      </c>
      <c r="N66" s="106">
        <f t="shared" si="8"/>
        <v>0</v>
      </c>
      <c r="O66" s="107" t="s">
        <v>1389</v>
      </c>
      <c r="P66" s="113">
        <f t="shared" si="9"/>
        <v>0</v>
      </c>
      <c r="Q66" s="109">
        <f t="shared" si="10"/>
        <v>0</v>
      </c>
      <c r="R66" s="109">
        <f t="shared" si="11"/>
        <v>0</v>
      </c>
      <c r="S66" s="109"/>
      <c r="T66" s="109"/>
      <c r="U66" s="110">
        <v>20</v>
      </c>
    </row>
    <row r="67" spans="1:21" ht="63.75" x14ac:dyDescent="0.2">
      <c r="A67" s="94" t="s">
        <v>1489</v>
      </c>
      <c r="B67" s="104" t="s">
        <v>1440</v>
      </c>
      <c r="C67" s="104" t="s">
        <v>1441</v>
      </c>
      <c r="D67" s="104" t="str">
        <f>IFERROR(VLOOKUP("Traffic Signals",Asset_Class!A:D,4,FALSE),"")</f>
        <v>10.9000.9000.11305</v>
      </c>
      <c r="E67" s="111">
        <v>0</v>
      </c>
      <c r="F67" s="104" t="s">
        <v>1558</v>
      </c>
      <c r="G67" s="104">
        <v>294913</v>
      </c>
      <c r="H67" s="104">
        <v>9</v>
      </c>
      <c r="I67" s="113">
        <v>83.39</v>
      </c>
      <c r="J67" s="113">
        <v>750.55</v>
      </c>
      <c r="K67" s="107" t="s">
        <v>1389</v>
      </c>
      <c r="L67" s="106">
        <f t="shared" si="6"/>
        <v>0</v>
      </c>
      <c r="M67" s="114">
        <f t="shared" si="7"/>
        <v>750.55</v>
      </c>
      <c r="N67" s="106">
        <f t="shared" si="8"/>
        <v>0</v>
      </c>
      <c r="O67" s="107" t="s">
        <v>1389</v>
      </c>
      <c r="P67" s="113">
        <f t="shared" si="9"/>
        <v>750.55</v>
      </c>
      <c r="Q67" s="109">
        <f t="shared" si="10"/>
        <v>750.55</v>
      </c>
      <c r="R67" s="109">
        <f t="shared" si="11"/>
        <v>0</v>
      </c>
      <c r="S67" s="109"/>
      <c r="T67" s="109"/>
      <c r="U67" s="110">
        <v>20</v>
      </c>
    </row>
    <row r="68" spans="1:21" ht="63.75" x14ac:dyDescent="0.2">
      <c r="A68" s="94" t="s">
        <v>1490</v>
      </c>
      <c r="B68" s="104" t="s">
        <v>1440</v>
      </c>
      <c r="C68" s="104" t="s">
        <v>1441</v>
      </c>
      <c r="D68" s="104" t="str">
        <f>IFERROR(VLOOKUP("Traffic Signals",Asset_Class!A:D,4,FALSE),"")</f>
        <v>10.9000.9000.11305</v>
      </c>
      <c r="E68" s="111">
        <v>0</v>
      </c>
      <c r="F68" s="104" t="s">
        <v>1559</v>
      </c>
      <c r="G68" s="104">
        <v>294913</v>
      </c>
      <c r="H68" s="104">
        <v>9</v>
      </c>
      <c r="I68" s="113">
        <v>157.22</v>
      </c>
      <c r="J68" s="113">
        <v>1414.98</v>
      </c>
      <c r="K68" s="107" t="s">
        <v>1389</v>
      </c>
      <c r="L68" s="106">
        <f t="shared" si="6"/>
        <v>0</v>
      </c>
      <c r="M68" s="114">
        <f t="shared" si="7"/>
        <v>1414.98</v>
      </c>
      <c r="N68" s="106">
        <f t="shared" si="8"/>
        <v>0</v>
      </c>
      <c r="O68" s="107" t="s">
        <v>1389</v>
      </c>
      <c r="P68" s="113">
        <f t="shared" si="9"/>
        <v>1414.98</v>
      </c>
      <c r="Q68" s="109">
        <f t="shared" si="10"/>
        <v>1414.98</v>
      </c>
      <c r="R68" s="109">
        <f t="shared" si="11"/>
        <v>0</v>
      </c>
      <c r="S68" s="109"/>
      <c r="T68" s="109"/>
      <c r="U68" s="110">
        <v>20</v>
      </c>
    </row>
    <row r="69" spans="1:21" ht="51" x14ac:dyDescent="0.2">
      <c r="A69" s="94" t="s">
        <v>1491</v>
      </c>
      <c r="B69" s="104" t="s">
        <v>1440</v>
      </c>
      <c r="C69" s="104" t="s">
        <v>1441</v>
      </c>
      <c r="D69" s="104" t="str">
        <f>IFERROR(VLOOKUP("Traffic Signals",Asset_Class!A:D,4,FALSE),"")</f>
        <v>10.9000.9000.11305</v>
      </c>
      <c r="E69" s="111">
        <v>0</v>
      </c>
      <c r="F69" s="104" t="s">
        <v>1557</v>
      </c>
      <c r="G69" s="104">
        <v>294914</v>
      </c>
      <c r="H69" s="104">
        <v>9</v>
      </c>
      <c r="I69" s="113">
        <v>0</v>
      </c>
      <c r="J69" s="113">
        <v>0</v>
      </c>
      <c r="K69" s="107" t="s">
        <v>1433</v>
      </c>
      <c r="L69" s="106">
        <f t="shared" si="6"/>
        <v>0</v>
      </c>
      <c r="M69" s="114">
        <f t="shared" si="7"/>
        <v>0</v>
      </c>
      <c r="N69" s="106">
        <f t="shared" si="8"/>
        <v>0</v>
      </c>
      <c r="O69" s="107" t="s">
        <v>1389</v>
      </c>
      <c r="P69" s="113">
        <f t="shared" si="9"/>
        <v>0</v>
      </c>
      <c r="Q69" s="109">
        <f t="shared" si="10"/>
        <v>0</v>
      </c>
      <c r="R69" s="109">
        <f t="shared" si="11"/>
        <v>0</v>
      </c>
      <c r="S69" s="109"/>
      <c r="T69" s="109"/>
      <c r="U69" s="110">
        <v>20</v>
      </c>
    </row>
    <row r="70" spans="1:21" ht="63.75" x14ac:dyDescent="0.2">
      <c r="A70" s="94" t="s">
        <v>1492</v>
      </c>
      <c r="B70" s="104" t="s">
        <v>1440</v>
      </c>
      <c r="C70" s="104" t="s">
        <v>1441</v>
      </c>
      <c r="D70" s="104" t="str">
        <f>IFERROR(VLOOKUP("Traffic Signals",Asset_Class!A:D,4,FALSE),"")</f>
        <v>10.9000.9000.11305</v>
      </c>
      <c r="E70" s="111">
        <v>0</v>
      </c>
      <c r="F70" s="104" t="s">
        <v>1558</v>
      </c>
      <c r="G70" s="104">
        <v>294914</v>
      </c>
      <c r="H70" s="104">
        <v>9</v>
      </c>
      <c r="I70" s="113">
        <v>83.39</v>
      </c>
      <c r="J70" s="113">
        <v>750.55</v>
      </c>
      <c r="K70" s="107" t="s">
        <v>1389</v>
      </c>
      <c r="L70" s="106">
        <f t="shared" si="6"/>
        <v>0</v>
      </c>
      <c r="M70" s="114">
        <f t="shared" si="7"/>
        <v>750.55</v>
      </c>
      <c r="N70" s="106">
        <f t="shared" si="8"/>
        <v>0</v>
      </c>
      <c r="O70" s="107" t="s">
        <v>1389</v>
      </c>
      <c r="P70" s="113">
        <f t="shared" si="9"/>
        <v>750.55</v>
      </c>
      <c r="Q70" s="109">
        <f t="shared" si="10"/>
        <v>750.55</v>
      </c>
      <c r="R70" s="109">
        <f t="shared" si="11"/>
        <v>0</v>
      </c>
      <c r="S70" s="109"/>
      <c r="T70" s="109"/>
      <c r="U70" s="110">
        <v>20</v>
      </c>
    </row>
    <row r="71" spans="1:21" ht="63.75" x14ac:dyDescent="0.2">
      <c r="A71" s="94" t="s">
        <v>1493</v>
      </c>
      <c r="B71" s="104" t="s">
        <v>1440</v>
      </c>
      <c r="C71" s="104" t="s">
        <v>1441</v>
      </c>
      <c r="D71" s="104" t="str">
        <f>IFERROR(VLOOKUP("Traffic Signals",Asset_Class!A:D,4,FALSE),"")</f>
        <v>10.9000.9000.11305</v>
      </c>
      <c r="E71" s="111">
        <v>0</v>
      </c>
      <c r="F71" s="104" t="s">
        <v>1559</v>
      </c>
      <c r="G71" s="104">
        <v>294914</v>
      </c>
      <c r="H71" s="104">
        <v>9</v>
      </c>
      <c r="I71" s="113">
        <v>157.22</v>
      </c>
      <c r="J71" s="113">
        <v>1414.98</v>
      </c>
      <c r="K71" s="107" t="s">
        <v>1389</v>
      </c>
      <c r="L71" s="106">
        <f t="shared" si="6"/>
        <v>0</v>
      </c>
      <c r="M71" s="114">
        <f t="shared" si="7"/>
        <v>1414.98</v>
      </c>
      <c r="N71" s="106">
        <f t="shared" si="8"/>
        <v>0</v>
      </c>
      <c r="O71" s="107" t="s">
        <v>1389</v>
      </c>
      <c r="P71" s="113">
        <f t="shared" si="9"/>
        <v>1414.98</v>
      </c>
      <c r="Q71" s="109">
        <f t="shared" si="10"/>
        <v>1414.98</v>
      </c>
      <c r="R71" s="109">
        <f t="shared" si="11"/>
        <v>0</v>
      </c>
      <c r="S71" s="109"/>
      <c r="T71" s="109"/>
      <c r="U71" s="110">
        <v>20</v>
      </c>
    </row>
    <row r="72" spans="1:21" ht="51" x14ac:dyDescent="0.2">
      <c r="A72" s="94" t="s">
        <v>1494</v>
      </c>
      <c r="B72" s="104" t="s">
        <v>1440</v>
      </c>
      <c r="C72" s="104" t="s">
        <v>1441</v>
      </c>
      <c r="D72" s="104" t="str">
        <f>IFERROR(VLOOKUP("Traffic Signals",Asset_Class!A:D,4,FALSE),"")</f>
        <v>10.9000.9000.11305</v>
      </c>
      <c r="E72" s="111">
        <v>0</v>
      </c>
      <c r="F72" s="104" t="s">
        <v>1557</v>
      </c>
      <c r="G72" s="104">
        <v>294915</v>
      </c>
      <c r="H72" s="104">
        <v>26</v>
      </c>
      <c r="I72" s="113">
        <v>0</v>
      </c>
      <c r="J72" s="113">
        <v>0</v>
      </c>
      <c r="K72" s="107" t="s">
        <v>1433</v>
      </c>
      <c r="L72" s="106">
        <f t="shared" si="6"/>
        <v>0</v>
      </c>
      <c r="M72" s="114">
        <f t="shared" si="7"/>
        <v>0</v>
      </c>
      <c r="N72" s="106">
        <f t="shared" si="8"/>
        <v>0</v>
      </c>
      <c r="O72" s="107" t="s">
        <v>1389</v>
      </c>
      <c r="P72" s="113">
        <f t="shared" si="9"/>
        <v>0</v>
      </c>
      <c r="Q72" s="109">
        <f t="shared" si="10"/>
        <v>0</v>
      </c>
      <c r="R72" s="109">
        <f t="shared" si="11"/>
        <v>0</v>
      </c>
      <c r="S72" s="109"/>
      <c r="T72" s="109"/>
      <c r="U72" s="110">
        <v>20</v>
      </c>
    </row>
    <row r="73" spans="1:21" ht="63.75" x14ac:dyDescent="0.2">
      <c r="A73" s="94" t="s">
        <v>1495</v>
      </c>
      <c r="B73" s="104" t="s">
        <v>1440</v>
      </c>
      <c r="C73" s="104" t="s">
        <v>1441</v>
      </c>
      <c r="D73" s="104" t="str">
        <f>IFERROR(VLOOKUP("Traffic Signals",Asset_Class!A:D,4,FALSE),"")</f>
        <v>10.9000.9000.11305</v>
      </c>
      <c r="E73" s="111">
        <v>0</v>
      </c>
      <c r="F73" s="104" t="s">
        <v>1558</v>
      </c>
      <c r="G73" s="104">
        <v>294915</v>
      </c>
      <c r="H73" s="104">
        <v>26</v>
      </c>
      <c r="I73" s="113">
        <v>83.39</v>
      </c>
      <c r="J73" s="113">
        <v>2168.2600000000002</v>
      </c>
      <c r="K73" s="107" t="s">
        <v>1389</v>
      </c>
      <c r="L73" s="106">
        <f t="shared" si="6"/>
        <v>0</v>
      </c>
      <c r="M73" s="114">
        <f t="shared" si="7"/>
        <v>2168.2600000000002</v>
      </c>
      <c r="N73" s="106">
        <f t="shared" si="8"/>
        <v>0</v>
      </c>
      <c r="O73" s="107" t="s">
        <v>1389</v>
      </c>
      <c r="P73" s="113">
        <f t="shared" si="9"/>
        <v>2168.2600000000002</v>
      </c>
      <c r="Q73" s="109">
        <f t="shared" si="10"/>
        <v>2168.2600000000002</v>
      </c>
      <c r="R73" s="109">
        <f t="shared" si="11"/>
        <v>0</v>
      </c>
      <c r="S73" s="109"/>
      <c r="T73" s="109"/>
      <c r="U73" s="110">
        <v>20</v>
      </c>
    </row>
    <row r="74" spans="1:21" ht="63.75" x14ac:dyDescent="0.2">
      <c r="A74" s="94" t="s">
        <v>1496</v>
      </c>
      <c r="B74" s="104" t="s">
        <v>1440</v>
      </c>
      <c r="C74" s="104" t="s">
        <v>1441</v>
      </c>
      <c r="D74" s="104" t="str">
        <f>IFERROR(VLOOKUP("Traffic Signals",Asset_Class!A:D,4,FALSE),"")</f>
        <v>10.9000.9000.11305</v>
      </c>
      <c r="E74" s="111">
        <v>0</v>
      </c>
      <c r="F74" s="104" t="s">
        <v>1559</v>
      </c>
      <c r="G74" s="104">
        <v>294915</v>
      </c>
      <c r="H74" s="104">
        <v>26</v>
      </c>
      <c r="I74" s="113">
        <v>157.22</v>
      </c>
      <c r="J74" s="113">
        <v>4087.71</v>
      </c>
      <c r="K74" s="107" t="s">
        <v>1389</v>
      </c>
      <c r="L74" s="106">
        <f t="shared" si="6"/>
        <v>0</v>
      </c>
      <c r="M74" s="114">
        <f t="shared" si="7"/>
        <v>4087.71</v>
      </c>
      <c r="N74" s="106">
        <f t="shared" si="8"/>
        <v>0</v>
      </c>
      <c r="O74" s="107" t="s">
        <v>1389</v>
      </c>
      <c r="P74" s="113">
        <f t="shared" si="9"/>
        <v>4087.71</v>
      </c>
      <c r="Q74" s="109">
        <f t="shared" si="10"/>
        <v>4087.71</v>
      </c>
      <c r="R74" s="109">
        <f t="shared" si="11"/>
        <v>0</v>
      </c>
      <c r="S74" s="109"/>
      <c r="T74" s="109"/>
      <c r="U74" s="110">
        <v>20</v>
      </c>
    </row>
    <row r="75" spans="1:21" ht="51" x14ac:dyDescent="0.2">
      <c r="A75" s="94" t="s">
        <v>1497</v>
      </c>
      <c r="B75" s="104" t="s">
        <v>1440</v>
      </c>
      <c r="C75" s="104" t="s">
        <v>1441</v>
      </c>
      <c r="D75" s="104" t="str">
        <f>IFERROR(VLOOKUP("Traffic Signals",Asset_Class!A:D,4,FALSE),"")</f>
        <v>10.9000.9000.11305</v>
      </c>
      <c r="E75" s="111">
        <v>0</v>
      </c>
      <c r="F75" s="104" t="s">
        <v>1557</v>
      </c>
      <c r="G75" s="104">
        <v>294912</v>
      </c>
      <c r="H75" s="104">
        <v>26</v>
      </c>
      <c r="I75" s="113">
        <v>0</v>
      </c>
      <c r="J75" s="113">
        <v>0</v>
      </c>
      <c r="K75" s="107" t="s">
        <v>1433</v>
      </c>
      <c r="L75" s="106">
        <f t="shared" si="6"/>
        <v>0</v>
      </c>
      <c r="M75" s="114">
        <f t="shared" si="7"/>
        <v>0</v>
      </c>
      <c r="N75" s="106">
        <f t="shared" si="8"/>
        <v>0</v>
      </c>
      <c r="O75" s="107" t="s">
        <v>1389</v>
      </c>
      <c r="P75" s="113">
        <f t="shared" si="9"/>
        <v>0</v>
      </c>
      <c r="Q75" s="109">
        <f t="shared" si="10"/>
        <v>0</v>
      </c>
      <c r="R75" s="109">
        <f t="shared" si="11"/>
        <v>0</v>
      </c>
      <c r="S75" s="109"/>
      <c r="T75" s="109"/>
      <c r="U75" s="110">
        <v>20</v>
      </c>
    </row>
    <row r="76" spans="1:21" ht="63.75" x14ac:dyDescent="0.2">
      <c r="A76" s="94" t="s">
        <v>1498</v>
      </c>
      <c r="B76" s="104" t="s">
        <v>1440</v>
      </c>
      <c r="C76" s="104" t="s">
        <v>1441</v>
      </c>
      <c r="D76" s="104" t="str">
        <f>IFERROR(VLOOKUP("Traffic Signals",Asset_Class!A:D,4,FALSE),"")</f>
        <v>10.9000.9000.11305</v>
      </c>
      <c r="E76" s="111">
        <v>0</v>
      </c>
      <c r="F76" s="104" t="s">
        <v>1558</v>
      </c>
      <c r="G76" s="104">
        <v>294912</v>
      </c>
      <c r="H76" s="104">
        <v>26</v>
      </c>
      <c r="I76" s="113">
        <v>83.39</v>
      </c>
      <c r="J76" s="113">
        <v>2168.2600000000002</v>
      </c>
      <c r="K76" s="107" t="s">
        <v>1389</v>
      </c>
      <c r="L76" s="106">
        <f t="shared" si="6"/>
        <v>0</v>
      </c>
      <c r="M76" s="114">
        <f t="shared" si="7"/>
        <v>2168.2600000000002</v>
      </c>
      <c r="N76" s="106">
        <f t="shared" si="8"/>
        <v>0</v>
      </c>
      <c r="O76" s="107" t="s">
        <v>1389</v>
      </c>
      <c r="P76" s="113">
        <f t="shared" si="9"/>
        <v>2168.2600000000002</v>
      </c>
      <c r="Q76" s="109">
        <f t="shared" si="10"/>
        <v>2168.2600000000002</v>
      </c>
      <c r="R76" s="109">
        <f t="shared" si="11"/>
        <v>0</v>
      </c>
      <c r="S76" s="109"/>
      <c r="T76" s="109"/>
      <c r="U76" s="110">
        <v>20</v>
      </c>
    </row>
    <row r="77" spans="1:21" ht="63.75" x14ac:dyDescent="0.2">
      <c r="A77" s="94" t="s">
        <v>1499</v>
      </c>
      <c r="B77" s="104" t="s">
        <v>1440</v>
      </c>
      <c r="C77" s="104" t="s">
        <v>1441</v>
      </c>
      <c r="D77" s="104" t="str">
        <f>IFERROR(VLOOKUP("Traffic Signals",Asset_Class!A:D,4,FALSE),"")</f>
        <v>10.9000.9000.11305</v>
      </c>
      <c r="E77" s="111">
        <v>0</v>
      </c>
      <c r="F77" s="104" t="s">
        <v>1559</v>
      </c>
      <c r="G77" s="104">
        <v>294912</v>
      </c>
      <c r="H77" s="104">
        <v>26</v>
      </c>
      <c r="I77" s="113">
        <v>157.22</v>
      </c>
      <c r="J77" s="113">
        <v>4087.71</v>
      </c>
      <c r="K77" s="107" t="s">
        <v>1389</v>
      </c>
      <c r="L77" s="106">
        <f t="shared" si="6"/>
        <v>0</v>
      </c>
      <c r="M77" s="114">
        <f t="shared" si="7"/>
        <v>4087.71</v>
      </c>
      <c r="N77" s="106">
        <f t="shared" si="8"/>
        <v>0</v>
      </c>
      <c r="O77" s="107" t="s">
        <v>1389</v>
      </c>
      <c r="P77" s="113">
        <f t="shared" si="9"/>
        <v>4087.71</v>
      </c>
      <c r="Q77" s="109">
        <f t="shared" si="10"/>
        <v>4087.71</v>
      </c>
      <c r="R77" s="109">
        <f t="shared" si="11"/>
        <v>0</v>
      </c>
      <c r="S77" s="109"/>
      <c r="T77" s="109"/>
      <c r="U77" s="110">
        <v>20</v>
      </c>
    </row>
    <row r="78" spans="1:21" ht="51" x14ac:dyDescent="0.2">
      <c r="A78" s="94" t="s">
        <v>1500</v>
      </c>
      <c r="B78" s="104" t="s">
        <v>1440</v>
      </c>
      <c r="C78" s="104" t="s">
        <v>1441</v>
      </c>
      <c r="D78" s="104" t="str">
        <f>IFERROR(VLOOKUP("Traffic Signals",Asset_Class!A:D,4,FALSE),"")</f>
        <v>10.9000.9000.11305</v>
      </c>
      <c r="E78" s="111">
        <v>0</v>
      </c>
      <c r="F78" s="104" t="s">
        <v>1557</v>
      </c>
      <c r="G78" s="104">
        <v>294916</v>
      </c>
      <c r="H78" s="104">
        <v>26</v>
      </c>
      <c r="I78" s="113">
        <v>0</v>
      </c>
      <c r="J78" s="113">
        <v>0</v>
      </c>
      <c r="K78" s="107" t="s">
        <v>1433</v>
      </c>
      <c r="L78" s="106">
        <f t="shared" si="6"/>
        <v>0</v>
      </c>
      <c r="M78" s="114">
        <f t="shared" si="7"/>
        <v>0</v>
      </c>
      <c r="N78" s="106">
        <f t="shared" si="8"/>
        <v>0</v>
      </c>
      <c r="O78" s="107" t="s">
        <v>1389</v>
      </c>
      <c r="P78" s="113">
        <f t="shared" si="9"/>
        <v>0</v>
      </c>
      <c r="Q78" s="109">
        <f t="shared" si="10"/>
        <v>0</v>
      </c>
      <c r="R78" s="109">
        <f t="shared" si="11"/>
        <v>0</v>
      </c>
      <c r="S78" s="109"/>
      <c r="T78" s="109"/>
      <c r="U78" s="110">
        <v>20</v>
      </c>
    </row>
    <row r="79" spans="1:21" ht="63.75" x14ac:dyDescent="0.2">
      <c r="A79" s="94" t="s">
        <v>1501</v>
      </c>
      <c r="B79" s="104" t="s">
        <v>1440</v>
      </c>
      <c r="C79" s="104" t="s">
        <v>1441</v>
      </c>
      <c r="D79" s="104" t="str">
        <f>IFERROR(VLOOKUP("Traffic Signals",Asset_Class!A:D,4,FALSE),"")</f>
        <v>10.9000.9000.11305</v>
      </c>
      <c r="E79" s="111">
        <v>0</v>
      </c>
      <c r="F79" s="104" t="s">
        <v>1558</v>
      </c>
      <c r="G79" s="104">
        <v>294916</v>
      </c>
      <c r="H79" s="104">
        <v>26</v>
      </c>
      <c r="I79" s="113">
        <v>83.39</v>
      </c>
      <c r="J79" s="113">
        <v>2168.2600000000002</v>
      </c>
      <c r="K79" s="107" t="s">
        <v>1389</v>
      </c>
      <c r="L79" s="106">
        <f t="shared" si="6"/>
        <v>0</v>
      </c>
      <c r="M79" s="114">
        <f t="shared" si="7"/>
        <v>2168.2600000000002</v>
      </c>
      <c r="N79" s="106">
        <f t="shared" si="8"/>
        <v>0</v>
      </c>
      <c r="O79" s="107" t="s">
        <v>1389</v>
      </c>
      <c r="P79" s="113">
        <f t="shared" si="9"/>
        <v>2168.2600000000002</v>
      </c>
      <c r="Q79" s="109">
        <f t="shared" si="10"/>
        <v>2168.2600000000002</v>
      </c>
      <c r="R79" s="109">
        <f t="shared" si="11"/>
        <v>0</v>
      </c>
      <c r="S79" s="109"/>
      <c r="T79" s="109"/>
      <c r="U79" s="110">
        <v>20</v>
      </c>
    </row>
    <row r="80" spans="1:21" ht="63.75" x14ac:dyDescent="0.2">
      <c r="A80" s="94" t="s">
        <v>1502</v>
      </c>
      <c r="B80" s="104" t="s">
        <v>1440</v>
      </c>
      <c r="C80" s="104" t="s">
        <v>1441</v>
      </c>
      <c r="D80" s="104" t="str">
        <f>IFERROR(VLOOKUP("Traffic Signals",Asset_Class!A:D,4,FALSE),"")</f>
        <v>10.9000.9000.11305</v>
      </c>
      <c r="E80" s="111">
        <v>0</v>
      </c>
      <c r="F80" s="104" t="s">
        <v>1559</v>
      </c>
      <c r="G80" s="104">
        <v>294916</v>
      </c>
      <c r="H80" s="104">
        <v>26</v>
      </c>
      <c r="I80" s="113">
        <v>157.22</v>
      </c>
      <c r="J80" s="113">
        <v>4087.71</v>
      </c>
      <c r="K80" s="107" t="s">
        <v>1389</v>
      </c>
      <c r="L80" s="106">
        <f t="shared" si="6"/>
        <v>0</v>
      </c>
      <c r="M80" s="114">
        <f t="shared" si="7"/>
        <v>4087.71</v>
      </c>
      <c r="N80" s="106">
        <f t="shared" si="8"/>
        <v>0</v>
      </c>
      <c r="O80" s="107" t="s">
        <v>1389</v>
      </c>
      <c r="P80" s="113">
        <f t="shared" si="9"/>
        <v>4087.71</v>
      </c>
      <c r="Q80" s="109">
        <f t="shared" si="10"/>
        <v>4087.71</v>
      </c>
      <c r="R80" s="109">
        <f t="shared" si="11"/>
        <v>0</v>
      </c>
      <c r="S80" s="109"/>
      <c r="T80" s="109"/>
      <c r="U80" s="110">
        <v>20</v>
      </c>
    </row>
    <row r="81" spans="1:21" ht="63.75" x14ac:dyDescent="0.2">
      <c r="A81" s="94" t="s">
        <v>1503</v>
      </c>
      <c r="B81" s="104" t="s">
        <v>1440</v>
      </c>
      <c r="C81" s="104" t="s">
        <v>1441</v>
      </c>
      <c r="D81" s="104" t="str">
        <f>IFERROR(VLOOKUP("Traffic Signals",Asset_Class!A:D,4,FALSE),"")</f>
        <v>10.9000.9000.11305</v>
      </c>
      <c r="E81" s="111">
        <v>0</v>
      </c>
      <c r="F81" s="104" t="s">
        <v>1559</v>
      </c>
      <c r="G81" s="104">
        <v>294917</v>
      </c>
      <c r="H81" s="104">
        <v>4</v>
      </c>
      <c r="I81" s="113">
        <v>157.22</v>
      </c>
      <c r="J81" s="113">
        <v>628.88</v>
      </c>
      <c r="K81" s="107" t="s">
        <v>1389</v>
      </c>
      <c r="L81" s="106">
        <f t="shared" si="6"/>
        <v>0</v>
      </c>
      <c r="M81" s="114">
        <f t="shared" si="7"/>
        <v>628.88</v>
      </c>
      <c r="N81" s="106">
        <f t="shared" si="8"/>
        <v>0</v>
      </c>
      <c r="O81" s="107" t="s">
        <v>1389</v>
      </c>
      <c r="P81" s="113">
        <f t="shared" si="9"/>
        <v>628.88</v>
      </c>
      <c r="Q81" s="109">
        <f t="shared" si="10"/>
        <v>628.88</v>
      </c>
      <c r="R81" s="109">
        <f t="shared" si="11"/>
        <v>0</v>
      </c>
      <c r="S81" s="109"/>
      <c r="T81" s="109"/>
      <c r="U81" s="110">
        <v>20</v>
      </c>
    </row>
    <row r="82" spans="1:21" ht="51" x14ac:dyDescent="0.2">
      <c r="A82" s="94" t="s">
        <v>1504</v>
      </c>
      <c r="B82" s="104" t="s">
        <v>1440</v>
      </c>
      <c r="C82" s="104" t="s">
        <v>1441</v>
      </c>
      <c r="D82" s="104" t="str">
        <f>IFERROR(VLOOKUP("Traffic Signals",Asset_Class!A:D,4,FALSE),"")</f>
        <v>10.9000.9000.11305</v>
      </c>
      <c r="E82" s="111">
        <v>0</v>
      </c>
      <c r="F82" s="104" t="s">
        <v>1561</v>
      </c>
      <c r="G82" s="104">
        <v>294917</v>
      </c>
      <c r="H82" s="104">
        <v>4</v>
      </c>
      <c r="I82" s="113">
        <v>0</v>
      </c>
      <c r="J82" s="113">
        <v>0</v>
      </c>
      <c r="K82" s="107" t="s">
        <v>1433</v>
      </c>
      <c r="L82" s="106">
        <f t="shared" si="6"/>
        <v>0</v>
      </c>
      <c r="M82" s="114">
        <f t="shared" si="7"/>
        <v>0</v>
      </c>
      <c r="N82" s="106">
        <f t="shared" si="8"/>
        <v>0</v>
      </c>
      <c r="O82" s="107" t="s">
        <v>1389</v>
      </c>
      <c r="P82" s="113">
        <f t="shared" si="9"/>
        <v>0</v>
      </c>
      <c r="Q82" s="109">
        <f t="shared" si="10"/>
        <v>0</v>
      </c>
      <c r="R82" s="109">
        <f t="shared" si="11"/>
        <v>0</v>
      </c>
      <c r="S82" s="109"/>
      <c r="T82" s="109"/>
      <c r="U82" s="110">
        <v>20</v>
      </c>
    </row>
    <row r="83" spans="1:21" ht="63.75" x14ac:dyDescent="0.2">
      <c r="A83" s="94" t="s">
        <v>1505</v>
      </c>
      <c r="B83" s="104" t="s">
        <v>1440</v>
      </c>
      <c r="C83" s="104" t="s">
        <v>1441</v>
      </c>
      <c r="D83" s="104" t="str">
        <f>IFERROR(VLOOKUP("Traffic Signals",Asset_Class!A:D,4,FALSE),"")</f>
        <v>10.9000.9000.11305</v>
      </c>
      <c r="E83" s="111">
        <v>0</v>
      </c>
      <c r="F83" s="104" t="s">
        <v>1559</v>
      </c>
      <c r="G83" s="104">
        <v>294919</v>
      </c>
      <c r="H83" s="104">
        <v>0.5</v>
      </c>
      <c r="I83" s="113">
        <v>157.22</v>
      </c>
      <c r="J83" s="113">
        <v>78.61</v>
      </c>
      <c r="K83" s="107" t="s">
        <v>1389</v>
      </c>
      <c r="L83" s="106">
        <f t="shared" si="6"/>
        <v>0</v>
      </c>
      <c r="M83" s="114">
        <f t="shared" si="7"/>
        <v>78.61</v>
      </c>
      <c r="N83" s="106">
        <f t="shared" si="8"/>
        <v>0</v>
      </c>
      <c r="O83" s="107" t="s">
        <v>1389</v>
      </c>
      <c r="P83" s="113">
        <f t="shared" si="9"/>
        <v>78.61</v>
      </c>
      <c r="Q83" s="109">
        <f t="shared" si="10"/>
        <v>78.61</v>
      </c>
      <c r="R83" s="109">
        <f t="shared" si="11"/>
        <v>0</v>
      </c>
      <c r="S83" s="109"/>
      <c r="T83" s="109"/>
      <c r="U83" s="110">
        <v>20</v>
      </c>
    </row>
    <row r="84" spans="1:21" ht="51" x14ac:dyDescent="0.2">
      <c r="A84" s="94" t="s">
        <v>1506</v>
      </c>
      <c r="B84" s="104" t="s">
        <v>1440</v>
      </c>
      <c r="C84" s="104" t="s">
        <v>1441</v>
      </c>
      <c r="D84" s="104" t="str">
        <f>IFERROR(VLOOKUP("Traffic Signals",Asset_Class!A:D,4,FALSE),"")</f>
        <v>10.9000.9000.11305</v>
      </c>
      <c r="E84" s="111">
        <v>0</v>
      </c>
      <c r="F84" s="104" t="s">
        <v>1557</v>
      </c>
      <c r="G84" s="104">
        <v>294919</v>
      </c>
      <c r="H84" s="104">
        <v>0.5</v>
      </c>
      <c r="I84" s="113">
        <v>0</v>
      </c>
      <c r="J84" s="113">
        <v>0</v>
      </c>
      <c r="K84" s="107" t="s">
        <v>1433</v>
      </c>
      <c r="L84" s="106">
        <f t="shared" ref="L84:L115" si="12">IF(K84="Yes",J84/SUMIF(K:K,"Yes",J:J)*PW_Total_Costs,0)</f>
        <v>0</v>
      </c>
      <c r="M84" s="114">
        <f t="shared" ref="M84:M115" si="13">J84+L84</f>
        <v>0</v>
      </c>
      <c r="N84" s="106">
        <f t="shared" ref="N84:N115" si="14">IF(B84="Write-off",0,IFERROR((M84/CPD_Total_Assets_Costs*FI_CY_Expenditure)*FI_Overhead_Percentage,0)+ IFERROR((M84/CPD_Total_Assets_Costs*FI_Prev_Overhead),0))</f>
        <v>0</v>
      </c>
      <c r="O84" s="107" t="s">
        <v>1389</v>
      </c>
      <c r="P84" s="113">
        <f t="shared" ref="P84:P119" si="15">M84+N84</f>
        <v>0</v>
      </c>
      <c r="Q84" s="109">
        <f t="shared" ref="Q84:Q115" si="16">P84*(1-E84)</f>
        <v>0</v>
      </c>
      <c r="R84" s="109">
        <f t="shared" ref="R84:R119" si="17">P84*(E84)</f>
        <v>0</v>
      </c>
      <c r="S84" s="109"/>
      <c r="T84" s="109"/>
      <c r="U84" s="110">
        <v>20</v>
      </c>
    </row>
    <row r="85" spans="1:21" ht="63.75" x14ac:dyDescent="0.2">
      <c r="A85" s="94" t="s">
        <v>1507</v>
      </c>
      <c r="B85" s="104" t="s">
        <v>1440</v>
      </c>
      <c r="C85" s="104" t="s">
        <v>1441</v>
      </c>
      <c r="D85" s="104" t="str">
        <f>IFERROR(VLOOKUP("Traffic Signals",Asset_Class!A:D,4,FALSE),"")</f>
        <v>10.9000.9000.11305</v>
      </c>
      <c r="E85" s="111">
        <v>0</v>
      </c>
      <c r="F85" s="104" t="s">
        <v>1559</v>
      </c>
      <c r="G85" s="104">
        <v>294920</v>
      </c>
      <c r="H85" s="104">
        <v>0.5</v>
      </c>
      <c r="I85" s="113">
        <v>157.22</v>
      </c>
      <c r="J85" s="113">
        <v>78.61</v>
      </c>
      <c r="K85" s="107" t="s">
        <v>1389</v>
      </c>
      <c r="L85" s="106">
        <f t="shared" si="12"/>
        <v>0</v>
      </c>
      <c r="M85" s="114">
        <f t="shared" si="13"/>
        <v>78.61</v>
      </c>
      <c r="N85" s="106">
        <f t="shared" si="14"/>
        <v>0</v>
      </c>
      <c r="O85" s="107" t="s">
        <v>1389</v>
      </c>
      <c r="P85" s="113">
        <f t="shared" si="15"/>
        <v>78.61</v>
      </c>
      <c r="Q85" s="109">
        <f t="shared" si="16"/>
        <v>78.61</v>
      </c>
      <c r="R85" s="109">
        <f t="shared" si="17"/>
        <v>0</v>
      </c>
      <c r="S85" s="109"/>
      <c r="T85" s="109"/>
      <c r="U85" s="110">
        <v>20</v>
      </c>
    </row>
    <row r="86" spans="1:21" ht="51" x14ac:dyDescent="0.2">
      <c r="A86" s="94" t="s">
        <v>1508</v>
      </c>
      <c r="B86" s="104" t="s">
        <v>1440</v>
      </c>
      <c r="C86" s="104" t="s">
        <v>1441</v>
      </c>
      <c r="D86" s="104" t="str">
        <f>IFERROR(VLOOKUP("Traffic Signals",Asset_Class!A:D,4,FALSE),"")</f>
        <v>10.9000.9000.11305</v>
      </c>
      <c r="E86" s="111">
        <v>0</v>
      </c>
      <c r="F86" s="104" t="s">
        <v>1557</v>
      </c>
      <c r="G86" s="104">
        <v>294920</v>
      </c>
      <c r="H86" s="104">
        <v>0.5</v>
      </c>
      <c r="I86" s="113">
        <v>0</v>
      </c>
      <c r="J86" s="113">
        <v>0</v>
      </c>
      <c r="K86" s="107" t="s">
        <v>1433</v>
      </c>
      <c r="L86" s="106">
        <f t="shared" si="12"/>
        <v>0</v>
      </c>
      <c r="M86" s="114">
        <f t="shared" si="13"/>
        <v>0</v>
      </c>
      <c r="N86" s="106">
        <f t="shared" si="14"/>
        <v>0</v>
      </c>
      <c r="O86" s="107" t="s">
        <v>1389</v>
      </c>
      <c r="P86" s="113">
        <f t="shared" si="15"/>
        <v>0</v>
      </c>
      <c r="Q86" s="109">
        <f t="shared" si="16"/>
        <v>0</v>
      </c>
      <c r="R86" s="109">
        <f t="shared" si="17"/>
        <v>0</v>
      </c>
      <c r="S86" s="109"/>
      <c r="T86" s="109"/>
      <c r="U86" s="110">
        <v>20</v>
      </c>
    </row>
    <row r="87" spans="1:21" ht="63.75" x14ac:dyDescent="0.2">
      <c r="A87" s="94" t="s">
        <v>1509</v>
      </c>
      <c r="B87" s="104" t="s">
        <v>1440</v>
      </c>
      <c r="C87" s="104" t="s">
        <v>1441</v>
      </c>
      <c r="D87" s="104" t="str">
        <f>IFERROR(VLOOKUP("Traffic Signals",Asset_Class!A:D,4,FALSE),"")</f>
        <v>10.9000.9000.11305</v>
      </c>
      <c r="E87" s="111">
        <v>0</v>
      </c>
      <c r="F87" s="104" t="s">
        <v>1559</v>
      </c>
      <c r="G87" s="104">
        <v>294918</v>
      </c>
      <c r="H87" s="104">
        <v>0.5</v>
      </c>
      <c r="I87" s="113">
        <v>157.22</v>
      </c>
      <c r="J87" s="113">
        <v>78.61</v>
      </c>
      <c r="K87" s="107" t="s">
        <v>1389</v>
      </c>
      <c r="L87" s="106">
        <f t="shared" si="12"/>
        <v>0</v>
      </c>
      <c r="M87" s="114">
        <f t="shared" si="13"/>
        <v>78.61</v>
      </c>
      <c r="N87" s="106">
        <f t="shared" si="14"/>
        <v>0</v>
      </c>
      <c r="O87" s="107" t="s">
        <v>1389</v>
      </c>
      <c r="P87" s="113">
        <f t="shared" si="15"/>
        <v>78.61</v>
      </c>
      <c r="Q87" s="109">
        <f t="shared" si="16"/>
        <v>78.61</v>
      </c>
      <c r="R87" s="109">
        <f t="shared" si="17"/>
        <v>0</v>
      </c>
      <c r="S87" s="109"/>
      <c r="T87" s="109"/>
      <c r="U87" s="110">
        <v>20</v>
      </c>
    </row>
    <row r="88" spans="1:21" ht="51" x14ac:dyDescent="0.2">
      <c r="A88" s="94" t="s">
        <v>1510</v>
      </c>
      <c r="B88" s="104" t="s">
        <v>1440</v>
      </c>
      <c r="C88" s="104" t="s">
        <v>1441</v>
      </c>
      <c r="D88" s="104" t="str">
        <f>IFERROR(VLOOKUP("Traffic Signals",Asset_Class!A:D,4,FALSE),"")</f>
        <v>10.9000.9000.11305</v>
      </c>
      <c r="E88" s="111">
        <v>0</v>
      </c>
      <c r="F88" s="104" t="s">
        <v>1557</v>
      </c>
      <c r="G88" s="104">
        <v>294918</v>
      </c>
      <c r="H88" s="104">
        <v>0.5</v>
      </c>
      <c r="I88" s="113">
        <v>0</v>
      </c>
      <c r="J88" s="113">
        <v>0</v>
      </c>
      <c r="K88" s="107" t="s">
        <v>1433</v>
      </c>
      <c r="L88" s="106">
        <f t="shared" si="12"/>
        <v>0</v>
      </c>
      <c r="M88" s="114">
        <f t="shared" si="13"/>
        <v>0</v>
      </c>
      <c r="N88" s="106">
        <f t="shared" si="14"/>
        <v>0</v>
      </c>
      <c r="O88" s="107" t="s">
        <v>1389</v>
      </c>
      <c r="P88" s="113">
        <f t="shared" si="15"/>
        <v>0</v>
      </c>
      <c r="Q88" s="109">
        <f t="shared" si="16"/>
        <v>0</v>
      </c>
      <c r="R88" s="109">
        <f t="shared" si="17"/>
        <v>0</v>
      </c>
      <c r="S88" s="109"/>
      <c r="T88" s="109"/>
      <c r="U88" s="110">
        <v>20</v>
      </c>
    </row>
    <row r="89" spans="1:21" ht="63.75" x14ac:dyDescent="0.2">
      <c r="A89" s="94" t="s">
        <v>1511</v>
      </c>
      <c r="B89" s="104" t="s">
        <v>1440</v>
      </c>
      <c r="C89" s="104" t="s">
        <v>1441</v>
      </c>
      <c r="D89" s="104" t="str">
        <f>IFERROR(VLOOKUP("Traffic Signals",Asset_Class!A:D,4,FALSE),"")</f>
        <v>10.9000.9000.11305</v>
      </c>
      <c r="E89" s="111">
        <v>0</v>
      </c>
      <c r="F89" s="104" t="s">
        <v>1559</v>
      </c>
      <c r="G89" s="104">
        <v>294921</v>
      </c>
      <c r="H89" s="104">
        <v>3</v>
      </c>
      <c r="I89" s="113">
        <v>157.22</v>
      </c>
      <c r="J89" s="113">
        <v>471.66</v>
      </c>
      <c r="K89" s="107" t="s">
        <v>1389</v>
      </c>
      <c r="L89" s="106">
        <f t="shared" si="12"/>
        <v>0</v>
      </c>
      <c r="M89" s="114">
        <f t="shared" si="13"/>
        <v>471.66</v>
      </c>
      <c r="N89" s="106">
        <f t="shared" si="14"/>
        <v>0</v>
      </c>
      <c r="O89" s="107" t="s">
        <v>1389</v>
      </c>
      <c r="P89" s="113">
        <f t="shared" si="15"/>
        <v>471.66</v>
      </c>
      <c r="Q89" s="109">
        <f t="shared" si="16"/>
        <v>471.66</v>
      </c>
      <c r="R89" s="109">
        <f t="shared" si="17"/>
        <v>0</v>
      </c>
      <c r="S89" s="109"/>
      <c r="T89" s="109"/>
      <c r="U89" s="110">
        <v>20</v>
      </c>
    </row>
    <row r="90" spans="1:21" ht="51" x14ac:dyDescent="0.2">
      <c r="A90" s="94" t="s">
        <v>1512</v>
      </c>
      <c r="B90" s="104" t="s">
        <v>1440</v>
      </c>
      <c r="C90" s="104" t="s">
        <v>1441</v>
      </c>
      <c r="D90" s="104" t="str">
        <f>IFERROR(VLOOKUP("Traffic Signals",Asset_Class!A:D,4,FALSE),"")</f>
        <v>10.9000.9000.11305</v>
      </c>
      <c r="E90" s="111">
        <v>0</v>
      </c>
      <c r="F90" s="104" t="s">
        <v>1557</v>
      </c>
      <c r="G90" s="104">
        <v>294921</v>
      </c>
      <c r="H90" s="104">
        <v>3</v>
      </c>
      <c r="I90" s="113">
        <v>0</v>
      </c>
      <c r="J90" s="113">
        <v>0</v>
      </c>
      <c r="K90" s="107" t="s">
        <v>1433</v>
      </c>
      <c r="L90" s="106">
        <f t="shared" si="12"/>
        <v>0</v>
      </c>
      <c r="M90" s="114">
        <f t="shared" si="13"/>
        <v>0</v>
      </c>
      <c r="N90" s="106">
        <f t="shared" si="14"/>
        <v>0</v>
      </c>
      <c r="O90" s="107" t="s">
        <v>1389</v>
      </c>
      <c r="P90" s="113">
        <f t="shared" si="15"/>
        <v>0</v>
      </c>
      <c r="Q90" s="109">
        <f t="shared" si="16"/>
        <v>0</v>
      </c>
      <c r="R90" s="109">
        <f t="shared" si="17"/>
        <v>0</v>
      </c>
      <c r="S90" s="109"/>
      <c r="T90" s="109"/>
      <c r="U90" s="110">
        <v>20</v>
      </c>
    </row>
    <row r="91" spans="1:21" ht="63.75" x14ac:dyDescent="0.2">
      <c r="A91" s="94" t="s">
        <v>1513</v>
      </c>
      <c r="B91" s="104" t="s">
        <v>1440</v>
      </c>
      <c r="C91" s="104" t="s">
        <v>1441</v>
      </c>
      <c r="D91" s="104" t="str">
        <f>IFERROR(VLOOKUP("Traffic Signals",Asset_Class!A:D,4,FALSE),"")</f>
        <v>10.9000.9000.11305</v>
      </c>
      <c r="E91" s="111">
        <v>0</v>
      </c>
      <c r="F91" s="104" t="s">
        <v>1558</v>
      </c>
      <c r="G91" s="104">
        <v>294922</v>
      </c>
      <c r="H91" s="104">
        <v>16</v>
      </c>
      <c r="I91" s="113">
        <v>83.39</v>
      </c>
      <c r="J91" s="113">
        <v>1334.32</v>
      </c>
      <c r="K91" s="107" t="s">
        <v>1389</v>
      </c>
      <c r="L91" s="106">
        <f t="shared" si="12"/>
        <v>0</v>
      </c>
      <c r="M91" s="114">
        <f t="shared" si="13"/>
        <v>1334.32</v>
      </c>
      <c r="N91" s="106">
        <f t="shared" si="14"/>
        <v>0</v>
      </c>
      <c r="O91" s="107" t="s">
        <v>1389</v>
      </c>
      <c r="P91" s="113">
        <f t="shared" si="15"/>
        <v>1334.32</v>
      </c>
      <c r="Q91" s="109">
        <f t="shared" si="16"/>
        <v>1334.32</v>
      </c>
      <c r="R91" s="109">
        <f t="shared" si="17"/>
        <v>0</v>
      </c>
      <c r="S91" s="109"/>
      <c r="T91" s="109"/>
      <c r="U91" s="110">
        <v>20</v>
      </c>
    </row>
    <row r="92" spans="1:21" ht="63.75" x14ac:dyDescent="0.2">
      <c r="A92" s="94" t="s">
        <v>1514</v>
      </c>
      <c r="B92" s="104" t="s">
        <v>1440</v>
      </c>
      <c r="C92" s="104" t="s">
        <v>1441</v>
      </c>
      <c r="D92" s="104" t="str">
        <f>IFERROR(VLOOKUP("Traffic Signals",Asset_Class!A:D,4,FALSE),"")</f>
        <v>10.9000.9000.11305</v>
      </c>
      <c r="E92" s="111">
        <v>0</v>
      </c>
      <c r="F92" s="104" t="s">
        <v>1559</v>
      </c>
      <c r="G92" s="104">
        <v>294922</v>
      </c>
      <c r="H92" s="104">
        <v>16</v>
      </c>
      <c r="I92" s="113">
        <v>157.22</v>
      </c>
      <c r="J92" s="113">
        <v>2515.5100000000002</v>
      </c>
      <c r="K92" s="107" t="s">
        <v>1389</v>
      </c>
      <c r="L92" s="106">
        <f t="shared" si="12"/>
        <v>0</v>
      </c>
      <c r="M92" s="114">
        <f t="shared" si="13"/>
        <v>2515.5100000000002</v>
      </c>
      <c r="N92" s="106">
        <f t="shared" si="14"/>
        <v>0</v>
      </c>
      <c r="O92" s="107" t="s">
        <v>1389</v>
      </c>
      <c r="P92" s="113">
        <f t="shared" si="15"/>
        <v>2515.5100000000002</v>
      </c>
      <c r="Q92" s="109">
        <f t="shared" si="16"/>
        <v>2515.5100000000002</v>
      </c>
      <c r="R92" s="109">
        <f t="shared" si="17"/>
        <v>0</v>
      </c>
      <c r="S92" s="109"/>
      <c r="T92" s="109"/>
      <c r="U92" s="110">
        <v>20</v>
      </c>
    </row>
    <row r="93" spans="1:21" ht="51" x14ac:dyDescent="0.2">
      <c r="A93" s="94" t="s">
        <v>1515</v>
      </c>
      <c r="B93" s="104" t="s">
        <v>1440</v>
      </c>
      <c r="C93" s="104" t="s">
        <v>1441</v>
      </c>
      <c r="D93" s="104" t="str">
        <f>IFERROR(VLOOKUP("Traffic Signals",Asset_Class!A:D,4,FALSE),"")</f>
        <v>10.9000.9000.11305</v>
      </c>
      <c r="E93" s="111">
        <v>0</v>
      </c>
      <c r="F93" s="104" t="s">
        <v>1557</v>
      </c>
      <c r="G93" s="104">
        <v>294922</v>
      </c>
      <c r="H93" s="104">
        <v>16</v>
      </c>
      <c r="I93" s="113">
        <v>0</v>
      </c>
      <c r="J93" s="113">
        <v>0</v>
      </c>
      <c r="K93" s="107" t="s">
        <v>1433</v>
      </c>
      <c r="L93" s="106">
        <f t="shared" si="12"/>
        <v>0</v>
      </c>
      <c r="M93" s="114">
        <f t="shared" si="13"/>
        <v>0</v>
      </c>
      <c r="N93" s="106">
        <f t="shared" si="14"/>
        <v>0</v>
      </c>
      <c r="O93" s="107" t="s">
        <v>1389</v>
      </c>
      <c r="P93" s="113">
        <f t="shared" si="15"/>
        <v>0</v>
      </c>
      <c r="Q93" s="109">
        <f t="shared" si="16"/>
        <v>0</v>
      </c>
      <c r="R93" s="109">
        <f t="shared" si="17"/>
        <v>0</v>
      </c>
      <c r="S93" s="109"/>
      <c r="T93" s="109"/>
      <c r="U93" s="110">
        <v>20</v>
      </c>
    </row>
    <row r="94" spans="1:21" ht="63.75" x14ac:dyDescent="0.2">
      <c r="A94" s="94" t="s">
        <v>1516</v>
      </c>
      <c r="B94" s="104" t="s">
        <v>1440</v>
      </c>
      <c r="C94" s="104" t="s">
        <v>1441</v>
      </c>
      <c r="D94" s="104" t="str">
        <f>IFERROR(VLOOKUP("Traffic Signals",Asset_Class!A:D,4,FALSE),"")</f>
        <v>10.9000.9000.11305</v>
      </c>
      <c r="E94" s="111">
        <v>0</v>
      </c>
      <c r="F94" s="104" t="s">
        <v>1558</v>
      </c>
      <c r="G94" s="104">
        <v>294924</v>
      </c>
      <c r="H94" s="104">
        <v>16</v>
      </c>
      <c r="I94" s="113">
        <v>83.39</v>
      </c>
      <c r="J94" s="113">
        <v>1334.32</v>
      </c>
      <c r="K94" s="107" t="s">
        <v>1389</v>
      </c>
      <c r="L94" s="106">
        <f t="shared" si="12"/>
        <v>0</v>
      </c>
      <c r="M94" s="114">
        <f t="shared" si="13"/>
        <v>1334.32</v>
      </c>
      <c r="N94" s="106">
        <f t="shared" si="14"/>
        <v>0</v>
      </c>
      <c r="O94" s="107" t="s">
        <v>1389</v>
      </c>
      <c r="P94" s="113">
        <f t="shared" si="15"/>
        <v>1334.32</v>
      </c>
      <c r="Q94" s="109">
        <f t="shared" si="16"/>
        <v>1334.32</v>
      </c>
      <c r="R94" s="109">
        <f t="shared" si="17"/>
        <v>0</v>
      </c>
      <c r="S94" s="109"/>
      <c r="T94" s="109"/>
      <c r="U94" s="110">
        <v>20</v>
      </c>
    </row>
    <row r="95" spans="1:21" ht="63.75" x14ac:dyDescent="0.2">
      <c r="A95" s="94" t="s">
        <v>1517</v>
      </c>
      <c r="B95" s="104" t="s">
        <v>1440</v>
      </c>
      <c r="C95" s="104" t="s">
        <v>1441</v>
      </c>
      <c r="D95" s="104" t="str">
        <f>IFERROR(VLOOKUP("Traffic Signals",Asset_Class!A:D,4,FALSE),"")</f>
        <v>10.9000.9000.11305</v>
      </c>
      <c r="E95" s="111">
        <v>0</v>
      </c>
      <c r="F95" s="104" t="s">
        <v>1559</v>
      </c>
      <c r="G95" s="104">
        <v>294924</v>
      </c>
      <c r="H95" s="104">
        <v>16</v>
      </c>
      <c r="I95" s="113">
        <v>157.22</v>
      </c>
      <c r="J95" s="113">
        <v>2515.5100000000002</v>
      </c>
      <c r="K95" s="107" t="s">
        <v>1389</v>
      </c>
      <c r="L95" s="106">
        <f t="shared" si="12"/>
        <v>0</v>
      </c>
      <c r="M95" s="114">
        <f t="shared" si="13"/>
        <v>2515.5100000000002</v>
      </c>
      <c r="N95" s="106">
        <f t="shared" si="14"/>
        <v>0</v>
      </c>
      <c r="O95" s="107" t="s">
        <v>1389</v>
      </c>
      <c r="P95" s="113">
        <f t="shared" si="15"/>
        <v>2515.5100000000002</v>
      </c>
      <c r="Q95" s="109">
        <f t="shared" si="16"/>
        <v>2515.5100000000002</v>
      </c>
      <c r="R95" s="109">
        <f t="shared" si="17"/>
        <v>0</v>
      </c>
      <c r="S95" s="109"/>
      <c r="T95" s="109"/>
      <c r="U95" s="110">
        <v>20</v>
      </c>
    </row>
    <row r="96" spans="1:21" ht="51" x14ac:dyDescent="0.2">
      <c r="A96" s="94" t="s">
        <v>1518</v>
      </c>
      <c r="B96" s="104" t="s">
        <v>1440</v>
      </c>
      <c r="C96" s="104" t="s">
        <v>1441</v>
      </c>
      <c r="D96" s="104" t="str">
        <f>IFERROR(VLOOKUP("Traffic Signals",Asset_Class!A:D,4,FALSE),"")</f>
        <v>10.9000.9000.11305</v>
      </c>
      <c r="E96" s="111">
        <v>0</v>
      </c>
      <c r="F96" s="104" t="s">
        <v>1557</v>
      </c>
      <c r="G96" s="104">
        <v>294924</v>
      </c>
      <c r="H96" s="104">
        <v>16</v>
      </c>
      <c r="I96" s="113">
        <v>0</v>
      </c>
      <c r="J96" s="113">
        <v>0</v>
      </c>
      <c r="K96" s="107" t="s">
        <v>1433</v>
      </c>
      <c r="L96" s="106">
        <f t="shared" si="12"/>
        <v>0</v>
      </c>
      <c r="M96" s="114">
        <f t="shared" si="13"/>
        <v>0</v>
      </c>
      <c r="N96" s="106">
        <f t="shared" si="14"/>
        <v>0</v>
      </c>
      <c r="O96" s="107" t="s">
        <v>1389</v>
      </c>
      <c r="P96" s="113">
        <f t="shared" si="15"/>
        <v>0</v>
      </c>
      <c r="Q96" s="109">
        <f t="shared" si="16"/>
        <v>0</v>
      </c>
      <c r="R96" s="109">
        <f t="shared" si="17"/>
        <v>0</v>
      </c>
      <c r="S96" s="109"/>
      <c r="T96" s="109"/>
      <c r="U96" s="110">
        <v>20</v>
      </c>
    </row>
    <row r="97" spans="1:21" ht="63.75" x14ac:dyDescent="0.2">
      <c r="A97" s="94" t="s">
        <v>1519</v>
      </c>
      <c r="B97" s="104" t="s">
        <v>1440</v>
      </c>
      <c r="C97" s="104" t="s">
        <v>1441</v>
      </c>
      <c r="D97" s="104" t="str">
        <f>IFERROR(VLOOKUP("Traffic Signals",Asset_Class!A:D,4,FALSE),"")</f>
        <v>10.9000.9000.11305</v>
      </c>
      <c r="E97" s="111">
        <v>0</v>
      </c>
      <c r="F97" s="104" t="s">
        <v>1558</v>
      </c>
      <c r="G97" s="104">
        <v>294923</v>
      </c>
      <c r="H97" s="104">
        <v>16</v>
      </c>
      <c r="I97" s="113">
        <v>83.39</v>
      </c>
      <c r="J97" s="113">
        <v>1334.32</v>
      </c>
      <c r="K97" s="107" t="s">
        <v>1389</v>
      </c>
      <c r="L97" s="106">
        <f t="shared" si="12"/>
        <v>0</v>
      </c>
      <c r="M97" s="114">
        <f t="shared" si="13"/>
        <v>1334.32</v>
      </c>
      <c r="N97" s="106">
        <f t="shared" si="14"/>
        <v>0</v>
      </c>
      <c r="O97" s="107" t="s">
        <v>1389</v>
      </c>
      <c r="P97" s="113">
        <f t="shared" si="15"/>
        <v>1334.32</v>
      </c>
      <c r="Q97" s="109">
        <f t="shared" si="16"/>
        <v>1334.32</v>
      </c>
      <c r="R97" s="109">
        <f t="shared" si="17"/>
        <v>0</v>
      </c>
      <c r="S97" s="109"/>
      <c r="T97" s="109"/>
      <c r="U97" s="110">
        <v>20</v>
      </c>
    </row>
    <row r="98" spans="1:21" ht="63.75" x14ac:dyDescent="0.2">
      <c r="A98" s="94" t="s">
        <v>1520</v>
      </c>
      <c r="B98" s="104" t="s">
        <v>1440</v>
      </c>
      <c r="C98" s="104" t="s">
        <v>1441</v>
      </c>
      <c r="D98" s="104" t="str">
        <f>IFERROR(VLOOKUP("Traffic Signals",Asset_Class!A:D,4,FALSE),"")</f>
        <v>10.9000.9000.11305</v>
      </c>
      <c r="E98" s="111">
        <v>0</v>
      </c>
      <c r="F98" s="104" t="s">
        <v>1559</v>
      </c>
      <c r="G98" s="104">
        <v>294923</v>
      </c>
      <c r="H98" s="104">
        <v>16</v>
      </c>
      <c r="I98" s="113">
        <v>157.22</v>
      </c>
      <c r="J98" s="113">
        <v>2515.5100000000002</v>
      </c>
      <c r="K98" s="107" t="s">
        <v>1389</v>
      </c>
      <c r="L98" s="106">
        <f t="shared" si="12"/>
        <v>0</v>
      </c>
      <c r="M98" s="114">
        <f t="shared" si="13"/>
        <v>2515.5100000000002</v>
      </c>
      <c r="N98" s="106">
        <f t="shared" si="14"/>
        <v>0</v>
      </c>
      <c r="O98" s="107" t="s">
        <v>1389</v>
      </c>
      <c r="P98" s="113">
        <f t="shared" si="15"/>
        <v>2515.5100000000002</v>
      </c>
      <c r="Q98" s="109">
        <f t="shared" si="16"/>
        <v>2515.5100000000002</v>
      </c>
      <c r="R98" s="109">
        <f t="shared" si="17"/>
        <v>0</v>
      </c>
      <c r="S98" s="109"/>
      <c r="T98" s="109"/>
      <c r="U98" s="110">
        <v>20</v>
      </c>
    </row>
    <row r="99" spans="1:21" ht="51" x14ac:dyDescent="0.2">
      <c r="A99" s="94" t="s">
        <v>1521</v>
      </c>
      <c r="B99" s="104" t="s">
        <v>1440</v>
      </c>
      <c r="C99" s="104" t="s">
        <v>1441</v>
      </c>
      <c r="D99" s="104" t="str">
        <f>IFERROR(VLOOKUP("Traffic Signals",Asset_Class!A:D,4,FALSE),"")</f>
        <v>10.9000.9000.11305</v>
      </c>
      <c r="E99" s="111">
        <v>0</v>
      </c>
      <c r="F99" s="104" t="s">
        <v>1557</v>
      </c>
      <c r="G99" s="104">
        <v>294923</v>
      </c>
      <c r="H99" s="104">
        <v>16</v>
      </c>
      <c r="I99" s="113">
        <v>0</v>
      </c>
      <c r="J99" s="113">
        <v>0</v>
      </c>
      <c r="K99" s="107" t="s">
        <v>1433</v>
      </c>
      <c r="L99" s="106">
        <f t="shared" si="12"/>
        <v>0</v>
      </c>
      <c r="M99" s="114">
        <f t="shared" si="13"/>
        <v>0</v>
      </c>
      <c r="N99" s="106">
        <f t="shared" si="14"/>
        <v>0</v>
      </c>
      <c r="O99" s="107" t="s">
        <v>1389</v>
      </c>
      <c r="P99" s="113">
        <f t="shared" si="15"/>
        <v>0</v>
      </c>
      <c r="Q99" s="109">
        <f t="shared" si="16"/>
        <v>0</v>
      </c>
      <c r="R99" s="109">
        <f t="shared" si="17"/>
        <v>0</v>
      </c>
      <c r="S99" s="109"/>
      <c r="T99" s="109"/>
      <c r="U99" s="110">
        <v>20</v>
      </c>
    </row>
    <row r="100" spans="1:21" ht="51" x14ac:dyDescent="0.2">
      <c r="A100" s="94" t="s">
        <v>1522</v>
      </c>
      <c r="B100" s="104" t="s">
        <v>1440</v>
      </c>
      <c r="C100" s="104" t="s">
        <v>1441</v>
      </c>
      <c r="D100" s="104" t="str">
        <f>IFERROR(VLOOKUP("Traffic Signals",Asset_Class!A:D,4,FALSE),"")</f>
        <v>10.9000.9000.11305</v>
      </c>
      <c r="E100" s="111">
        <v>0</v>
      </c>
      <c r="F100" s="104" t="s">
        <v>1554</v>
      </c>
      <c r="G100" s="104">
        <v>294925</v>
      </c>
      <c r="H100" s="104">
        <v>5</v>
      </c>
      <c r="I100" s="113">
        <v>83.39</v>
      </c>
      <c r="J100" s="113">
        <v>416.97</v>
      </c>
      <c r="K100" s="107" t="s">
        <v>1389</v>
      </c>
      <c r="L100" s="106">
        <f t="shared" si="12"/>
        <v>0</v>
      </c>
      <c r="M100" s="114">
        <f t="shared" si="13"/>
        <v>416.97</v>
      </c>
      <c r="N100" s="106">
        <f t="shared" si="14"/>
        <v>0</v>
      </c>
      <c r="O100" s="107" t="s">
        <v>1389</v>
      </c>
      <c r="P100" s="113">
        <f t="shared" si="15"/>
        <v>416.97</v>
      </c>
      <c r="Q100" s="109">
        <f t="shared" si="16"/>
        <v>416.97</v>
      </c>
      <c r="R100" s="109">
        <f t="shared" si="17"/>
        <v>0</v>
      </c>
      <c r="S100" s="109"/>
      <c r="T100" s="109"/>
      <c r="U100" s="110">
        <v>20</v>
      </c>
    </row>
    <row r="101" spans="1:21" ht="38.25" x14ac:dyDescent="0.2">
      <c r="A101" s="94" t="s">
        <v>1523</v>
      </c>
      <c r="B101" s="104" t="s">
        <v>1440</v>
      </c>
      <c r="C101" s="104" t="s">
        <v>1441</v>
      </c>
      <c r="D101" s="104" t="str">
        <f>IFERROR(VLOOKUP("Traffic Signals",Asset_Class!A:D,4,FALSE),"")</f>
        <v>10.9000.9000.11305</v>
      </c>
      <c r="E101" s="111">
        <v>0</v>
      </c>
      <c r="F101" s="104" t="s">
        <v>1555</v>
      </c>
      <c r="G101" s="104">
        <v>294925</v>
      </c>
      <c r="H101" s="104">
        <v>5</v>
      </c>
      <c r="I101" s="113">
        <v>0</v>
      </c>
      <c r="J101" s="113">
        <v>0</v>
      </c>
      <c r="K101" s="107" t="s">
        <v>1433</v>
      </c>
      <c r="L101" s="106">
        <f t="shared" si="12"/>
        <v>0</v>
      </c>
      <c r="M101" s="114">
        <f t="shared" si="13"/>
        <v>0</v>
      </c>
      <c r="N101" s="106">
        <f t="shared" si="14"/>
        <v>0</v>
      </c>
      <c r="O101" s="107" t="s">
        <v>1389</v>
      </c>
      <c r="P101" s="113">
        <f t="shared" si="15"/>
        <v>0</v>
      </c>
      <c r="Q101" s="109">
        <f t="shared" si="16"/>
        <v>0</v>
      </c>
      <c r="R101" s="109">
        <f t="shared" si="17"/>
        <v>0</v>
      </c>
      <c r="S101" s="109"/>
      <c r="T101" s="109"/>
      <c r="U101" s="110">
        <v>20</v>
      </c>
    </row>
    <row r="102" spans="1:21" ht="63.75" x14ac:dyDescent="0.2">
      <c r="A102" s="94" t="s">
        <v>1524</v>
      </c>
      <c r="B102" s="104" t="s">
        <v>1440</v>
      </c>
      <c r="C102" s="104" t="s">
        <v>1441</v>
      </c>
      <c r="D102" s="104" t="str">
        <f>IFERROR(VLOOKUP("Traffic Signals",Asset_Class!A:D,4,FALSE),"")</f>
        <v>10.9000.9000.11305</v>
      </c>
      <c r="E102" s="111">
        <v>0</v>
      </c>
      <c r="F102" s="104" t="s">
        <v>1556</v>
      </c>
      <c r="G102" s="104">
        <v>294926</v>
      </c>
      <c r="H102" s="104">
        <v>7</v>
      </c>
      <c r="I102" s="113">
        <v>83.39</v>
      </c>
      <c r="J102" s="113">
        <v>583.76</v>
      </c>
      <c r="K102" s="107" t="s">
        <v>1389</v>
      </c>
      <c r="L102" s="106">
        <f t="shared" si="12"/>
        <v>0</v>
      </c>
      <c r="M102" s="114">
        <f t="shared" si="13"/>
        <v>583.76</v>
      </c>
      <c r="N102" s="106">
        <f t="shared" si="14"/>
        <v>0</v>
      </c>
      <c r="O102" s="107" t="s">
        <v>1389</v>
      </c>
      <c r="P102" s="113">
        <f t="shared" si="15"/>
        <v>583.76</v>
      </c>
      <c r="Q102" s="109">
        <f t="shared" si="16"/>
        <v>583.76</v>
      </c>
      <c r="R102" s="109">
        <f t="shared" si="17"/>
        <v>0</v>
      </c>
      <c r="S102" s="109"/>
      <c r="T102" s="109"/>
      <c r="U102" s="110">
        <v>20</v>
      </c>
    </row>
    <row r="103" spans="1:21" ht="51" x14ac:dyDescent="0.2">
      <c r="A103" s="94" t="s">
        <v>1525</v>
      </c>
      <c r="B103" s="104" t="s">
        <v>1440</v>
      </c>
      <c r="C103" s="104" t="s">
        <v>1441</v>
      </c>
      <c r="D103" s="104" t="str">
        <f>IFERROR(VLOOKUP("Traffic Signals",Asset_Class!A:D,4,FALSE),"")</f>
        <v>10.9000.9000.11305</v>
      </c>
      <c r="E103" s="111">
        <v>0</v>
      </c>
      <c r="F103" s="104" t="s">
        <v>1557</v>
      </c>
      <c r="G103" s="104">
        <v>294926</v>
      </c>
      <c r="H103" s="104">
        <v>7</v>
      </c>
      <c r="I103" s="113">
        <v>0</v>
      </c>
      <c r="J103" s="113">
        <v>0</v>
      </c>
      <c r="K103" s="107" t="s">
        <v>1433</v>
      </c>
      <c r="L103" s="106">
        <f t="shared" si="12"/>
        <v>0</v>
      </c>
      <c r="M103" s="114">
        <f t="shared" si="13"/>
        <v>0</v>
      </c>
      <c r="N103" s="106">
        <f t="shared" si="14"/>
        <v>0</v>
      </c>
      <c r="O103" s="107" t="s">
        <v>1389</v>
      </c>
      <c r="P103" s="113">
        <f t="shared" si="15"/>
        <v>0</v>
      </c>
      <c r="Q103" s="109">
        <f t="shared" si="16"/>
        <v>0</v>
      </c>
      <c r="R103" s="109">
        <f t="shared" si="17"/>
        <v>0</v>
      </c>
      <c r="S103" s="109"/>
      <c r="T103" s="109"/>
      <c r="U103" s="110">
        <v>20</v>
      </c>
    </row>
    <row r="104" spans="1:21" ht="63.75" x14ac:dyDescent="0.2">
      <c r="A104" s="94" t="s">
        <v>1526</v>
      </c>
      <c r="B104" s="104" t="s">
        <v>1440</v>
      </c>
      <c r="C104" s="104" t="s">
        <v>1441</v>
      </c>
      <c r="D104" s="104" t="str">
        <f>IFERROR(VLOOKUP("Traffic Signals",Asset_Class!A:D,4,FALSE),"")</f>
        <v>10.9000.9000.11305</v>
      </c>
      <c r="E104" s="111">
        <v>0</v>
      </c>
      <c r="F104" s="104" t="s">
        <v>1556</v>
      </c>
      <c r="G104" s="104">
        <v>294927</v>
      </c>
      <c r="H104" s="104">
        <v>1</v>
      </c>
      <c r="I104" s="113">
        <v>83.39</v>
      </c>
      <c r="J104" s="113">
        <v>83.39</v>
      </c>
      <c r="K104" s="107" t="s">
        <v>1389</v>
      </c>
      <c r="L104" s="106">
        <f t="shared" si="12"/>
        <v>0</v>
      </c>
      <c r="M104" s="114">
        <f t="shared" si="13"/>
        <v>83.39</v>
      </c>
      <c r="N104" s="106">
        <f t="shared" si="14"/>
        <v>0</v>
      </c>
      <c r="O104" s="107" t="s">
        <v>1389</v>
      </c>
      <c r="P104" s="113">
        <f t="shared" si="15"/>
        <v>83.39</v>
      </c>
      <c r="Q104" s="109">
        <f t="shared" si="16"/>
        <v>83.39</v>
      </c>
      <c r="R104" s="109">
        <f t="shared" si="17"/>
        <v>0</v>
      </c>
      <c r="S104" s="109"/>
      <c r="T104" s="109"/>
      <c r="U104" s="110">
        <v>20</v>
      </c>
    </row>
    <row r="105" spans="1:21" ht="51" x14ac:dyDescent="0.2">
      <c r="A105" s="94" t="s">
        <v>1527</v>
      </c>
      <c r="B105" s="104" t="s">
        <v>1440</v>
      </c>
      <c r="C105" s="104" t="s">
        <v>1441</v>
      </c>
      <c r="D105" s="104" t="str">
        <f>IFERROR(VLOOKUP("Traffic Signals",Asset_Class!A:D,4,FALSE),"")</f>
        <v>10.9000.9000.11305</v>
      </c>
      <c r="E105" s="111">
        <v>0</v>
      </c>
      <c r="F105" s="104" t="s">
        <v>1557</v>
      </c>
      <c r="G105" s="104">
        <v>294927</v>
      </c>
      <c r="H105" s="104">
        <v>1</v>
      </c>
      <c r="I105" s="113">
        <v>0</v>
      </c>
      <c r="J105" s="113">
        <v>0</v>
      </c>
      <c r="K105" s="107" t="s">
        <v>1433</v>
      </c>
      <c r="L105" s="106">
        <f t="shared" si="12"/>
        <v>0</v>
      </c>
      <c r="M105" s="114">
        <f t="shared" si="13"/>
        <v>0</v>
      </c>
      <c r="N105" s="106">
        <f t="shared" si="14"/>
        <v>0</v>
      </c>
      <c r="O105" s="107" t="s">
        <v>1389</v>
      </c>
      <c r="P105" s="113">
        <f t="shared" si="15"/>
        <v>0</v>
      </c>
      <c r="Q105" s="109">
        <f t="shared" si="16"/>
        <v>0</v>
      </c>
      <c r="R105" s="109">
        <f t="shared" si="17"/>
        <v>0</v>
      </c>
      <c r="S105" s="109"/>
      <c r="T105" s="109"/>
      <c r="U105" s="110">
        <v>20</v>
      </c>
    </row>
    <row r="106" spans="1:21" ht="63.75" x14ac:dyDescent="0.2">
      <c r="A106" s="94" t="s">
        <v>1528</v>
      </c>
      <c r="B106" s="104" t="s">
        <v>1440</v>
      </c>
      <c r="C106" s="104" t="s">
        <v>1441</v>
      </c>
      <c r="D106" s="104" t="str">
        <f>IFERROR(VLOOKUP("Traffic Signals",Asset_Class!A:D,4,FALSE),"")</f>
        <v>10.9000.9000.11305</v>
      </c>
      <c r="E106" s="111">
        <v>0</v>
      </c>
      <c r="F106" s="104" t="s">
        <v>1558</v>
      </c>
      <c r="G106" s="104">
        <v>294929</v>
      </c>
      <c r="H106" s="104">
        <v>23</v>
      </c>
      <c r="I106" s="113">
        <v>83.39</v>
      </c>
      <c r="J106" s="113">
        <v>1918.08</v>
      </c>
      <c r="K106" s="107" t="s">
        <v>1389</v>
      </c>
      <c r="L106" s="106">
        <f t="shared" si="12"/>
        <v>0</v>
      </c>
      <c r="M106" s="114">
        <f t="shared" si="13"/>
        <v>1918.08</v>
      </c>
      <c r="N106" s="106">
        <f t="shared" si="14"/>
        <v>0</v>
      </c>
      <c r="O106" s="107" t="s">
        <v>1389</v>
      </c>
      <c r="P106" s="113">
        <f t="shared" si="15"/>
        <v>1918.08</v>
      </c>
      <c r="Q106" s="109">
        <f t="shared" si="16"/>
        <v>1918.08</v>
      </c>
      <c r="R106" s="109">
        <f t="shared" si="17"/>
        <v>0</v>
      </c>
      <c r="S106" s="109"/>
      <c r="T106" s="109"/>
      <c r="U106" s="110">
        <v>20</v>
      </c>
    </row>
    <row r="107" spans="1:21" ht="63.75" x14ac:dyDescent="0.2">
      <c r="A107" s="94" t="s">
        <v>1529</v>
      </c>
      <c r="B107" s="104" t="s">
        <v>1440</v>
      </c>
      <c r="C107" s="104" t="s">
        <v>1441</v>
      </c>
      <c r="D107" s="104" t="str">
        <f>IFERROR(VLOOKUP("Traffic Signals",Asset_Class!A:D,4,FALSE),"")</f>
        <v>10.9000.9000.11305</v>
      </c>
      <c r="E107" s="111">
        <v>0</v>
      </c>
      <c r="F107" s="104" t="s">
        <v>1559</v>
      </c>
      <c r="G107" s="104">
        <v>294929</v>
      </c>
      <c r="H107" s="104">
        <v>23</v>
      </c>
      <c r="I107" s="113">
        <v>157.22</v>
      </c>
      <c r="J107" s="113">
        <v>3616.05</v>
      </c>
      <c r="K107" s="107" t="s">
        <v>1389</v>
      </c>
      <c r="L107" s="106">
        <f t="shared" si="12"/>
        <v>0</v>
      </c>
      <c r="M107" s="114">
        <f t="shared" si="13"/>
        <v>3616.05</v>
      </c>
      <c r="N107" s="106">
        <f t="shared" si="14"/>
        <v>0</v>
      </c>
      <c r="O107" s="107" t="s">
        <v>1389</v>
      </c>
      <c r="P107" s="113">
        <f t="shared" si="15"/>
        <v>3616.05</v>
      </c>
      <c r="Q107" s="109">
        <f t="shared" si="16"/>
        <v>3616.05</v>
      </c>
      <c r="R107" s="109">
        <f t="shared" si="17"/>
        <v>0</v>
      </c>
      <c r="S107" s="109"/>
      <c r="T107" s="109"/>
      <c r="U107" s="110">
        <v>20</v>
      </c>
    </row>
    <row r="108" spans="1:21" ht="51" x14ac:dyDescent="0.2">
      <c r="A108" s="94" t="s">
        <v>1530</v>
      </c>
      <c r="B108" s="104" t="s">
        <v>1440</v>
      </c>
      <c r="C108" s="104" t="s">
        <v>1441</v>
      </c>
      <c r="D108" s="104" t="str">
        <f>IFERROR(VLOOKUP("Traffic Signals",Asset_Class!A:D,4,FALSE),"")</f>
        <v>10.9000.9000.11305</v>
      </c>
      <c r="E108" s="111">
        <v>0</v>
      </c>
      <c r="F108" s="104" t="s">
        <v>1557</v>
      </c>
      <c r="G108" s="104">
        <v>294929</v>
      </c>
      <c r="H108" s="104">
        <v>23</v>
      </c>
      <c r="I108" s="113">
        <v>0</v>
      </c>
      <c r="J108" s="113">
        <v>0</v>
      </c>
      <c r="K108" s="107" t="s">
        <v>1433</v>
      </c>
      <c r="L108" s="106">
        <f t="shared" si="12"/>
        <v>0</v>
      </c>
      <c r="M108" s="114">
        <f t="shared" si="13"/>
        <v>0</v>
      </c>
      <c r="N108" s="106">
        <f t="shared" si="14"/>
        <v>0</v>
      </c>
      <c r="O108" s="107" t="s">
        <v>1389</v>
      </c>
      <c r="P108" s="113">
        <f t="shared" si="15"/>
        <v>0</v>
      </c>
      <c r="Q108" s="109">
        <f t="shared" si="16"/>
        <v>0</v>
      </c>
      <c r="R108" s="109">
        <f t="shared" si="17"/>
        <v>0</v>
      </c>
      <c r="S108" s="109"/>
      <c r="T108" s="109"/>
      <c r="U108" s="110">
        <v>20</v>
      </c>
    </row>
    <row r="109" spans="1:21" ht="51" x14ac:dyDescent="0.2">
      <c r="A109" s="94" t="s">
        <v>1531</v>
      </c>
      <c r="B109" s="104" t="s">
        <v>1440</v>
      </c>
      <c r="C109" s="104" t="s">
        <v>1441</v>
      </c>
      <c r="D109" s="104" t="str">
        <f>IFERROR(VLOOKUP("Traffic Signals",Asset_Class!A:D,4,FALSE),"")</f>
        <v>10.9000.9000.11305</v>
      </c>
      <c r="E109" s="111">
        <v>0</v>
      </c>
      <c r="F109" s="104" t="s">
        <v>1554</v>
      </c>
      <c r="G109" s="104">
        <v>294930</v>
      </c>
      <c r="H109" s="104">
        <v>0.5</v>
      </c>
      <c r="I109" s="113">
        <v>83.39</v>
      </c>
      <c r="J109" s="113">
        <v>41.7</v>
      </c>
      <c r="K109" s="107" t="s">
        <v>1389</v>
      </c>
      <c r="L109" s="106">
        <f t="shared" si="12"/>
        <v>0</v>
      </c>
      <c r="M109" s="114">
        <f t="shared" si="13"/>
        <v>41.7</v>
      </c>
      <c r="N109" s="106">
        <f t="shared" si="14"/>
        <v>0</v>
      </c>
      <c r="O109" s="107" t="s">
        <v>1389</v>
      </c>
      <c r="P109" s="113">
        <f t="shared" si="15"/>
        <v>41.7</v>
      </c>
      <c r="Q109" s="109">
        <f t="shared" si="16"/>
        <v>41.7</v>
      </c>
      <c r="R109" s="109">
        <f t="shared" si="17"/>
        <v>0</v>
      </c>
      <c r="S109" s="109"/>
      <c r="T109" s="109"/>
      <c r="U109" s="110">
        <v>20</v>
      </c>
    </row>
    <row r="110" spans="1:21" ht="38.25" x14ac:dyDescent="0.2">
      <c r="A110" s="94" t="s">
        <v>1532</v>
      </c>
      <c r="B110" s="104" t="s">
        <v>1440</v>
      </c>
      <c r="C110" s="104" t="s">
        <v>1441</v>
      </c>
      <c r="D110" s="104" t="str">
        <f>IFERROR(VLOOKUP("Traffic Signals",Asset_Class!A:D,4,FALSE),"")</f>
        <v>10.9000.9000.11305</v>
      </c>
      <c r="E110" s="111">
        <v>0</v>
      </c>
      <c r="F110" s="104" t="s">
        <v>1560</v>
      </c>
      <c r="G110" s="104">
        <v>294930</v>
      </c>
      <c r="H110" s="104">
        <v>0.5</v>
      </c>
      <c r="I110" s="113">
        <v>0</v>
      </c>
      <c r="J110" s="113">
        <v>0</v>
      </c>
      <c r="K110" s="107" t="s">
        <v>1433</v>
      </c>
      <c r="L110" s="106">
        <f t="shared" si="12"/>
        <v>0</v>
      </c>
      <c r="M110" s="114">
        <f t="shared" si="13"/>
        <v>0</v>
      </c>
      <c r="N110" s="106">
        <f t="shared" si="14"/>
        <v>0</v>
      </c>
      <c r="O110" s="107" t="s">
        <v>1389</v>
      </c>
      <c r="P110" s="113">
        <f t="shared" si="15"/>
        <v>0</v>
      </c>
      <c r="Q110" s="109">
        <f t="shared" si="16"/>
        <v>0</v>
      </c>
      <c r="R110" s="109">
        <f t="shared" si="17"/>
        <v>0</v>
      </c>
      <c r="S110" s="109"/>
      <c r="T110" s="109"/>
      <c r="U110" s="110">
        <v>20</v>
      </c>
    </row>
    <row r="111" spans="1:21" ht="63.75" x14ac:dyDescent="0.2">
      <c r="A111" s="94" t="s">
        <v>1533</v>
      </c>
      <c r="B111" s="104" t="s">
        <v>1440</v>
      </c>
      <c r="C111" s="104" t="s">
        <v>1441</v>
      </c>
      <c r="D111" s="104" t="str">
        <f>IFERROR(VLOOKUP("Traffic Signals",Asset_Class!A:D,4,FALSE),"")</f>
        <v>10.9000.9000.11305</v>
      </c>
      <c r="E111" s="111">
        <v>0</v>
      </c>
      <c r="F111" s="104" t="s">
        <v>1556</v>
      </c>
      <c r="G111" s="104">
        <v>294928</v>
      </c>
      <c r="H111" s="104">
        <v>3</v>
      </c>
      <c r="I111" s="113">
        <v>83.39</v>
      </c>
      <c r="J111" s="113">
        <v>250.18</v>
      </c>
      <c r="K111" s="107" t="s">
        <v>1389</v>
      </c>
      <c r="L111" s="106">
        <f t="shared" si="12"/>
        <v>0</v>
      </c>
      <c r="M111" s="114">
        <f t="shared" si="13"/>
        <v>250.18</v>
      </c>
      <c r="N111" s="106">
        <f t="shared" si="14"/>
        <v>0</v>
      </c>
      <c r="O111" s="107" t="s">
        <v>1389</v>
      </c>
      <c r="P111" s="113">
        <f t="shared" si="15"/>
        <v>250.18</v>
      </c>
      <c r="Q111" s="109">
        <f t="shared" si="16"/>
        <v>250.18</v>
      </c>
      <c r="R111" s="109">
        <f t="shared" si="17"/>
        <v>0</v>
      </c>
      <c r="S111" s="109"/>
      <c r="T111" s="109"/>
      <c r="U111" s="110">
        <v>20</v>
      </c>
    </row>
    <row r="112" spans="1:21" ht="51" x14ac:dyDescent="0.2">
      <c r="A112" s="94" t="s">
        <v>1534</v>
      </c>
      <c r="B112" s="104" t="s">
        <v>1440</v>
      </c>
      <c r="C112" s="104" t="s">
        <v>1441</v>
      </c>
      <c r="D112" s="104" t="str">
        <f>IFERROR(VLOOKUP("Traffic Signals",Asset_Class!A:D,4,FALSE),"")</f>
        <v>10.9000.9000.11305</v>
      </c>
      <c r="E112" s="111">
        <v>0</v>
      </c>
      <c r="F112" s="104" t="s">
        <v>1557</v>
      </c>
      <c r="G112" s="104">
        <v>294928</v>
      </c>
      <c r="H112" s="104">
        <v>3</v>
      </c>
      <c r="I112" s="113">
        <v>0</v>
      </c>
      <c r="J112" s="113">
        <v>0</v>
      </c>
      <c r="K112" s="107" t="s">
        <v>1433</v>
      </c>
      <c r="L112" s="106">
        <f t="shared" si="12"/>
        <v>0</v>
      </c>
      <c r="M112" s="114">
        <f t="shared" si="13"/>
        <v>0</v>
      </c>
      <c r="N112" s="106">
        <f t="shared" si="14"/>
        <v>0</v>
      </c>
      <c r="O112" s="107" t="s">
        <v>1389</v>
      </c>
      <c r="P112" s="113">
        <f t="shared" si="15"/>
        <v>0</v>
      </c>
      <c r="Q112" s="109">
        <f t="shared" si="16"/>
        <v>0</v>
      </c>
      <c r="R112" s="109">
        <f t="shared" si="17"/>
        <v>0</v>
      </c>
      <c r="S112" s="109"/>
      <c r="T112" s="109"/>
      <c r="U112" s="110">
        <v>20</v>
      </c>
    </row>
    <row r="113" spans="1:21" ht="63.75" x14ac:dyDescent="0.2">
      <c r="A113" s="94" t="s">
        <v>1535</v>
      </c>
      <c r="B113" s="104" t="s">
        <v>1440</v>
      </c>
      <c r="C113" s="104" t="s">
        <v>1441</v>
      </c>
      <c r="D113" s="104" t="str">
        <f>IFERROR(VLOOKUP("Traffic Signals",Asset_Class!A:D,4,FALSE),"")</f>
        <v>10.9000.9000.11305</v>
      </c>
      <c r="E113" s="111">
        <v>0</v>
      </c>
      <c r="F113" s="104" t="s">
        <v>1558</v>
      </c>
      <c r="G113" s="104">
        <v>294931</v>
      </c>
      <c r="H113" s="104">
        <v>6</v>
      </c>
      <c r="I113" s="113">
        <v>83.39</v>
      </c>
      <c r="J113" s="113">
        <v>500.37</v>
      </c>
      <c r="K113" s="107" t="s">
        <v>1389</v>
      </c>
      <c r="L113" s="106">
        <f t="shared" si="12"/>
        <v>0</v>
      </c>
      <c r="M113" s="114">
        <f t="shared" si="13"/>
        <v>500.37</v>
      </c>
      <c r="N113" s="106">
        <f t="shared" si="14"/>
        <v>0</v>
      </c>
      <c r="O113" s="107" t="s">
        <v>1389</v>
      </c>
      <c r="P113" s="113">
        <f t="shared" si="15"/>
        <v>500.37</v>
      </c>
      <c r="Q113" s="109">
        <f t="shared" si="16"/>
        <v>500.37</v>
      </c>
      <c r="R113" s="109">
        <f t="shared" si="17"/>
        <v>0</v>
      </c>
      <c r="S113" s="109"/>
      <c r="T113" s="109"/>
      <c r="U113" s="110">
        <v>20</v>
      </c>
    </row>
    <row r="114" spans="1:21" ht="63.75" x14ac:dyDescent="0.2">
      <c r="A114" s="94" t="s">
        <v>1536</v>
      </c>
      <c r="B114" s="104" t="s">
        <v>1440</v>
      </c>
      <c r="C114" s="104" t="s">
        <v>1441</v>
      </c>
      <c r="D114" s="104" t="str">
        <f>IFERROR(VLOOKUP("Traffic Signals",Asset_Class!A:D,4,FALSE),"")</f>
        <v>10.9000.9000.11305</v>
      </c>
      <c r="E114" s="111">
        <v>0</v>
      </c>
      <c r="F114" s="104" t="s">
        <v>1559</v>
      </c>
      <c r="G114" s="104">
        <v>294931</v>
      </c>
      <c r="H114" s="104">
        <v>6</v>
      </c>
      <c r="I114" s="113">
        <v>157.22</v>
      </c>
      <c r="J114" s="113">
        <v>943.32</v>
      </c>
      <c r="K114" s="107" t="s">
        <v>1389</v>
      </c>
      <c r="L114" s="106">
        <f t="shared" si="12"/>
        <v>0</v>
      </c>
      <c r="M114" s="114">
        <f t="shared" si="13"/>
        <v>943.32</v>
      </c>
      <c r="N114" s="106">
        <f t="shared" si="14"/>
        <v>0</v>
      </c>
      <c r="O114" s="107" t="s">
        <v>1389</v>
      </c>
      <c r="P114" s="113">
        <f t="shared" si="15"/>
        <v>943.32</v>
      </c>
      <c r="Q114" s="109">
        <f t="shared" si="16"/>
        <v>943.32</v>
      </c>
      <c r="R114" s="109">
        <f t="shared" si="17"/>
        <v>0</v>
      </c>
      <c r="S114" s="109"/>
      <c r="T114" s="109"/>
      <c r="U114" s="110">
        <v>20</v>
      </c>
    </row>
    <row r="115" spans="1:21" ht="51" x14ac:dyDescent="0.2">
      <c r="A115" s="94" t="s">
        <v>1537</v>
      </c>
      <c r="B115" s="104" t="s">
        <v>1440</v>
      </c>
      <c r="C115" s="104" t="s">
        <v>1441</v>
      </c>
      <c r="D115" s="104" t="str">
        <f>IFERROR(VLOOKUP("Traffic Signals",Asset_Class!A:D,4,FALSE),"")</f>
        <v>10.9000.9000.11305</v>
      </c>
      <c r="E115" s="111">
        <v>0</v>
      </c>
      <c r="F115" s="104" t="s">
        <v>1557</v>
      </c>
      <c r="G115" s="104">
        <v>294931</v>
      </c>
      <c r="H115" s="104">
        <v>6</v>
      </c>
      <c r="I115" s="113">
        <v>0</v>
      </c>
      <c r="J115" s="113">
        <v>0</v>
      </c>
      <c r="K115" s="107" t="s">
        <v>1433</v>
      </c>
      <c r="L115" s="106">
        <f t="shared" si="12"/>
        <v>0</v>
      </c>
      <c r="M115" s="114">
        <f t="shared" si="13"/>
        <v>0</v>
      </c>
      <c r="N115" s="106">
        <f t="shared" si="14"/>
        <v>0</v>
      </c>
      <c r="O115" s="107" t="s">
        <v>1389</v>
      </c>
      <c r="P115" s="113">
        <f t="shared" si="15"/>
        <v>0</v>
      </c>
      <c r="Q115" s="109">
        <f t="shared" si="16"/>
        <v>0</v>
      </c>
      <c r="R115" s="109">
        <f t="shared" si="17"/>
        <v>0</v>
      </c>
      <c r="S115" s="109"/>
      <c r="T115" s="109"/>
      <c r="U115" s="110">
        <v>20</v>
      </c>
    </row>
    <row r="116" spans="1:21" ht="63.75" x14ac:dyDescent="0.2">
      <c r="A116" s="94" t="s">
        <v>1538</v>
      </c>
      <c r="B116" s="104" t="s">
        <v>1440</v>
      </c>
      <c r="C116" s="104" t="s">
        <v>1441</v>
      </c>
      <c r="D116" s="104" t="str">
        <f>IFERROR(VLOOKUP("Traffic Signals",Asset_Class!A:D,4,FALSE),"")</f>
        <v>10.9000.9000.11305</v>
      </c>
      <c r="E116" s="111">
        <v>0</v>
      </c>
      <c r="F116" s="104" t="s">
        <v>1556</v>
      </c>
      <c r="G116" s="104">
        <v>294932</v>
      </c>
      <c r="H116" s="104">
        <v>3</v>
      </c>
      <c r="I116" s="113">
        <v>83.39</v>
      </c>
      <c r="J116" s="113">
        <v>250.18</v>
      </c>
      <c r="K116" s="107" t="s">
        <v>1389</v>
      </c>
      <c r="L116" s="106">
        <f t="shared" ref="L116:L119" si="18">IF(K116="Yes",J116/SUMIF(K:K,"Yes",J:J)*PW_Total_Costs,0)</f>
        <v>0</v>
      </c>
      <c r="M116" s="114">
        <f t="shared" ref="M116:M119" si="19">J116+L116</f>
        <v>250.18</v>
      </c>
      <c r="N116" s="106">
        <f t="shared" ref="N116:N119" si="20">IF(B116="Write-off",0,IFERROR((M116/CPD_Total_Assets_Costs*FI_CY_Expenditure)*FI_Overhead_Percentage,0)+ IFERROR((M116/CPD_Total_Assets_Costs*FI_Prev_Overhead),0))</f>
        <v>0</v>
      </c>
      <c r="O116" s="107" t="s">
        <v>1389</v>
      </c>
      <c r="P116" s="113">
        <f t="shared" si="15"/>
        <v>250.18</v>
      </c>
      <c r="Q116" s="109">
        <f t="shared" ref="Q116:Q119" si="21">P116*(1-E116)</f>
        <v>250.18</v>
      </c>
      <c r="R116" s="109">
        <f t="shared" si="17"/>
        <v>0</v>
      </c>
      <c r="S116" s="109"/>
      <c r="T116" s="109"/>
      <c r="U116" s="110">
        <v>20</v>
      </c>
    </row>
    <row r="117" spans="1:21" ht="51" x14ac:dyDescent="0.2">
      <c r="A117" s="94" t="s">
        <v>1539</v>
      </c>
      <c r="B117" s="104" t="s">
        <v>1440</v>
      </c>
      <c r="C117" s="104" t="s">
        <v>1441</v>
      </c>
      <c r="D117" s="104" t="str">
        <f>IFERROR(VLOOKUP("Traffic Signals",Asset_Class!A:D,4,FALSE),"")</f>
        <v>10.9000.9000.11305</v>
      </c>
      <c r="E117" s="111">
        <v>0</v>
      </c>
      <c r="F117" s="104" t="s">
        <v>1561</v>
      </c>
      <c r="G117" s="104">
        <v>294932</v>
      </c>
      <c r="H117" s="104">
        <v>3</v>
      </c>
      <c r="I117" s="113">
        <v>0</v>
      </c>
      <c r="J117" s="113">
        <v>0</v>
      </c>
      <c r="K117" s="107" t="s">
        <v>1433</v>
      </c>
      <c r="L117" s="106">
        <f t="shared" si="18"/>
        <v>0</v>
      </c>
      <c r="M117" s="114">
        <f t="shared" si="19"/>
        <v>0</v>
      </c>
      <c r="N117" s="106">
        <f t="shared" si="20"/>
        <v>0</v>
      </c>
      <c r="O117" s="107" t="s">
        <v>1389</v>
      </c>
      <c r="P117" s="113">
        <f t="shared" si="15"/>
        <v>0</v>
      </c>
      <c r="Q117" s="109">
        <f t="shared" si="21"/>
        <v>0</v>
      </c>
      <c r="R117" s="109">
        <f t="shared" si="17"/>
        <v>0</v>
      </c>
      <c r="S117" s="109"/>
      <c r="T117" s="109"/>
      <c r="U117" s="110">
        <v>20</v>
      </c>
    </row>
    <row r="118" spans="1:21" ht="63.75" x14ac:dyDescent="0.2">
      <c r="A118" s="94" t="s">
        <v>1540</v>
      </c>
      <c r="B118" s="104" t="s">
        <v>1440</v>
      </c>
      <c r="C118" s="104" t="s">
        <v>1441</v>
      </c>
      <c r="D118" s="104" t="str">
        <f>IFERROR(VLOOKUP("Traffic Signals",Asset_Class!A:D,4,FALSE),"")</f>
        <v>10.9000.9000.11305</v>
      </c>
      <c r="E118" s="111">
        <v>0</v>
      </c>
      <c r="F118" s="104" t="s">
        <v>1556</v>
      </c>
      <c r="G118" s="104">
        <v>294933</v>
      </c>
      <c r="H118" s="104">
        <v>3</v>
      </c>
      <c r="I118" s="113">
        <v>83.39</v>
      </c>
      <c r="J118" s="113">
        <v>250.18</v>
      </c>
      <c r="K118" s="107" t="s">
        <v>1389</v>
      </c>
      <c r="L118" s="106">
        <f t="shared" si="18"/>
        <v>0</v>
      </c>
      <c r="M118" s="114">
        <f t="shared" si="19"/>
        <v>250.18</v>
      </c>
      <c r="N118" s="106">
        <f t="shared" si="20"/>
        <v>0</v>
      </c>
      <c r="O118" s="107" t="s">
        <v>1389</v>
      </c>
      <c r="P118" s="113">
        <f t="shared" si="15"/>
        <v>250.18</v>
      </c>
      <c r="Q118" s="109">
        <f t="shared" si="21"/>
        <v>250.18</v>
      </c>
      <c r="R118" s="109">
        <f t="shared" si="17"/>
        <v>0</v>
      </c>
      <c r="S118" s="109"/>
      <c r="T118" s="109"/>
      <c r="U118" s="110">
        <v>20</v>
      </c>
    </row>
    <row r="119" spans="1:21" ht="51" x14ac:dyDescent="0.2">
      <c r="A119" s="94" t="s">
        <v>1541</v>
      </c>
      <c r="B119" s="104" t="s">
        <v>1440</v>
      </c>
      <c r="C119" s="104" t="s">
        <v>1441</v>
      </c>
      <c r="D119" s="104" t="str">
        <f>IFERROR(VLOOKUP("Traffic Signals",Asset_Class!A:D,4,FALSE),"")</f>
        <v>10.9000.9000.11305</v>
      </c>
      <c r="E119" s="111">
        <v>0</v>
      </c>
      <c r="F119" s="104" t="s">
        <v>1557</v>
      </c>
      <c r="G119" s="104">
        <v>294933</v>
      </c>
      <c r="H119" s="104">
        <v>3</v>
      </c>
      <c r="I119" s="113">
        <v>0</v>
      </c>
      <c r="J119" s="113">
        <v>0</v>
      </c>
      <c r="K119" s="107" t="s">
        <v>1433</v>
      </c>
      <c r="L119" s="106">
        <f t="shared" si="18"/>
        <v>0</v>
      </c>
      <c r="M119" s="114">
        <f t="shared" si="19"/>
        <v>0</v>
      </c>
      <c r="N119" s="106">
        <f t="shared" si="20"/>
        <v>0</v>
      </c>
      <c r="O119" s="107" t="s">
        <v>1389</v>
      </c>
      <c r="P119" s="113">
        <f t="shared" si="15"/>
        <v>0</v>
      </c>
      <c r="Q119" s="109">
        <f t="shared" si="21"/>
        <v>0</v>
      </c>
      <c r="R119" s="109">
        <f t="shared" si="17"/>
        <v>0</v>
      </c>
      <c r="S119" s="109"/>
      <c r="T119" s="109"/>
      <c r="U119" s="110">
        <v>20</v>
      </c>
    </row>
    <row r="120" spans="1:21" x14ac:dyDescent="0.2">
      <c r="B120" s="104"/>
      <c r="C120" s="104"/>
      <c r="D120" s="104"/>
      <c r="E120" s="104"/>
      <c r="F120" s="104"/>
      <c r="G120" s="104"/>
      <c r="H120" s="104"/>
      <c r="I120" s="109"/>
      <c r="J120" s="109"/>
      <c r="K120" s="107"/>
      <c r="L120" s="106"/>
      <c r="M120" s="115"/>
      <c r="N120" s="106"/>
      <c r="O120" s="107"/>
      <c r="P120" s="109"/>
      <c r="Q120" s="109"/>
      <c r="R120" s="109"/>
      <c r="S120" s="109"/>
      <c r="T120" s="109"/>
      <c r="U120" s="110"/>
    </row>
    <row r="121" spans="1:21" x14ac:dyDescent="0.2">
      <c r="B121" s="104"/>
      <c r="C121" s="104"/>
      <c r="D121" s="104"/>
      <c r="E121" s="104"/>
      <c r="F121" s="104"/>
      <c r="G121" s="104"/>
      <c r="H121" s="104"/>
      <c r="I121" s="109"/>
      <c r="J121" s="109"/>
      <c r="K121" s="107"/>
      <c r="L121" s="106"/>
      <c r="M121" s="115"/>
      <c r="N121" s="106"/>
      <c r="O121" s="107"/>
      <c r="P121" s="109"/>
      <c r="Q121" s="109"/>
      <c r="R121" s="109"/>
      <c r="S121" s="109"/>
      <c r="T121" s="109"/>
      <c r="U121" s="110"/>
    </row>
    <row r="122" spans="1:21" x14ac:dyDescent="0.2">
      <c r="B122" s="104"/>
      <c r="C122" s="104"/>
      <c r="D122" s="104"/>
      <c r="E122" s="104"/>
      <c r="F122" s="104"/>
      <c r="G122" s="104"/>
      <c r="H122" s="104"/>
      <c r="I122" s="109"/>
      <c r="J122" s="109"/>
      <c r="K122" s="107"/>
      <c r="L122" s="106"/>
      <c r="M122" s="115"/>
      <c r="N122" s="106"/>
      <c r="O122" s="107"/>
      <c r="P122" s="109"/>
      <c r="Q122" s="109"/>
      <c r="R122" s="109"/>
      <c r="S122" s="109"/>
      <c r="T122" s="109"/>
      <c r="U122" s="110"/>
    </row>
    <row r="123" spans="1:21" x14ac:dyDescent="0.2">
      <c r="B123" s="104"/>
      <c r="C123" s="104"/>
      <c r="D123" s="104"/>
      <c r="E123" s="104"/>
      <c r="F123" s="104"/>
      <c r="G123" s="104"/>
      <c r="H123" s="104"/>
      <c r="I123" s="109"/>
      <c r="J123" s="109"/>
      <c r="K123" s="107"/>
      <c r="L123" s="106"/>
      <c r="M123" s="115"/>
      <c r="N123" s="106"/>
      <c r="O123" s="107"/>
      <c r="P123" s="109"/>
      <c r="Q123" s="109"/>
      <c r="R123" s="109"/>
      <c r="S123" s="109"/>
      <c r="T123" s="109"/>
      <c r="U123" s="110"/>
    </row>
    <row r="124" spans="1:21" x14ac:dyDescent="0.2">
      <c r="B124" s="104"/>
      <c r="C124" s="104"/>
      <c r="D124" s="104"/>
      <c r="E124" s="104"/>
      <c r="F124" s="104"/>
      <c r="G124" s="104"/>
      <c r="H124" s="104"/>
      <c r="I124" s="109"/>
      <c r="J124" s="109"/>
      <c r="K124" s="107"/>
      <c r="L124" s="106"/>
      <c r="M124" s="115"/>
      <c r="N124" s="106"/>
      <c r="O124" s="107"/>
      <c r="P124" s="109"/>
      <c r="Q124" s="109"/>
      <c r="R124" s="109"/>
      <c r="S124" s="109"/>
      <c r="T124" s="109"/>
      <c r="U124" s="110"/>
    </row>
    <row r="125" spans="1:21" x14ac:dyDescent="0.2">
      <c r="B125" s="104"/>
      <c r="C125" s="104"/>
      <c r="D125" s="104"/>
      <c r="E125" s="104"/>
      <c r="F125" s="104"/>
      <c r="G125" s="104"/>
      <c r="H125" s="104"/>
      <c r="I125" s="109"/>
      <c r="J125" s="109"/>
      <c r="K125" s="107"/>
      <c r="L125" s="106"/>
      <c r="M125" s="115"/>
      <c r="N125" s="106"/>
      <c r="O125" s="107"/>
      <c r="P125" s="109"/>
      <c r="Q125" s="109"/>
      <c r="R125" s="109"/>
      <c r="S125" s="109"/>
      <c r="T125" s="109"/>
      <c r="U125" s="110"/>
    </row>
    <row r="126" spans="1:21" x14ac:dyDescent="0.2">
      <c r="B126" s="104"/>
      <c r="C126" s="104"/>
      <c r="D126" s="104"/>
      <c r="E126" s="104"/>
      <c r="F126" s="104"/>
      <c r="G126" s="104"/>
      <c r="H126" s="104"/>
      <c r="I126" s="109"/>
      <c r="J126" s="109"/>
      <c r="K126" s="107"/>
      <c r="L126" s="106"/>
      <c r="M126" s="115"/>
      <c r="N126" s="106"/>
      <c r="O126" s="107"/>
      <c r="P126" s="109"/>
      <c r="Q126" s="109"/>
      <c r="R126" s="109"/>
      <c r="S126" s="109"/>
      <c r="T126" s="109"/>
      <c r="U126" s="110"/>
    </row>
    <row r="127" spans="1:21" x14ac:dyDescent="0.2">
      <c r="B127" s="104"/>
      <c r="C127" s="104"/>
      <c r="D127" s="104"/>
      <c r="E127" s="104"/>
      <c r="F127" s="104"/>
      <c r="G127" s="104"/>
      <c r="H127" s="104"/>
      <c r="I127" s="109"/>
      <c r="J127" s="109"/>
      <c r="K127" s="107"/>
      <c r="L127" s="106"/>
      <c r="M127" s="115"/>
      <c r="N127" s="106"/>
      <c r="O127" s="107"/>
      <c r="P127" s="109"/>
      <c r="Q127" s="109"/>
      <c r="R127" s="109"/>
      <c r="S127" s="109"/>
      <c r="T127" s="109"/>
      <c r="U127" s="110"/>
    </row>
    <row r="128" spans="1:21" x14ac:dyDescent="0.2">
      <c r="B128" s="104"/>
      <c r="C128" s="104"/>
      <c r="D128" s="104"/>
      <c r="E128" s="104"/>
      <c r="F128" s="104"/>
      <c r="G128" s="104"/>
      <c r="H128" s="104"/>
      <c r="I128" s="109"/>
      <c r="J128" s="109"/>
      <c r="K128" s="107"/>
      <c r="L128" s="106"/>
      <c r="M128" s="115"/>
      <c r="N128" s="106"/>
      <c r="O128" s="107"/>
      <c r="P128" s="109"/>
      <c r="Q128" s="109"/>
      <c r="R128" s="109"/>
      <c r="S128" s="109"/>
      <c r="T128" s="109"/>
      <c r="U128" s="110"/>
    </row>
    <row r="129" spans="2:21" x14ac:dyDescent="0.2">
      <c r="B129" s="104"/>
      <c r="C129" s="104"/>
      <c r="D129" s="104"/>
      <c r="E129" s="104"/>
      <c r="F129" s="104"/>
      <c r="G129" s="104"/>
      <c r="H129" s="104"/>
      <c r="I129" s="109"/>
      <c r="J129" s="109"/>
      <c r="K129" s="107"/>
      <c r="L129" s="106"/>
      <c r="M129" s="115"/>
      <c r="N129" s="106"/>
      <c r="O129" s="107"/>
      <c r="P129" s="109"/>
      <c r="Q129" s="109"/>
      <c r="R129" s="109"/>
      <c r="S129" s="109"/>
      <c r="T129" s="109"/>
      <c r="U129" s="110"/>
    </row>
    <row r="130" spans="2:21" x14ac:dyDescent="0.2">
      <c r="B130" s="104"/>
      <c r="C130" s="104"/>
      <c r="D130" s="104"/>
      <c r="E130" s="104"/>
      <c r="F130" s="104"/>
      <c r="G130" s="104"/>
      <c r="H130" s="104"/>
      <c r="I130" s="109"/>
      <c r="J130" s="109"/>
      <c r="K130" s="107"/>
      <c r="L130" s="106"/>
      <c r="M130" s="115"/>
      <c r="N130" s="106"/>
      <c r="O130" s="107"/>
      <c r="P130" s="109"/>
      <c r="Q130" s="109"/>
      <c r="R130" s="109"/>
      <c r="S130" s="109"/>
      <c r="T130" s="109"/>
      <c r="U130" s="110"/>
    </row>
    <row r="131" spans="2:21" x14ac:dyDescent="0.2">
      <c r="B131" s="104"/>
      <c r="C131" s="104"/>
      <c r="D131" s="104"/>
      <c r="E131" s="104"/>
      <c r="F131" s="104"/>
      <c r="G131" s="104"/>
      <c r="H131" s="104"/>
      <c r="I131" s="109"/>
      <c r="J131" s="109"/>
      <c r="K131" s="107"/>
      <c r="L131" s="106"/>
      <c r="M131" s="115"/>
      <c r="N131" s="106"/>
      <c r="O131" s="107"/>
      <c r="P131" s="109"/>
      <c r="Q131" s="109"/>
      <c r="R131" s="109"/>
      <c r="S131" s="109"/>
      <c r="T131" s="109"/>
      <c r="U131" s="110"/>
    </row>
    <row r="132" spans="2:21" x14ac:dyDescent="0.2">
      <c r="B132" s="104"/>
      <c r="C132" s="104"/>
      <c r="D132" s="104"/>
      <c r="E132" s="104"/>
      <c r="F132" s="104"/>
      <c r="G132" s="104"/>
      <c r="H132" s="104"/>
      <c r="I132" s="109"/>
      <c r="J132" s="109"/>
      <c r="K132" s="107"/>
      <c r="L132" s="106"/>
      <c r="M132" s="115"/>
      <c r="N132" s="106"/>
      <c r="O132" s="107"/>
      <c r="P132" s="109"/>
      <c r="Q132" s="109"/>
      <c r="R132" s="109"/>
      <c r="S132" s="109"/>
      <c r="T132" s="109"/>
      <c r="U132" s="110"/>
    </row>
    <row r="133" spans="2:21" x14ac:dyDescent="0.2">
      <c r="B133" s="104"/>
      <c r="C133" s="104"/>
      <c r="D133" s="104"/>
      <c r="E133" s="104"/>
      <c r="F133" s="104"/>
      <c r="G133" s="104"/>
      <c r="H133" s="104"/>
      <c r="I133" s="109"/>
      <c r="J133" s="109"/>
      <c r="K133" s="107"/>
      <c r="L133" s="106"/>
      <c r="M133" s="115"/>
      <c r="N133" s="106"/>
      <c r="O133" s="107"/>
      <c r="P133" s="109"/>
      <c r="Q133" s="109"/>
      <c r="R133" s="109"/>
      <c r="S133" s="109"/>
      <c r="T133" s="109"/>
      <c r="U133" s="110"/>
    </row>
    <row r="134" spans="2:21" x14ac:dyDescent="0.2">
      <c r="B134" s="104"/>
      <c r="C134" s="104"/>
      <c r="D134" s="104"/>
      <c r="E134" s="104"/>
      <c r="F134" s="104"/>
      <c r="G134" s="104"/>
      <c r="H134" s="104"/>
      <c r="I134" s="109"/>
      <c r="J134" s="109"/>
      <c r="K134" s="107"/>
      <c r="L134" s="106"/>
      <c r="M134" s="115"/>
      <c r="N134" s="106"/>
      <c r="O134" s="107"/>
      <c r="P134" s="109"/>
      <c r="Q134" s="109"/>
      <c r="R134" s="109"/>
      <c r="S134" s="109"/>
      <c r="T134" s="109"/>
      <c r="U134" s="110"/>
    </row>
    <row r="135" spans="2:21" x14ac:dyDescent="0.2">
      <c r="B135" s="104"/>
      <c r="C135" s="104"/>
      <c r="D135" s="104"/>
      <c r="E135" s="104"/>
      <c r="F135" s="104"/>
      <c r="G135" s="104"/>
      <c r="H135" s="104"/>
      <c r="I135" s="109"/>
      <c r="J135" s="109"/>
      <c r="K135" s="107"/>
      <c r="L135" s="106"/>
      <c r="M135" s="115"/>
      <c r="N135" s="106"/>
      <c r="O135" s="107"/>
      <c r="P135" s="109"/>
      <c r="Q135" s="109"/>
      <c r="R135" s="109"/>
      <c r="S135" s="109"/>
      <c r="T135" s="109"/>
      <c r="U135" s="110"/>
    </row>
    <row r="136" spans="2:21" x14ac:dyDescent="0.2">
      <c r="B136" s="104"/>
      <c r="C136" s="104"/>
      <c r="D136" s="104"/>
      <c r="E136" s="104"/>
      <c r="F136" s="104"/>
      <c r="G136" s="104"/>
      <c r="H136" s="104"/>
      <c r="I136" s="109"/>
      <c r="J136" s="109"/>
      <c r="K136" s="107"/>
      <c r="L136" s="106"/>
      <c r="M136" s="115"/>
      <c r="N136" s="106"/>
      <c r="O136" s="107"/>
      <c r="P136" s="109"/>
      <c r="Q136" s="109"/>
      <c r="R136" s="109"/>
      <c r="S136" s="109"/>
      <c r="T136" s="109"/>
      <c r="U136" s="110"/>
    </row>
    <row r="137" spans="2:21" x14ac:dyDescent="0.2">
      <c r="B137" s="104"/>
      <c r="C137" s="104"/>
      <c r="D137" s="104"/>
      <c r="E137" s="104"/>
      <c r="F137" s="104"/>
      <c r="G137" s="104"/>
      <c r="H137" s="104"/>
      <c r="I137" s="109"/>
      <c r="J137" s="109"/>
      <c r="K137" s="107"/>
      <c r="L137" s="106"/>
      <c r="M137" s="115"/>
      <c r="N137" s="106"/>
      <c r="O137" s="107"/>
      <c r="P137" s="109"/>
      <c r="Q137" s="109"/>
      <c r="R137" s="109"/>
      <c r="S137" s="109"/>
      <c r="T137" s="109"/>
      <c r="U137" s="110"/>
    </row>
    <row r="138" spans="2:21" x14ac:dyDescent="0.2">
      <c r="B138" s="104"/>
      <c r="C138" s="104"/>
      <c r="D138" s="104"/>
      <c r="E138" s="104"/>
      <c r="F138" s="104"/>
      <c r="G138" s="104"/>
      <c r="H138" s="104"/>
      <c r="I138" s="109"/>
      <c r="J138" s="109"/>
      <c r="K138" s="107"/>
      <c r="L138" s="106"/>
      <c r="M138" s="115"/>
      <c r="N138" s="106"/>
      <c r="O138" s="107"/>
      <c r="P138" s="109"/>
      <c r="Q138" s="109"/>
      <c r="R138" s="109"/>
      <c r="S138" s="109"/>
      <c r="T138" s="109"/>
      <c r="U138" s="110"/>
    </row>
    <row r="139" spans="2:21" x14ac:dyDescent="0.2">
      <c r="B139" s="104"/>
      <c r="C139" s="104"/>
      <c r="D139" s="104"/>
      <c r="E139" s="104"/>
      <c r="F139" s="104"/>
      <c r="G139" s="104"/>
      <c r="H139" s="104"/>
      <c r="I139" s="109"/>
      <c r="J139" s="109"/>
      <c r="K139" s="107"/>
      <c r="L139" s="106"/>
      <c r="M139" s="115"/>
      <c r="N139" s="106"/>
      <c r="O139" s="107"/>
      <c r="P139" s="109"/>
      <c r="Q139" s="109"/>
      <c r="R139" s="109"/>
      <c r="S139" s="109"/>
      <c r="T139" s="109"/>
      <c r="U139" s="110"/>
    </row>
    <row r="140" spans="2:21" x14ac:dyDescent="0.2">
      <c r="B140" s="104"/>
      <c r="C140" s="104"/>
      <c r="D140" s="104"/>
      <c r="E140" s="104"/>
      <c r="F140" s="104"/>
      <c r="G140" s="104"/>
      <c r="H140" s="104"/>
      <c r="I140" s="109"/>
      <c r="J140" s="109"/>
      <c r="K140" s="107"/>
      <c r="L140" s="106"/>
      <c r="M140" s="115"/>
      <c r="N140" s="106"/>
      <c r="O140" s="107"/>
      <c r="P140" s="109"/>
      <c r="Q140" s="109"/>
      <c r="R140" s="109"/>
      <c r="S140" s="109"/>
      <c r="T140" s="109"/>
      <c r="U140" s="110"/>
    </row>
    <row r="141" spans="2:21" x14ac:dyDescent="0.2">
      <c r="B141" s="104"/>
      <c r="C141" s="104"/>
      <c r="D141" s="104"/>
      <c r="E141" s="104"/>
      <c r="F141" s="104"/>
      <c r="G141" s="104"/>
      <c r="H141" s="104"/>
      <c r="I141" s="109"/>
      <c r="J141" s="109"/>
      <c r="K141" s="107"/>
      <c r="L141" s="106"/>
      <c r="M141" s="115"/>
      <c r="N141" s="106"/>
      <c r="O141" s="107"/>
      <c r="P141" s="109"/>
      <c r="Q141" s="109"/>
      <c r="R141" s="109"/>
      <c r="S141" s="109"/>
      <c r="T141" s="109"/>
      <c r="U141" s="110"/>
    </row>
    <row r="142" spans="2:21" x14ac:dyDescent="0.2">
      <c r="B142" s="104"/>
      <c r="C142" s="104"/>
      <c r="D142" s="104"/>
      <c r="E142" s="104"/>
      <c r="F142" s="104"/>
      <c r="G142" s="104"/>
      <c r="H142" s="104"/>
      <c r="I142" s="109"/>
      <c r="J142" s="109"/>
      <c r="K142" s="107"/>
      <c r="L142" s="106"/>
      <c r="M142" s="115"/>
      <c r="N142" s="106"/>
      <c r="O142" s="107"/>
      <c r="P142" s="109"/>
      <c r="Q142" s="109"/>
      <c r="R142" s="109"/>
      <c r="S142" s="109"/>
      <c r="T142" s="109"/>
      <c r="U142" s="110"/>
    </row>
    <row r="143" spans="2:21" x14ac:dyDescent="0.2">
      <c r="B143" s="104"/>
      <c r="C143" s="104"/>
      <c r="D143" s="104"/>
      <c r="E143" s="104"/>
      <c r="F143" s="104"/>
      <c r="G143" s="104"/>
      <c r="H143" s="104"/>
      <c r="I143" s="109"/>
      <c r="J143" s="109"/>
      <c r="K143" s="107"/>
      <c r="L143" s="106"/>
      <c r="M143" s="115"/>
      <c r="N143" s="106"/>
      <c r="O143" s="107"/>
      <c r="P143" s="109"/>
      <c r="Q143" s="109"/>
      <c r="R143" s="109"/>
      <c r="S143" s="109"/>
      <c r="T143" s="109"/>
      <c r="U143" s="110"/>
    </row>
    <row r="144" spans="2:21" x14ac:dyDescent="0.2">
      <c r="B144" s="104"/>
      <c r="C144" s="104"/>
      <c r="D144" s="104"/>
      <c r="E144" s="104"/>
      <c r="F144" s="104"/>
      <c r="G144" s="104"/>
      <c r="H144" s="104"/>
      <c r="I144" s="109"/>
      <c r="J144" s="109"/>
      <c r="K144" s="107"/>
      <c r="L144" s="106"/>
      <c r="M144" s="115"/>
      <c r="N144" s="106"/>
      <c r="O144" s="107"/>
      <c r="P144" s="109"/>
      <c r="Q144" s="109"/>
      <c r="R144" s="109"/>
      <c r="S144" s="109"/>
      <c r="T144" s="109"/>
      <c r="U144" s="110"/>
    </row>
    <row r="145" spans="2:21" x14ac:dyDescent="0.2">
      <c r="B145" s="104"/>
      <c r="C145" s="104"/>
      <c r="D145" s="104"/>
      <c r="E145" s="104"/>
      <c r="F145" s="104"/>
      <c r="G145" s="104"/>
      <c r="H145" s="104"/>
      <c r="I145" s="109"/>
      <c r="J145" s="109"/>
      <c r="K145" s="107"/>
      <c r="L145" s="106"/>
      <c r="M145" s="115"/>
      <c r="N145" s="106"/>
      <c r="O145" s="107"/>
      <c r="P145" s="109"/>
      <c r="Q145" s="109"/>
      <c r="R145" s="109"/>
      <c r="S145" s="109"/>
      <c r="T145" s="109"/>
      <c r="U145" s="110"/>
    </row>
    <row r="146" spans="2:21" x14ac:dyDescent="0.2">
      <c r="B146" s="104"/>
      <c r="C146" s="104"/>
      <c r="D146" s="104"/>
      <c r="E146" s="104"/>
      <c r="F146" s="104"/>
      <c r="G146" s="104"/>
      <c r="H146" s="104"/>
      <c r="I146" s="109"/>
      <c r="J146" s="109"/>
      <c r="K146" s="107"/>
      <c r="L146" s="106"/>
      <c r="M146" s="115"/>
      <c r="N146" s="106"/>
      <c r="O146" s="107"/>
      <c r="P146" s="109"/>
      <c r="Q146" s="109"/>
      <c r="R146" s="109"/>
      <c r="S146" s="109"/>
      <c r="T146" s="109"/>
      <c r="U146" s="110"/>
    </row>
    <row r="147" spans="2:21" x14ac:dyDescent="0.2">
      <c r="B147" s="104"/>
      <c r="C147" s="104"/>
      <c r="D147" s="104"/>
      <c r="E147" s="104"/>
      <c r="F147" s="104"/>
      <c r="G147" s="104"/>
      <c r="H147" s="104"/>
      <c r="I147" s="109"/>
      <c r="J147" s="109"/>
      <c r="K147" s="107"/>
      <c r="L147" s="106"/>
      <c r="M147" s="115"/>
      <c r="N147" s="106"/>
      <c r="O147" s="107"/>
      <c r="P147" s="109"/>
      <c r="Q147" s="109"/>
      <c r="R147" s="109"/>
      <c r="S147" s="109"/>
      <c r="T147" s="109"/>
      <c r="U147" s="110"/>
    </row>
    <row r="148" spans="2:21" x14ac:dyDescent="0.2">
      <c r="B148" s="104"/>
      <c r="C148" s="104"/>
      <c r="D148" s="104"/>
      <c r="E148" s="104"/>
      <c r="F148" s="104"/>
      <c r="G148" s="104"/>
      <c r="H148" s="104"/>
      <c r="I148" s="109"/>
      <c r="J148" s="109"/>
      <c r="K148" s="107"/>
      <c r="L148" s="106"/>
      <c r="M148" s="115"/>
      <c r="N148" s="106"/>
      <c r="O148" s="107"/>
      <c r="P148" s="109"/>
      <c r="Q148" s="109"/>
      <c r="R148" s="109"/>
      <c r="S148" s="109"/>
      <c r="T148" s="109"/>
      <c r="U148" s="110"/>
    </row>
    <row r="149" spans="2:21" x14ac:dyDescent="0.2">
      <c r="B149" s="104"/>
      <c r="C149" s="104"/>
      <c r="D149" s="104"/>
      <c r="E149" s="104"/>
      <c r="F149" s="104"/>
      <c r="G149" s="104"/>
      <c r="H149" s="104"/>
      <c r="I149" s="109"/>
      <c r="J149" s="109"/>
      <c r="K149" s="107"/>
      <c r="L149" s="106"/>
      <c r="M149" s="115"/>
      <c r="N149" s="106"/>
      <c r="O149" s="107"/>
      <c r="P149" s="109"/>
      <c r="Q149" s="109"/>
      <c r="R149" s="109"/>
      <c r="S149" s="109"/>
      <c r="T149" s="109"/>
      <c r="U149" s="110"/>
    </row>
    <row r="150" spans="2:21" x14ac:dyDescent="0.2">
      <c r="B150" s="104"/>
      <c r="C150" s="104"/>
      <c r="D150" s="104"/>
      <c r="E150" s="104"/>
      <c r="F150" s="104"/>
      <c r="G150" s="104"/>
      <c r="H150" s="104"/>
      <c r="I150" s="109"/>
      <c r="J150" s="109"/>
      <c r="K150" s="107"/>
      <c r="L150" s="106"/>
      <c r="M150" s="115"/>
      <c r="N150" s="106"/>
      <c r="O150" s="107"/>
      <c r="P150" s="109"/>
      <c r="Q150" s="109"/>
      <c r="R150" s="109"/>
      <c r="S150" s="109"/>
      <c r="T150" s="109"/>
      <c r="U150" s="110"/>
    </row>
    <row r="151" spans="2:21" x14ac:dyDescent="0.2">
      <c r="B151" s="104"/>
      <c r="C151" s="104"/>
      <c r="D151" s="104"/>
      <c r="E151" s="104"/>
      <c r="F151" s="104"/>
      <c r="G151" s="104"/>
      <c r="H151" s="104"/>
      <c r="I151" s="109"/>
      <c r="J151" s="109"/>
      <c r="K151" s="107"/>
      <c r="L151" s="106"/>
      <c r="M151" s="115"/>
      <c r="N151" s="106"/>
      <c r="O151" s="107"/>
      <c r="P151" s="109"/>
      <c r="Q151" s="109"/>
      <c r="R151" s="109"/>
      <c r="S151" s="109"/>
      <c r="T151" s="109"/>
      <c r="U151" s="110"/>
    </row>
    <row r="152" spans="2:21" x14ac:dyDescent="0.2">
      <c r="B152" s="104"/>
      <c r="C152" s="104"/>
      <c r="D152" s="104"/>
      <c r="E152" s="104"/>
      <c r="F152" s="104"/>
      <c r="G152" s="104"/>
      <c r="H152" s="104"/>
      <c r="I152" s="109"/>
      <c r="J152" s="109"/>
      <c r="K152" s="107"/>
      <c r="L152" s="106"/>
      <c r="M152" s="115"/>
      <c r="N152" s="106"/>
      <c r="O152" s="107"/>
      <c r="P152" s="109"/>
      <c r="Q152" s="109"/>
      <c r="R152" s="109"/>
      <c r="S152" s="109"/>
      <c r="T152" s="109"/>
      <c r="U152" s="110"/>
    </row>
    <row r="153" spans="2:21" x14ac:dyDescent="0.2">
      <c r="B153" s="104"/>
      <c r="C153" s="104"/>
      <c r="D153" s="104"/>
      <c r="E153" s="104"/>
      <c r="F153" s="104"/>
      <c r="G153" s="104"/>
      <c r="H153" s="104"/>
      <c r="I153" s="109"/>
      <c r="J153" s="109"/>
      <c r="K153" s="107"/>
      <c r="L153" s="106"/>
      <c r="M153" s="115"/>
      <c r="N153" s="106"/>
      <c r="O153" s="107"/>
      <c r="P153" s="109"/>
      <c r="Q153" s="109"/>
      <c r="R153" s="109"/>
      <c r="S153" s="109"/>
      <c r="T153" s="109"/>
      <c r="U153" s="110"/>
    </row>
    <row r="154" spans="2:21" x14ac:dyDescent="0.2">
      <c r="B154" s="104"/>
      <c r="C154" s="104"/>
      <c r="D154" s="104"/>
      <c r="E154" s="104"/>
      <c r="F154" s="104"/>
      <c r="G154" s="104"/>
      <c r="H154" s="104"/>
      <c r="I154" s="109"/>
      <c r="J154" s="109"/>
      <c r="K154" s="107"/>
      <c r="L154" s="106"/>
      <c r="M154" s="115"/>
      <c r="N154" s="106"/>
      <c r="O154" s="107"/>
      <c r="P154" s="109"/>
      <c r="Q154" s="109"/>
      <c r="R154" s="109"/>
      <c r="S154" s="109"/>
      <c r="T154" s="109"/>
      <c r="U154" s="110"/>
    </row>
    <row r="155" spans="2:21" x14ac:dyDescent="0.2">
      <c r="B155" s="104"/>
      <c r="C155" s="104"/>
      <c r="D155" s="104"/>
      <c r="E155" s="104"/>
      <c r="F155" s="104"/>
      <c r="G155" s="104"/>
      <c r="H155" s="104"/>
      <c r="I155" s="109"/>
      <c r="J155" s="109"/>
      <c r="K155" s="107"/>
      <c r="L155" s="106"/>
      <c r="M155" s="115"/>
      <c r="N155" s="106"/>
      <c r="O155" s="107"/>
      <c r="P155" s="109"/>
      <c r="Q155" s="109"/>
      <c r="R155" s="109"/>
      <c r="S155" s="109"/>
      <c r="T155" s="109"/>
      <c r="U155" s="110"/>
    </row>
    <row r="156" spans="2:21" x14ac:dyDescent="0.2">
      <c r="B156" s="104"/>
      <c r="C156" s="104"/>
      <c r="D156" s="104"/>
      <c r="E156" s="104"/>
      <c r="F156" s="104"/>
      <c r="G156" s="104"/>
      <c r="H156" s="104"/>
      <c r="I156" s="109"/>
      <c r="J156" s="109"/>
      <c r="K156" s="107"/>
      <c r="L156" s="106"/>
      <c r="M156" s="115"/>
      <c r="N156" s="106"/>
      <c r="O156" s="107"/>
      <c r="P156" s="109"/>
      <c r="Q156" s="109"/>
      <c r="R156" s="109"/>
      <c r="S156" s="109"/>
      <c r="T156" s="109"/>
      <c r="U156" s="110"/>
    </row>
    <row r="157" spans="2:21" x14ac:dyDescent="0.2">
      <c r="B157" s="104"/>
      <c r="C157" s="104"/>
      <c r="D157" s="104"/>
      <c r="E157" s="104"/>
      <c r="F157" s="104"/>
      <c r="G157" s="104"/>
      <c r="H157" s="104"/>
      <c r="I157" s="109"/>
      <c r="J157" s="109"/>
      <c r="K157" s="107"/>
      <c r="L157" s="106"/>
      <c r="M157" s="115"/>
      <c r="N157" s="106"/>
      <c r="O157" s="107"/>
      <c r="P157" s="109"/>
      <c r="Q157" s="109"/>
      <c r="R157" s="109"/>
      <c r="S157" s="109"/>
      <c r="T157" s="109"/>
      <c r="U157" s="110"/>
    </row>
    <row r="158" spans="2:21" x14ac:dyDescent="0.2">
      <c r="B158" s="104"/>
      <c r="C158" s="104"/>
      <c r="D158" s="104"/>
      <c r="E158" s="104"/>
      <c r="F158" s="104"/>
      <c r="G158" s="104"/>
      <c r="H158" s="104"/>
      <c r="I158" s="109"/>
      <c r="J158" s="109"/>
      <c r="K158" s="107"/>
      <c r="L158" s="106"/>
      <c r="M158" s="115"/>
      <c r="N158" s="106"/>
      <c r="O158" s="107"/>
      <c r="P158" s="109"/>
      <c r="Q158" s="109"/>
      <c r="R158" s="109"/>
      <c r="S158" s="109"/>
      <c r="T158" s="109"/>
      <c r="U158" s="110"/>
    </row>
    <row r="159" spans="2:21" x14ac:dyDescent="0.2">
      <c r="B159" s="104"/>
      <c r="C159" s="104"/>
      <c r="D159" s="104"/>
      <c r="E159" s="104"/>
      <c r="F159" s="104"/>
      <c r="G159" s="104"/>
      <c r="H159" s="104"/>
      <c r="I159" s="109"/>
      <c r="J159" s="109"/>
      <c r="K159" s="107"/>
      <c r="L159" s="106"/>
      <c r="M159" s="115"/>
      <c r="N159" s="106"/>
      <c r="O159" s="107"/>
      <c r="P159" s="109"/>
      <c r="Q159" s="109"/>
      <c r="R159" s="109"/>
      <c r="S159" s="109"/>
      <c r="T159" s="109"/>
      <c r="U159" s="110"/>
    </row>
    <row r="160" spans="2:21" x14ac:dyDescent="0.2">
      <c r="B160" s="104"/>
      <c r="C160" s="104"/>
      <c r="D160" s="104"/>
      <c r="E160" s="104"/>
      <c r="F160" s="104"/>
      <c r="G160" s="104"/>
      <c r="H160" s="104"/>
      <c r="I160" s="109"/>
      <c r="J160" s="109"/>
      <c r="K160" s="107"/>
      <c r="L160" s="106"/>
      <c r="M160" s="115"/>
      <c r="N160" s="106"/>
      <c r="O160" s="107"/>
      <c r="P160" s="109"/>
      <c r="Q160" s="109"/>
      <c r="R160" s="109"/>
      <c r="S160" s="109"/>
      <c r="T160" s="109"/>
      <c r="U160" s="110"/>
    </row>
    <row r="161" spans="2:21" x14ac:dyDescent="0.2">
      <c r="B161" s="104"/>
      <c r="C161" s="104"/>
      <c r="D161" s="104"/>
      <c r="E161" s="104"/>
      <c r="F161" s="104"/>
      <c r="G161" s="104"/>
      <c r="H161" s="104"/>
      <c r="I161" s="109"/>
      <c r="J161" s="109"/>
      <c r="K161" s="107"/>
      <c r="L161" s="106"/>
      <c r="M161" s="115"/>
      <c r="N161" s="106"/>
      <c r="O161" s="107"/>
      <c r="P161" s="109"/>
      <c r="Q161" s="109"/>
      <c r="R161" s="109"/>
      <c r="S161" s="109"/>
      <c r="T161" s="109"/>
      <c r="U161" s="110"/>
    </row>
    <row r="162" spans="2:21" x14ac:dyDescent="0.2">
      <c r="B162" s="104"/>
      <c r="C162" s="104"/>
      <c r="D162" s="104"/>
      <c r="E162" s="104"/>
      <c r="F162" s="104"/>
      <c r="G162" s="104"/>
      <c r="H162" s="104"/>
      <c r="I162" s="109"/>
      <c r="J162" s="109"/>
      <c r="K162" s="107"/>
      <c r="L162" s="106"/>
      <c r="M162" s="115"/>
      <c r="N162" s="106"/>
      <c r="O162" s="107"/>
      <c r="P162" s="109"/>
      <c r="Q162" s="109"/>
      <c r="R162" s="109"/>
      <c r="S162" s="109"/>
      <c r="T162" s="109"/>
      <c r="U162" s="110"/>
    </row>
    <row r="163" spans="2:21" x14ac:dyDescent="0.2">
      <c r="B163" s="104"/>
      <c r="C163" s="104"/>
      <c r="D163" s="104"/>
      <c r="E163" s="104"/>
      <c r="F163" s="104"/>
      <c r="G163" s="104"/>
      <c r="H163" s="104"/>
      <c r="I163" s="109"/>
      <c r="J163" s="109"/>
      <c r="K163" s="107"/>
      <c r="L163" s="106"/>
      <c r="M163" s="115"/>
      <c r="N163" s="106"/>
      <c r="O163" s="107"/>
      <c r="P163" s="109"/>
      <c r="Q163" s="109"/>
      <c r="R163" s="109"/>
      <c r="S163" s="109"/>
      <c r="T163" s="109"/>
      <c r="U163" s="110"/>
    </row>
    <row r="164" spans="2:21" x14ac:dyDescent="0.2">
      <c r="B164" s="104"/>
      <c r="C164" s="104"/>
      <c r="D164" s="104"/>
      <c r="E164" s="104"/>
      <c r="F164" s="104"/>
      <c r="G164" s="104"/>
      <c r="H164" s="104"/>
      <c r="I164" s="109"/>
      <c r="J164" s="109"/>
      <c r="K164" s="107"/>
      <c r="L164" s="106"/>
      <c r="M164" s="115"/>
      <c r="N164" s="106"/>
      <c r="O164" s="107"/>
      <c r="P164" s="109"/>
      <c r="Q164" s="109"/>
      <c r="R164" s="109"/>
      <c r="S164" s="109"/>
      <c r="T164" s="109"/>
      <c r="U164" s="110"/>
    </row>
    <row r="165" spans="2:21" x14ac:dyDescent="0.2">
      <c r="B165" s="104"/>
      <c r="C165" s="104"/>
      <c r="D165" s="104"/>
      <c r="E165" s="104"/>
      <c r="F165" s="104"/>
      <c r="G165" s="104"/>
      <c r="H165" s="104"/>
      <c r="I165" s="109"/>
      <c r="J165" s="109"/>
      <c r="K165" s="107"/>
      <c r="L165" s="106"/>
      <c r="M165" s="115"/>
      <c r="N165" s="106"/>
      <c r="O165" s="107"/>
      <c r="P165" s="109"/>
      <c r="Q165" s="109"/>
      <c r="R165" s="109"/>
      <c r="S165" s="109"/>
      <c r="T165" s="109"/>
      <c r="U165" s="110"/>
    </row>
    <row r="166" spans="2:21" x14ac:dyDescent="0.2">
      <c r="B166" s="104"/>
      <c r="C166" s="104"/>
      <c r="D166" s="104"/>
      <c r="E166" s="104"/>
      <c r="F166" s="104"/>
      <c r="G166" s="104"/>
      <c r="H166" s="104"/>
      <c r="I166" s="109"/>
      <c r="J166" s="109"/>
      <c r="K166" s="107"/>
      <c r="L166" s="106"/>
      <c r="M166" s="115"/>
      <c r="N166" s="106"/>
      <c r="O166" s="107"/>
      <c r="P166" s="109"/>
      <c r="Q166" s="109"/>
      <c r="R166" s="109"/>
      <c r="S166" s="109"/>
      <c r="T166" s="109"/>
      <c r="U166" s="110"/>
    </row>
    <row r="167" spans="2:21" x14ac:dyDescent="0.2">
      <c r="B167" s="104"/>
      <c r="C167" s="104"/>
      <c r="D167" s="104"/>
      <c r="E167" s="104"/>
      <c r="F167" s="104"/>
      <c r="G167" s="104"/>
      <c r="H167" s="104"/>
      <c r="I167" s="109"/>
      <c r="J167" s="109"/>
      <c r="K167" s="107"/>
      <c r="L167" s="106"/>
      <c r="M167" s="115"/>
      <c r="N167" s="106"/>
      <c r="O167" s="107"/>
      <c r="P167" s="109"/>
      <c r="Q167" s="109"/>
      <c r="R167" s="109"/>
      <c r="S167" s="109"/>
      <c r="T167" s="109"/>
      <c r="U167" s="110"/>
    </row>
    <row r="168" spans="2:21" x14ac:dyDescent="0.2">
      <c r="B168" s="104"/>
      <c r="C168" s="104"/>
      <c r="D168" s="104"/>
      <c r="E168" s="104"/>
      <c r="F168" s="104"/>
      <c r="G168" s="104"/>
      <c r="H168" s="104"/>
      <c r="I168" s="109"/>
      <c r="J168" s="109"/>
      <c r="K168" s="107"/>
      <c r="L168" s="106"/>
      <c r="M168" s="115"/>
      <c r="N168" s="106"/>
      <c r="O168" s="107"/>
      <c r="P168" s="109"/>
      <c r="Q168" s="109"/>
      <c r="R168" s="109"/>
      <c r="S168" s="109"/>
      <c r="T168" s="109"/>
      <c r="U168" s="110"/>
    </row>
    <row r="169" spans="2:21" x14ac:dyDescent="0.2">
      <c r="B169" s="104"/>
      <c r="C169" s="104"/>
      <c r="D169" s="104"/>
      <c r="E169" s="104"/>
      <c r="F169" s="104"/>
      <c r="G169" s="104"/>
      <c r="H169" s="104"/>
      <c r="I169" s="109"/>
      <c r="J169" s="109"/>
      <c r="K169" s="107"/>
      <c r="L169" s="106"/>
      <c r="M169" s="115"/>
      <c r="N169" s="106"/>
      <c r="O169" s="107"/>
      <c r="P169" s="109"/>
      <c r="Q169" s="109"/>
      <c r="R169" s="109"/>
      <c r="S169" s="109"/>
      <c r="T169" s="109"/>
      <c r="U169" s="110"/>
    </row>
    <row r="170" spans="2:21" x14ac:dyDescent="0.2">
      <c r="B170" s="104"/>
      <c r="C170" s="104"/>
      <c r="D170" s="104"/>
      <c r="E170" s="104"/>
      <c r="F170" s="104"/>
      <c r="G170" s="104"/>
      <c r="H170" s="104"/>
      <c r="I170" s="109"/>
      <c r="J170" s="109"/>
      <c r="K170" s="107"/>
      <c r="L170" s="106"/>
      <c r="M170" s="115"/>
      <c r="N170" s="106"/>
      <c r="O170" s="107"/>
      <c r="P170" s="109"/>
      <c r="Q170" s="109"/>
      <c r="R170" s="109"/>
      <c r="S170" s="109"/>
      <c r="T170" s="109"/>
      <c r="U170" s="110"/>
    </row>
    <row r="171" spans="2:21" x14ac:dyDescent="0.2">
      <c r="B171" s="104"/>
      <c r="C171" s="104"/>
      <c r="D171" s="104"/>
      <c r="E171" s="104"/>
      <c r="F171" s="104"/>
      <c r="G171" s="104"/>
      <c r="H171" s="104"/>
      <c r="I171" s="109"/>
      <c r="J171" s="109"/>
      <c r="K171" s="107"/>
      <c r="L171" s="106"/>
      <c r="M171" s="115"/>
      <c r="N171" s="106"/>
      <c r="O171" s="107"/>
      <c r="P171" s="109"/>
      <c r="Q171" s="109"/>
      <c r="R171" s="109"/>
      <c r="S171" s="109"/>
      <c r="T171" s="109"/>
      <c r="U171" s="110"/>
    </row>
    <row r="172" spans="2:21" x14ac:dyDescent="0.2">
      <c r="B172" s="104"/>
      <c r="C172" s="104"/>
      <c r="D172" s="104"/>
      <c r="E172" s="104"/>
      <c r="F172" s="104"/>
      <c r="G172" s="104"/>
      <c r="H172" s="104"/>
      <c r="I172" s="109"/>
      <c r="J172" s="109"/>
      <c r="K172" s="107"/>
      <c r="L172" s="106"/>
      <c r="M172" s="115"/>
      <c r="N172" s="106"/>
      <c r="O172" s="107"/>
      <c r="P172" s="109"/>
      <c r="Q172" s="109"/>
      <c r="R172" s="109"/>
      <c r="S172" s="109"/>
      <c r="T172" s="109"/>
      <c r="U172" s="110"/>
    </row>
    <row r="173" spans="2:21" x14ac:dyDescent="0.2">
      <c r="B173" s="104"/>
      <c r="C173" s="104"/>
      <c r="D173" s="104"/>
      <c r="E173" s="104"/>
      <c r="F173" s="104"/>
      <c r="G173" s="104"/>
      <c r="H173" s="104"/>
      <c r="I173" s="109"/>
      <c r="J173" s="109"/>
      <c r="K173" s="107"/>
      <c r="L173" s="106"/>
      <c r="M173" s="115"/>
      <c r="N173" s="106"/>
      <c r="O173" s="107"/>
      <c r="P173" s="109"/>
      <c r="Q173" s="109"/>
      <c r="R173" s="109"/>
      <c r="S173" s="109"/>
      <c r="T173" s="109"/>
      <c r="U173" s="110"/>
    </row>
    <row r="174" spans="2:21" x14ac:dyDescent="0.2">
      <c r="B174" s="104"/>
      <c r="C174" s="104"/>
      <c r="D174" s="104"/>
      <c r="E174" s="104"/>
      <c r="F174" s="104"/>
      <c r="G174" s="104"/>
      <c r="H174" s="104"/>
      <c r="I174" s="109"/>
      <c r="J174" s="109"/>
      <c r="K174" s="107"/>
      <c r="L174" s="106"/>
      <c r="M174" s="115"/>
      <c r="N174" s="106"/>
      <c r="O174" s="107"/>
      <c r="P174" s="109"/>
      <c r="Q174" s="109"/>
      <c r="R174" s="109"/>
      <c r="S174" s="109"/>
      <c r="T174" s="109"/>
      <c r="U174" s="110"/>
    </row>
    <row r="175" spans="2:21" x14ac:dyDescent="0.2">
      <c r="B175" s="104"/>
      <c r="C175" s="104"/>
      <c r="D175" s="104"/>
      <c r="E175" s="104"/>
      <c r="F175" s="104"/>
      <c r="G175" s="104"/>
      <c r="H175" s="104"/>
      <c r="I175" s="109"/>
      <c r="J175" s="109"/>
      <c r="K175" s="107"/>
      <c r="L175" s="106"/>
      <c r="M175" s="115"/>
      <c r="N175" s="106"/>
      <c r="O175" s="107"/>
      <c r="P175" s="109"/>
      <c r="Q175" s="109"/>
      <c r="R175" s="109"/>
      <c r="S175" s="109"/>
      <c r="T175" s="109"/>
      <c r="U175" s="110"/>
    </row>
    <row r="176" spans="2:21" x14ac:dyDescent="0.2">
      <c r="B176" s="104"/>
      <c r="C176" s="104"/>
      <c r="D176" s="104"/>
      <c r="E176" s="104"/>
      <c r="F176" s="104"/>
      <c r="G176" s="104"/>
      <c r="H176" s="104"/>
      <c r="I176" s="109"/>
      <c r="J176" s="109"/>
      <c r="K176" s="107"/>
      <c r="L176" s="106"/>
      <c r="M176" s="115"/>
      <c r="N176" s="106"/>
      <c r="O176" s="107"/>
      <c r="P176" s="109"/>
      <c r="Q176" s="109"/>
      <c r="R176" s="109"/>
      <c r="S176" s="109"/>
      <c r="T176" s="109"/>
      <c r="U176" s="110"/>
    </row>
    <row r="177" spans="2:21" x14ac:dyDescent="0.2">
      <c r="B177" s="104"/>
      <c r="C177" s="104"/>
      <c r="D177" s="104"/>
      <c r="E177" s="104"/>
      <c r="F177" s="104"/>
      <c r="G177" s="104"/>
      <c r="H177" s="104"/>
      <c r="I177" s="109"/>
      <c r="J177" s="109"/>
      <c r="K177" s="107"/>
      <c r="L177" s="106"/>
      <c r="M177" s="115"/>
      <c r="N177" s="106"/>
      <c r="O177" s="107"/>
      <c r="P177" s="109"/>
      <c r="Q177" s="109"/>
      <c r="R177" s="109"/>
      <c r="S177" s="109"/>
      <c r="T177" s="109"/>
      <c r="U177" s="110"/>
    </row>
    <row r="178" spans="2:21" x14ac:dyDescent="0.2">
      <c r="B178" s="104"/>
      <c r="C178" s="104"/>
      <c r="D178" s="104"/>
      <c r="E178" s="104"/>
      <c r="F178" s="104"/>
      <c r="G178" s="104"/>
      <c r="H178" s="104"/>
      <c r="I178" s="109"/>
      <c r="J178" s="109"/>
      <c r="K178" s="107"/>
      <c r="L178" s="106"/>
      <c r="M178" s="115"/>
      <c r="N178" s="106"/>
      <c r="O178" s="107"/>
      <c r="P178" s="109"/>
      <c r="Q178" s="109"/>
      <c r="R178" s="109"/>
      <c r="S178" s="109"/>
      <c r="T178" s="109"/>
      <c r="U178" s="110"/>
    </row>
    <row r="179" spans="2:21" x14ac:dyDescent="0.2">
      <c r="B179" s="104"/>
      <c r="C179" s="104"/>
      <c r="D179" s="104"/>
      <c r="E179" s="104"/>
      <c r="F179" s="104"/>
      <c r="G179" s="104"/>
      <c r="H179" s="104"/>
      <c r="I179" s="109"/>
      <c r="J179" s="109"/>
      <c r="K179" s="107"/>
      <c r="L179" s="106"/>
      <c r="M179" s="115"/>
      <c r="N179" s="106"/>
      <c r="O179" s="107"/>
      <c r="P179" s="109"/>
      <c r="Q179" s="109"/>
      <c r="R179" s="109"/>
      <c r="S179" s="109"/>
      <c r="T179" s="109"/>
      <c r="U179" s="110"/>
    </row>
    <row r="180" spans="2:21" x14ac:dyDescent="0.2">
      <c r="B180" s="104"/>
      <c r="C180" s="104"/>
      <c r="D180" s="104"/>
      <c r="E180" s="104"/>
      <c r="F180" s="104"/>
      <c r="G180" s="104"/>
      <c r="H180" s="104"/>
      <c r="I180" s="109"/>
      <c r="J180" s="109"/>
      <c r="K180" s="107"/>
      <c r="L180" s="106"/>
      <c r="M180" s="115"/>
      <c r="N180" s="106"/>
      <c r="O180" s="107"/>
      <c r="P180" s="109"/>
      <c r="Q180" s="109"/>
      <c r="R180" s="109"/>
      <c r="S180" s="109"/>
      <c r="T180" s="109"/>
      <c r="U180" s="110"/>
    </row>
    <row r="181" spans="2:21" x14ac:dyDescent="0.2">
      <c r="B181" s="104"/>
      <c r="C181" s="104"/>
      <c r="D181" s="104"/>
      <c r="E181" s="104"/>
      <c r="F181" s="104"/>
      <c r="G181" s="104"/>
      <c r="H181" s="104"/>
      <c r="I181" s="109"/>
      <c r="J181" s="109"/>
      <c r="K181" s="107"/>
      <c r="L181" s="106"/>
      <c r="M181" s="115"/>
      <c r="N181" s="106"/>
      <c r="O181" s="107"/>
      <c r="P181" s="109"/>
      <c r="Q181" s="109"/>
      <c r="R181" s="109"/>
      <c r="S181" s="109"/>
      <c r="T181" s="109"/>
      <c r="U181" s="110"/>
    </row>
    <row r="182" spans="2:21" x14ac:dyDescent="0.2">
      <c r="B182" s="104"/>
      <c r="C182" s="104"/>
      <c r="D182" s="104"/>
      <c r="E182" s="104"/>
      <c r="F182" s="104"/>
      <c r="G182" s="104"/>
      <c r="H182" s="104"/>
      <c r="I182" s="109"/>
      <c r="J182" s="109"/>
      <c r="K182" s="107"/>
      <c r="L182" s="106"/>
      <c r="M182" s="115"/>
      <c r="N182" s="106"/>
      <c r="O182" s="107"/>
      <c r="P182" s="109"/>
      <c r="Q182" s="109"/>
      <c r="R182" s="109"/>
      <c r="S182" s="109"/>
      <c r="T182" s="109"/>
      <c r="U182" s="110"/>
    </row>
    <row r="183" spans="2:21" x14ac:dyDescent="0.2">
      <c r="B183" s="104"/>
      <c r="C183" s="104"/>
      <c r="D183" s="104"/>
      <c r="E183" s="104"/>
      <c r="F183" s="104"/>
      <c r="G183" s="104"/>
      <c r="H183" s="104"/>
      <c r="I183" s="109"/>
      <c r="J183" s="109"/>
      <c r="K183" s="107"/>
      <c r="L183" s="106"/>
      <c r="M183" s="115"/>
      <c r="N183" s="106"/>
      <c r="O183" s="107"/>
      <c r="P183" s="109"/>
      <c r="Q183" s="109"/>
      <c r="R183" s="109"/>
      <c r="S183" s="109"/>
      <c r="T183" s="109"/>
      <c r="U183" s="110"/>
    </row>
    <row r="184" spans="2:21" x14ac:dyDescent="0.2">
      <c r="B184" s="104"/>
      <c r="C184" s="104"/>
      <c r="D184" s="104"/>
      <c r="E184" s="104"/>
      <c r="F184" s="104"/>
      <c r="G184" s="104"/>
      <c r="H184" s="104"/>
      <c r="I184" s="109"/>
      <c r="J184" s="109"/>
      <c r="K184" s="107"/>
      <c r="L184" s="106"/>
      <c r="M184" s="115"/>
      <c r="N184" s="106"/>
      <c r="O184" s="107"/>
      <c r="P184" s="109"/>
      <c r="Q184" s="109"/>
      <c r="R184" s="109"/>
      <c r="S184" s="109"/>
      <c r="T184" s="109"/>
      <c r="U184" s="110"/>
    </row>
    <row r="185" spans="2:21" x14ac:dyDescent="0.2">
      <c r="B185" s="104"/>
      <c r="C185" s="104"/>
      <c r="D185" s="104"/>
      <c r="E185" s="104"/>
      <c r="F185" s="104"/>
      <c r="G185" s="104"/>
      <c r="H185" s="104"/>
      <c r="I185" s="109"/>
      <c r="J185" s="109"/>
      <c r="K185" s="107"/>
      <c r="L185" s="106"/>
      <c r="M185" s="115"/>
      <c r="N185" s="106"/>
      <c r="O185" s="107"/>
      <c r="P185" s="109"/>
      <c r="Q185" s="109"/>
      <c r="R185" s="109"/>
      <c r="S185" s="109"/>
      <c r="T185" s="109"/>
      <c r="U185" s="110"/>
    </row>
    <row r="186" spans="2:21" x14ac:dyDescent="0.2">
      <c r="B186" s="104"/>
      <c r="C186" s="104"/>
      <c r="D186" s="104"/>
      <c r="E186" s="104"/>
      <c r="F186" s="104"/>
      <c r="G186" s="104"/>
      <c r="H186" s="104"/>
      <c r="I186" s="109"/>
      <c r="J186" s="109"/>
      <c r="K186" s="107"/>
      <c r="L186" s="106"/>
      <c r="M186" s="115"/>
      <c r="N186" s="106"/>
      <c r="O186" s="107"/>
      <c r="P186" s="109"/>
      <c r="Q186" s="109"/>
      <c r="R186" s="109"/>
      <c r="S186" s="109"/>
      <c r="T186" s="109"/>
      <c r="U186" s="110"/>
    </row>
    <row r="187" spans="2:21" x14ac:dyDescent="0.2">
      <c r="B187" s="104"/>
      <c r="C187" s="104"/>
      <c r="D187" s="104"/>
      <c r="E187" s="104"/>
      <c r="F187" s="104"/>
      <c r="G187" s="104"/>
      <c r="H187" s="104"/>
      <c r="I187" s="109"/>
      <c r="J187" s="109"/>
      <c r="K187" s="107"/>
      <c r="L187" s="106"/>
      <c r="M187" s="115"/>
      <c r="N187" s="106"/>
      <c r="O187" s="107"/>
      <c r="P187" s="109"/>
      <c r="Q187" s="109"/>
      <c r="R187" s="109"/>
      <c r="S187" s="109"/>
      <c r="T187" s="109"/>
      <c r="U187" s="110"/>
    </row>
    <row r="188" spans="2:21" x14ac:dyDescent="0.2">
      <c r="B188" s="104"/>
      <c r="C188" s="104"/>
      <c r="D188" s="104"/>
      <c r="E188" s="104"/>
      <c r="F188" s="104"/>
      <c r="G188" s="104"/>
      <c r="H188" s="104"/>
      <c r="I188" s="109"/>
      <c r="J188" s="109"/>
      <c r="K188" s="107"/>
      <c r="L188" s="106"/>
      <c r="M188" s="115"/>
      <c r="N188" s="106"/>
      <c r="O188" s="107"/>
      <c r="P188" s="109"/>
      <c r="Q188" s="109"/>
      <c r="R188" s="109"/>
      <c r="S188" s="109"/>
      <c r="T188" s="109"/>
      <c r="U188" s="110"/>
    </row>
    <row r="189" spans="2:21" x14ac:dyDescent="0.2">
      <c r="B189" s="104"/>
      <c r="C189" s="104"/>
      <c r="D189" s="104"/>
      <c r="E189" s="104"/>
      <c r="F189" s="104"/>
      <c r="G189" s="104"/>
      <c r="H189" s="104"/>
      <c r="I189" s="109"/>
      <c r="J189" s="109"/>
      <c r="K189" s="107"/>
      <c r="L189" s="106"/>
      <c r="M189" s="115"/>
      <c r="N189" s="106"/>
      <c r="O189" s="107"/>
      <c r="P189" s="109"/>
      <c r="Q189" s="109"/>
      <c r="R189" s="109"/>
      <c r="S189" s="109"/>
      <c r="T189" s="109"/>
      <c r="U189" s="110"/>
    </row>
    <row r="190" spans="2:21" x14ac:dyDescent="0.2">
      <c r="B190" s="104"/>
      <c r="C190" s="104"/>
      <c r="D190" s="104"/>
      <c r="E190" s="104"/>
      <c r="F190" s="104"/>
      <c r="G190" s="104"/>
      <c r="H190" s="104"/>
      <c r="I190" s="109"/>
      <c r="J190" s="109"/>
      <c r="K190" s="107"/>
      <c r="L190" s="106"/>
      <c r="M190" s="115"/>
      <c r="N190" s="106"/>
      <c r="O190" s="107"/>
      <c r="P190" s="109"/>
      <c r="Q190" s="109"/>
      <c r="R190" s="109"/>
      <c r="S190" s="109"/>
      <c r="T190" s="109"/>
      <c r="U190" s="110"/>
    </row>
    <row r="191" spans="2:21" x14ac:dyDescent="0.2">
      <c r="B191" s="104"/>
      <c r="C191" s="104"/>
      <c r="D191" s="104"/>
      <c r="E191" s="104"/>
      <c r="F191" s="104"/>
      <c r="G191" s="104"/>
      <c r="H191" s="104"/>
      <c r="I191" s="109"/>
      <c r="J191" s="109"/>
      <c r="K191" s="107"/>
      <c r="L191" s="106"/>
      <c r="M191" s="115"/>
      <c r="N191" s="106"/>
      <c r="O191" s="107"/>
      <c r="P191" s="109"/>
      <c r="Q191" s="109"/>
      <c r="R191" s="109"/>
      <c r="S191" s="109"/>
      <c r="T191" s="109"/>
      <c r="U191" s="110"/>
    </row>
    <row r="192" spans="2:21" x14ac:dyDescent="0.2">
      <c r="B192" s="104"/>
      <c r="C192" s="104"/>
      <c r="D192" s="104"/>
      <c r="E192" s="104"/>
      <c r="F192" s="104"/>
      <c r="G192" s="104"/>
      <c r="H192" s="104"/>
      <c r="I192" s="109"/>
      <c r="J192" s="109"/>
      <c r="K192" s="107"/>
      <c r="L192" s="106"/>
      <c r="M192" s="115"/>
      <c r="N192" s="106"/>
      <c r="O192" s="107"/>
      <c r="P192" s="109"/>
      <c r="Q192" s="109"/>
      <c r="R192" s="109"/>
      <c r="S192" s="109"/>
      <c r="T192" s="109"/>
      <c r="U192" s="110"/>
    </row>
    <row r="193" spans="2:21" x14ac:dyDescent="0.2">
      <c r="B193" s="104"/>
      <c r="C193" s="104"/>
      <c r="D193" s="104"/>
      <c r="E193" s="104"/>
      <c r="F193" s="104"/>
      <c r="G193" s="104"/>
      <c r="H193" s="104"/>
      <c r="I193" s="109"/>
      <c r="J193" s="109"/>
      <c r="K193" s="107"/>
      <c r="L193" s="106"/>
      <c r="M193" s="115"/>
      <c r="N193" s="106"/>
      <c r="O193" s="107"/>
      <c r="P193" s="109"/>
      <c r="Q193" s="109"/>
      <c r="R193" s="109"/>
      <c r="S193" s="109"/>
      <c r="T193" s="109"/>
      <c r="U193" s="110"/>
    </row>
    <row r="194" spans="2:21" x14ac:dyDescent="0.2">
      <c r="B194" s="104"/>
      <c r="C194" s="104"/>
      <c r="D194" s="104"/>
      <c r="E194" s="104"/>
      <c r="F194" s="104"/>
      <c r="G194" s="104"/>
      <c r="H194" s="104"/>
      <c r="I194" s="109"/>
      <c r="J194" s="109"/>
      <c r="K194" s="107"/>
      <c r="L194" s="106"/>
      <c r="M194" s="115"/>
      <c r="N194" s="106"/>
      <c r="O194" s="107"/>
      <c r="P194" s="109"/>
      <c r="Q194" s="109"/>
      <c r="R194" s="109"/>
      <c r="S194" s="109"/>
      <c r="T194" s="109"/>
      <c r="U194" s="110"/>
    </row>
    <row r="195" spans="2:21" x14ac:dyDescent="0.2">
      <c r="B195" s="104"/>
      <c r="C195" s="104"/>
      <c r="D195" s="104"/>
      <c r="E195" s="104"/>
      <c r="F195" s="104"/>
      <c r="G195" s="104"/>
      <c r="H195" s="104"/>
      <c r="I195" s="109"/>
      <c r="J195" s="109"/>
      <c r="K195" s="107"/>
      <c r="L195" s="106"/>
      <c r="M195" s="115"/>
      <c r="N195" s="106"/>
      <c r="O195" s="107"/>
      <c r="P195" s="109"/>
      <c r="Q195" s="109"/>
      <c r="R195" s="109"/>
      <c r="S195" s="109"/>
      <c r="T195" s="109"/>
      <c r="U195" s="110"/>
    </row>
    <row r="196" spans="2:21" x14ac:dyDescent="0.2">
      <c r="B196" s="104"/>
      <c r="C196" s="104"/>
      <c r="D196" s="104"/>
      <c r="E196" s="104"/>
      <c r="F196" s="104"/>
      <c r="G196" s="104"/>
      <c r="H196" s="104"/>
      <c r="I196" s="109"/>
      <c r="J196" s="109"/>
      <c r="K196" s="107"/>
      <c r="L196" s="106"/>
      <c r="M196" s="115"/>
      <c r="N196" s="106"/>
      <c r="O196" s="107"/>
      <c r="P196" s="109"/>
      <c r="Q196" s="109"/>
      <c r="R196" s="109"/>
      <c r="S196" s="109"/>
      <c r="T196" s="109"/>
      <c r="U196" s="110"/>
    </row>
    <row r="197" spans="2:21" x14ac:dyDescent="0.2">
      <c r="B197" s="104"/>
      <c r="C197" s="104"/>
      <c r="D197" s="104"/>
      <c r="E197" s="104"/>
      <c r="F197" s="104"/>
      <c r="G197" s="104"/>
      <c r="H197" s="104"/>
      <c r="I197" s="109"/>
      <c r="J197" s="109"/>
      <c r="K197" s="107"/>
      <c r="L197" s="106"/>
      <c r="M197" s="115"/>
      <c r="N197" s="106"/>
      <c r="O197" s="107"/>
      <c r="P197" s="109"/>
      <c r="Q197" s="109"/>
      <c r="R197" s="109"/>
      <c r="S197" s="109"/>
      <c r="T197" s="109"/>
      <c r="U197" s="110"/>
    </row>
    <row r="198" spans="2:21" x14ac:dyDescent="0.2">
      <c r="B198" s="104"/>
      <c r="C198" s="104"/>
      <c r="D198" s="104"/>
      <c r="E198" s="104"/>
      <c r="F198" s="104"/>
      <c r="G198" s="104"/>
      <c r="H198" s="104"/>
      <c r="I198" s="109"/>
      <c r="J198" s="109"/>
      <c r="K198" s="107"/>
      <c r="L198" s="106"/>
      <c r="M198" s="115"/>
      <c r="N198" s="106"/>
      <c r="O198" s="107"/>
      <c r="P198" s="109"/>
      <c r="Q198" s="109"/>
      <c r="R198" s="109"/>
      <c r="S198" s="109"/>
      <c r="T198" s="109"/>
      <c r="U198" s="110"/>
    </row>
    <row r="199" spans="2:21" x14ac:dyDescent="0.2">
      <c r="B199" s="104"/>
      <c r="C199" s="104"/>
      <c r="D199" s="104"/>
      <c r="E199" s="104"/>
      <c r="F199" s="104"/>
      <c r="G199" s="104"/>
      <c r="H199" s="104"/>
      <c r="I199" s="109"/>
      <c r="J199" s="109"/>
      <c r="K199" s="107"/>
      <c r="L199" s="106"/>
      <c r="M199" s="115"/>
      <c r="N199" s="106"/>
      <c r="O199" s="107"/>
      <c r="P199" s="109"/>
      <c r="Q199" s="109"/>
      <c r="R199" s="109"/>
      <c r="S199" s="109"/>
      <c r="T199" s="109"/>
      <c r="U199" s="110"/>
    </row>
    <row r="200" spans="2:21" x14ac:dyDescent="0.2">
      <c r="B200" s="104"/>
      <c r="C200" s="104"/>
      <c r="D200" s="104"/>
      <c r="E200" s="104"/>
      <c r="F200" s="104"/>
      <c r="G200" s="104"/>
      <c r="H200" s="104"/>
      <c r="I200" s="109"/>
      <c r="J200" s="109"/>
      <c r="K200" s="107"/>
      <c r="L200" s="106"/>
      <c r="M200" s="115"/>
      <c r="N200" s="106"/>
      <c r="O200" s="107"/>
      <c r="P200" s="109"/>
      <c r="Q200" s="109"/>
      <c r="R200" s="109"/>
      <c r="S200" s="109"/>
      <c r="T200" s="109"/>
      <c r="U200" s="110"/>
    </row>
    <row r="201" spans="2:21" x14ac:dyDescent="0.2">
      <c r="B201" s="104"/>
      <c r="C201" s="104"/>
      <c r="D201" s="104"/>
      <c r="E201" s="104"/>
      <c r="F201" s="104"/>
      <c r="G201" s="104"/>
      <c r="H201" s="104"/>
      <c r="I201" s="109"/>
      <c r="J201" s="109"/>
      <c r="K201" s="107"/>
      <c r="L201" s="106"/>
      <c r="M201" s="115"/>
      <c r="N201" s="106"/>
      <c r="O201" s="107"/>
      <c r="P201" s="109"/>
      <c r="Q201" s="109"/>
      <c r="R201" s="109"/>
      <c r="S201" s="109"/>
      <c r="T201" s="109"/>
      <c r="U201" s="110"/>
    </row>
    <row r="202" spans="2:21" x14ac:dyDescent="0.2">
      <c r="B202" s="104"/>
      <c r="C202" s="104"/>
      <c r="D202" s="104"/>
      <c r="E202" s="104"/>
      <c r="F202" s="104"/>
      <c r="G202" s="104"/>
      <c r="H202" s="104"/>
      <c r="I202" s="109"/>
      <c r="J202" s="109"/>
      <c r="K202" s="107"/>
      <c r="L202" s="106"/>
      <c r="M202" s="115"/>
      <c r="N202" s="106"/>
      <c r="O202" s="107"/>
      <c r="P202" s="109"/>
      <c r="Q202" s="109"/>
      <c r="R202" s="109"/>
      <c r="S202" s="109"/>
      <c r="T202" s="109"/>
      <c r="U202" s="110"/>
    </row>
    <row r="203" spans="2:21" x14ac:dyDescent="0.2">
      <c r="B203" s="104"/>
      <c r="C203" s="104"/>
      <c r="D203" s="104"/>
      <c r="E203" s="104"/>
      <c r="F203" s="104"/>
      <c r="G203" s="104"/>
      <c r="H203" s="104"/>
      <c r="I203" s="109"/>
      <c r="J203" s="109"/>
      <c r="K203" s="107"/>
      <c r="L203" s="106"/>
      <c r="M203" s="115"/>
      <c r="N203" s="106"/>
      <c r="O203" s="107"/>
      <c r="P203" s="109"/>
      <c r="Q203" s="109"/>
      <c r="R203" s="109"/>
      <c r="S203" s="109"/>
      <c r="T203" s="109"/>
      <c r="U203" s="110"/>
    </row>
    <row r="204" spans="2:21" x14ac:dyDescent="0.2">
      <c r="B204" s="104"/>
      <c r="C204" s="104"/>
      <c r="D204" s="104"/>
      <c r="E204" s="104"/>
      <c r="F204" s="104"/>
      <c r="G204" s="104"/>
      <c r="H204" s="104"/>
      <c r="I204" s="109"/>
      <c r="J204" s="109"/>
      <c r="K204" s="107"/>
      <c r="L204" s="106"/>
      <c r="M204" s="115"/>
      <c r="N204" s="106"/>
      <c r="O204" s="107"/>
      <c r="P204" s="109"/>
      <c r="Q204" s="109"/>
      <c r="R204" s="109"/>
      <c r="S204" s="109"/>
      <c r="T204" s="109"/>
      <c r="U204" s="110"/>
    </row>
    <row r="205" spans="2:21" x14ac:dyDescent="0.2">
      <c r="B205" s="104"/>
      <c r="C205" s="104"/>
      <c r="D205" s="104"/>
      <c r="E205" s="104"/>
      <c r="F205" s="104"/>
      <c r="G205" s="104"/>
      <c r="H205" s="104"/>
      <c r="I205" s="109"/>
      <c r="J205" s="109"/>
      <c r="K205" s="107"/>
      <c r="L205" s="106"/>
      <c r="M205" s="115"/>
      <c r="N205" s="106"/>
      <c r="O205" s="107"/>
      <c r="P205" s="109"/>
      <c r="Q205" s="109"/>
      <c r="R205" s="109"/>
      <c r="S205" s="109"/>
      <c r="T205" s="109"/>
      <c r="U205" s="110"/>
    </row>
    <row r="206" spans="2:21" x14ac:dyDescent="0.2">
      <c r="B206" s="104"/>
      <c r="C206" s="104"/>
      <c r="D206" s="104"/>
      <c r="E206" s="104"/>
      <c r="F206" s="104"/>
      <c r="G206" s="104"/>
      <c r="H206" s="104"/>
      <c r="I206" s="109"/>
      <c r="J206" s="109"/>
      <c r="K206" s="107"/>
      <c r="L206" s="106"/>
      <c r="M206" s="115"/>
      <c r="N206" s="106"/>
      <c r="O206" s="107"/>
      <c r="P206" s="109"/>
      <c r="Q206" s="109"/>
      <c r="R206" s="109"/>
      <c r="S206" s="109"/>
      <c r="T206" s="109"/>
      <c r="U206" s="110"/>
    </row>
    <row r="207" spans="2:21" x14ac:dyDescent="0.2">
      <c r="B207" s="104"/>
      <c r="C207" s="104"/>
      <c r="D207" s="104"/>
      <c r="E207" s="104"/>
      <c r="F207" s="104"/>
      <c r="G207" s="104"/>
      <c r="H207" s="104"/>
      <c r="I207" s="109"/>
      <c r="J207" s="109"/>
      <c r="K207" s="107"/>
      <c r="L207" s="106"/>
      <c r="M207" s="115"/>
      <c r="N207" s="106"/>
      <c r="O207" s="107"/>
      <c r="P207" s="109"/>
      <c r="Q207" s="109"/>
      <c r="R207" s="109"/>
      <c r="S207" s="109"/>
      <c r="T207" s="109"/>
      <c r="U207" s="110"/>
    </row>
    <row r="208" spans="2:21" x14ac:dyDescent="0.2">
      <c r="B208" s="104"/>
      <c r="C208" s="104"/>
      <c r="D208" s="104"/>
      <c r="E208" s="104"/>
      <c r="F208" s="104"/>
      <c r="G208" s="104"/>
      <c r="H208" s="104"/>
      <c r="I208" s="109"/>
      <c r="J208" s="109"/>
      <c r="K208" s="107"/>
      <c r="L208" s="106"/>
      <c r="M208" s="115"/>
      <c r="N208" s="106"/>
      <c r="O208" s="107"/>
      <c r="P208" s="109"/>
      <c r="Q208" s="109"/>
      <c r="R208" s="109"/>
      <c r="S208" s="109"/>
      <c r="T208" s="109"/>
      <c r="U208" s="110"/>
    </row>
    <row r="209" spans="2:21" x14ac:dyDescent="0.2">
      <c r="B209" s="104"/>
      <c r="C209" s="104"/>
      <c r="D209" s="104"/>
      <c r="E209" s="104"/>
      <c r="F209" s="104"/>
      <c r="G209" s="104"/>
      <c r="H209" s="104"/>
      <c r="I209" s="109"/>
      <c r="J209" s="109"/>
      <c r="K209" s="107"/>
      <c r="L209" s="106"/>
      <c r="M209" s="115"/>
      <c r="N209" s="106"/>
      <c r="O209" s="107"/>
      <c r="P209" s="109"/>
      <c r="Q209" s="109"/>
      <c r="R209" s="109"/>
      <c r="S209" s="109"/>
      <c r="T209" s="109"/>
      <c r="U209" s="110"/>
    </row>
    <row r="210" spans="2:21" x14ac:dyDescent="0.2">
      <c r="B210" s="104"/>
      <c r="C210" s="104"/>
      <c r="D210" s="104"/>
      <c r="E210" s="104"/>
      <c r="F210" s="104"/>
      <c r="G210" s="104"/>
      <c r="H210" s="104"/>
      <c r="I210" s="109"/>
      <c r="J210" s="109"/>
      <c r="K210" s="107"/>
      <c r="L210" s="106"/>
      <c r="M210" s="115"/>
      <c r="N210" s="106"/>
      <c r="O210" s="107"/>
      <c r="P210" s="109"/>
      <c r="Q210" s="109"/>
      <c r="R210" s="109"/>
      <c r="S210" s="109"/>
      <c r="T210" s="109"/>
      <c r="U210" s="110"/>
    </row>
    <row r="211" spans="2:21" x14ac:dyDescent="0.2">
      <c r="B211" s="104"/>
      <c r="C211" s="104"/>
      <c r="D211" s="104"/>
      <c r="E211" s="104"/>
      <c r="F211" s="104"/>
      <c r="G211" s="104"/>
      <c r="H211" s="104"/>
      <c r="I211" s="109"/>
      <c r="J211" s="109"/>
      <c r="K211" s="107"/>
      <c r="L211" s="106"/>
      <c r="M211" s="115"/>
      <c r="N211" s="106"/>
      <c r="O211" s="107"/>
      <c r="P211" s="109"/>
      <c r="Q211" s="109"/>
      <c r="R211" s="109"/>
      <c r="S211" s="109"/>
      <c r="T211" s="109"/>
      <c r="U211" s="110"/>
    </row>
    <row r="212" spans="2:21" x14ac:dyDescent="0.2">
      <c r="B212" s="104"/>
      <c r="C212" s="104"/>
      <c r="D212" s="104"/>
      <c r="E212" s="104"/>
      <c r="F212" s="104"/>
      <c r="G212" s="104"/>
      <c r="H212" s="104"/>
      <c r="I212" s="109"/>
      <c r="J212" s="109"/>
      <c r="K212" s="107"/>
      <c r="L212" s="106"/>
      <c r="M212" s="115"/>
      <c r="N212" s="106"/>
      <c r="O212" s="107"/>
      <c r="P212" s="109"/>
      <c r="Q212" s="109"/>
      <c r="R212" s="109"/>
      <c r="S212" s="109"/>
      <c r="T212" s="109"/>
      <c r="U212" s="110"/>
    </row>
    <row r="213" spans="2:21" x14ac:dyDescent="0.2">
      <c r="B213" s="104"/>
      <c r="C213" s="104"/>
      <c r="D213" s="104"/>
      <c r="E213" s="104"/>
      <c r="F213" s="104"/>
      <c r="G213" s="104"/>
      <c r="H213" s="104"/>
      <c r="I213" s="109"/>
      <c r="J213" s="109"/>
      <c r="K213" s="107"/>
      <c r="L213" s="106"/>
      <c r="M213" s="115"/>
      <c r="N213" s="106"/>
      <c r="O213" s="107"/>
      <c r="P213" s="109"/>
      <c r="Q213" s="109"/>
      <c r="R213" s="109"/>
      <c r="S213" s="109"/>
      <c r="T213" s="109"/>
      <c r="U213" s="110"/>
    </row>
    <row r="214" spans="2:21" x14ac:dyDescent="0.2">
      <c r="B214" s="104"/>
      <c r="C214" s="104"/>
      <c r="D214" s="104"/>
      <c r="E214" s="104"/>
      <c r="F214" s="104"/>
      <c r="G214" s="104"/>
      <c r="H214" s="104"/>
      <c r="I214" s="109"/>
      <c r="J214" s="109"/>
      <c r="K214" s="107"/>
      <c r="L214" s="106"/>
      <c r="M214" s="115"/>
      <c r="N214" s="106"/>
      <c r="O214" s="107"/>
      <c r="P214" s="109"/>
      <c r="Q214" s="109"/>
      <c r="R214" s="109"/>
      <c r="S214" s="109"/>
      <c r="T214" s="109"/>
      <c r="U214" s="110"/>
    </row>
    <row r="215" spans="2:21" x14ac:dyDescent="0.2">
      <c r="B215" s="104"/>
      <c r="C215" s="104"/>
      <c r="D215" s="104"/>
      <c r="E215" s="104"/>
      <c r="F215" s="104"/>
      <c r="G215" s="104"/>
      <c r="H215" s="104"/>
      <c r="I215" s="109"/>
      <c r="J215" s="109"/>
      <c r="K215" s="107"/>
      <c r="L215" s="106"/>
      <c r="M215" s="115"/>
      <c r="N215" s="106"/>
      <c r="O215" s="107"/>
      <c r="P215" s="109"/>
      <c r="Q215" s="109"/>
      <c r="R215" s="109"/>
      <c r="S215" s="109"/>
      <c r="T215" s="109"/>
      <c r="U215" s="110"/>
    </row>
    <row r="216" spans="2:21" x14ac:dyDescent="0.2">
      <c r="B216" s="104"/>
      <c r="C216" s="104"/>
      <c r="D216" s="104"/>
      <c r="E216" s="104"/>
      <c r="F216" s="104"/>
      <c r="G216" s="104"/>
      <c r="H216" s="104"/>
      <c r="I216" s="109"/>
      <c r="J216" s="109"/>
      <c r="K216" s="107"/>
      <c r="L216" s="106"/>
      <c r="M216" s="115"/>
      <c r="N216" s="106"/>
      <c r="O216" s="107"/>
      <c r="P216" s="109"/>
      <c r="Q216" s="109"/>
      <c r="R216" s="109"/>
      <c r="S216" s="109"/>
      <c r="T216" s="109"/>
      <c r="U216" s="110"/>
    </row>
    <row r="217" spans="2:21" x14ac:dyDescent="0.2">
      <c r="B217" s="104"/>
      <c r="C217" s="104"/>
      <c r="D217" s="104"/>
      <c r="E217" s="104"/>
      <c r="F217" s="104"/>
      <c r="G217" s="104"/>
      <c r="H217" s="104"/>
      <c r="I217" s="109"/>
      <c r="J217" s="109"/>
      <c r="K217" s="107"/>
      <c r="L217" s="106"/>
      <c r="M217" s="115"/>
      <c r="N217" s="106"/>
      <c r="O217" s="107"/>
      <c r="P217" s="109"/>
      <c r="Q217" s="109"/>
      <c r="R217" s="109"/>
      <c r="S217" s="109"/>
      <c r="T217" s="109"/>
      <c r="U217" s="110"/>
    </row>
    <row r="218" spans="2:21" x14ac:dyDescent="0.2">
      <c r="B218" s="104"/>
      <c r="C218" s="104"/>
      <c r="D218" s="104"/>
      <c r="E218" s="104"/>
      <c r="F218" s="104"/>
      <c r="G218" s="104"/>
      <c r="H218" s="104"/>
      <c r="I218" s="109"/>
      <c r="J218" s="109"/>
      <c r="K218" s="107"/>
      <c r="L218" s="106"/>
      <c r="M218" s="115"/>
      <c r="N218" s="106"/>
      <c r="O218" s="107"/>
      <c r="P218" s="109"/>
      <c r="Q218" s="109"/>
      <c r="R218" s="109"/>
      <c r="S218" s="109"/>
      <c r="T218" s="109"/>
      <c r="U218" s="110"/>
    </row>
    <row r="219" spans="2:21" x14ac:dyDescent="0.2">
      <c r="B219" s="104"/>
      <c r="C219" s="104"/>
      <c r="D219" s="104"/>
      <c r="E219" s="104"/>
      <c r="F219" s="104"/>
      <c r="G219" s="104"/>
      <c r="H219" s="104"/>
      <c r="I219" s="109"/>
      <c r="J219" s="109"/>
      <c r="K219" s="107"/>
      <c r="L219" s="106"/>
      <c r="M219" s="115"/>
      <c r="N219" s="106"/>
      <c r="O219" s="107"/>
      <c r="P219" s="109"/>
      <c r="Q219" s="109"/>
      <c r="R219" s="109"/>
      <c r="S219" s="109"/>
      <c r="T219" s="109"/>
      <c r="U219" s="110"/>
    </row>
    <row r="220" spans="2:21" x14ac:dyDescent="0.2">
      <c r="B220" s="104"/>
      <c r="C220" s="104"/>
      <c r="D220" s="104"/>
      <c r="E220" s="104"/>
      <c r="F220" s="104"/>
      <c r="G220" s="104"/>
      <c r="H220" s="104"/>
      <c r="I220" s="109"/>
      <c r="J220" s="109"/>
      <c r="K220" s="107"/>
      <c r="L220" s="106"/>
      <c r="M220" s="115"/>
      <c r="N220" s="106"/>
      <c r="O220" s="107"/>
      <c r="P220" s="109"/>
      <c r="Q220" s="109"/>
      <c r="R220" s="109"/>
      <c r="S220" s="109"/>
      <c r="T220" s="109"/>
      <c r="U220" s="110"/>
    </row>
    <row r="221" spans="2:21" x14ac:dyDescent="0.2">
      <c r="B221" s="104"/>
      <c r="C221" s="104"/>
      <c r="D221" s="104"/>
      <c r="E221" s="104"/>
      <c r="F221" s="104"/>
      <c r="G221" s="104"/>
      <c r="H221" s="104"/>
      <c r="I221" s="109"/>
      <c r="J221" s="109"/>
      <c r="K221" s="107"/>
      <c r="L221" s="106"/>
      <c r="M221" s="115"/>
      <c r="N221" s="106"/>
      <c r="O221" s="107"/>
      <c r="P221" s="109"/>
      <c r="Q221" s="109"/>
      <c r="R221" s="109"/>
      <c r="S221" s="109"/>
      <c r="T221" s="109"/>
      <c r="U221" s="110"/>
    </row>
    <row r="222" spans="2:21" x14ac:dyDescent="0.2">
      <c r="B222" s="104"/>
      <c r="C222" s="104"/>
      <c r="D222" s="104"/>
      <c r="E222" s="104"/>
      <c r="F222" s="104"/>
      <c r="G222" s="104"/>
      <c r="H222" s="104"/>
      <c r="I222" s="109"/>
      <c r="J222" s="109"/>
      <c r="K222" s="107"/>
      <c r="L222" s="106"/>
      <c r="M222" s="115"/>
      <c r="N222" s="106"/>
      <c r="O222" s="107"/>
      <c r="P222" s="109"/>
      <c r="Q222" s="109"/>
      <c r="R222" s="109"/>
      <c r="S222" s="109"/>
      <c r="T222" s="109"/>
      <c r="U222" s="110"/>
    </row>
    <row r="223" spans="2:21" x14ac:dyDescent="0.2">
      <c r="B223" s="104"/>
      <c r="C223" s="104"/>
      <c r="D223" s="104"/>
      <c r="E223" s="104"/>
      <c r="F223" s="104"/>
      <c r="G223" s="104"/>
      <c r="H223" s="104"/>
      <c r="I223" s="109"/>
      <c r="J223" s="109"/>
      <c r="K223" s="107"/>
      <c r="L223" s="106"/>
      <c r="M223" s="115"/>
      <c r="N223" s="106"/>
      <c r="O223" s="107"/>
      <c r="P223" s="109"/>
      <c r="Q223" s="109"/>
      <c r="R223" s="109"/>
      <c r="S223" s="109"/>
      <c r="T223" s="109"/>
      <c r="U223" s="110"/>
    </row>
    <row r="224" spans="2:21" x14ac:dyDescent="0.2">
      <c r="B224" s="104"/>
      <c r="C224" s="104"/>
      <c r="D224" s="104"/>
      <c r="E224" s="104"/>
      <c r="F224" s="104"/>
      <c r="G224" s="104"/>
      <c r="H224" s="104"/>
      <c r="I224" s="109"/>
      <c r="J224" s="109"/>
      <c r="K224" s="107"/>
      <c r="L224" s="106"/>
      <c r="M224" s="115"/>
      <c r="N224" s="106"/>
      <c r="O224" s="107"/>
      <c r="P224" s="109"/>
      <c r="Q224" s="109"/>
      <c r="R224" s="109"/>
      <c r="S224" s="109"/>
      <c r="T224" s="109"/>
      <c r="U224" s="110"/>
    </row>
    <row r="225" spans="2:21" x14ac:dyDescent="0.2">
      <c r="B225" s="104"/>
      <c r="C225" s="104"/>
      <c r="D225" s="104"/>
      <c r="E225" s="104"/>
      <c r="F225" s="104"/>
      <c r="G225" s="104"/>
      <c r="H225" s="104"/>
      <c r="I225" s="109"/>
      <c r="J225" s="109"/>
      <c r="K225" s="107"/>
      <c r="L225" s="106"/>
      <c r="M225" s="115"/>
      <c r="N225" s="106"/>
      <c r="O225" s="107"/>
      <c r="P225" s="109"/>
      <c r="Q225" s="109"/>
      <c r="R225" s="109"/>
      <c r="S225" s="109"/>
      <c r="T225" s="109"/>
      <c r="U225" s="110"/>
    </row>
    <row r="226" spans="2:21" x14ac:dyDescent="0.2">
      <c r="B226" s="104"/>
      <c r="C226" s="104"/>
      <c r="D226" s="104"/>
      <c r="E226" s="104"/>
      <c r="F226" s="104"/>
      <c r="G226" s="104"/>
      <c r="H226" s="104"/>
      <c r="I226" s="109"/>
      <c r="J226" s="109"/>
      <c r="K226" s="107"/>
      <c r="L226" s="106"/>
      <c r="M226" s="115"/>
      <c r="N226" s="106"/>
      <c r="O226" s="107"/>
      <c r="P226" s="109"/>
      <c r="Q226" s="109"/>
      <c r="R226" s="109"/>
      <c r="S226" s="109"/>
      <c r="T226" s="109"/>
      <c r="U226" s="110"/>
    </row>
    <row r="227" spans="2:21" x14ac:dyDescent="0.2">
      <c r="B227" s="104"/>
      <c r="C227" s="104"/>
      <c r="D227" s="104"/>
      <c r="E227" s="104"/>
      <c r="F227" s="104"/>
      <c r="G227" s="104"/>
      <c r="H227" s="104"/>
      <c r="I227" s="109"/>
      <c r="J227" s="109"/>
      <c r="K227" s="107"/>
      <c r="L227" s="106"/>
      <c r="M227" s="115"/>
      <c r="N227" s="106"/>
      <c r="O227" s="107"/>
      <c r="P227" s="109"/>
      <c r="Q227" s="109"/>
      <c r="R227" s="109"/>
      <c r="S227" s="109"/>
      <c r="T227" s="109"/>
      <c r="U227" s="110"/>
    </row>
    <row r="228" spans="2:21" x14ac:dyDescent="0.2">
      <c r="B228" s="104"/>
      <c r="C228" s="104"/>
      <c r="D228" s="104"/>
      <c r="E228" s="104"/>
      <c r="F228" s="104"/>
      <c r="G228" s="104"/>
      <c r="H228" s="104"/>
      <c r="I228" s="109"/>
      <c r="J228" s="109"/>
      <c r="K228" s="107"/>
      <c r="L228" s="106"/>
      <c r="M228" s="115"/>
      <c r="N228" s="106"/>
      <c r="O228" s="107"/>
      <c r="P228" s="109"/>
      <c r="Q228" s="109"/>
      <c r="R228" s="109"/>
      <c r="S228" s="109"/>
      <c r="T228" s="109"/>
      <c r="U228" s="110"/>
    </row>
    <row r="229" spans="2:21" x14ac:dyDescent="0.2">
      <c r="B229" s="104"/>
      <c r="C229" s="104"/>
      <c r="D229" s="104"/>
      <c r="E229" s="104"/>
      <c r="F229" s="104"/>
      <c r="G229" s="104"/>
      <c r="H229" s="104"/>
      <c r="I229" s="109"/>
      <c r="J229" s="109"/>
      <c r="K229" s="107"/>
      <c r="L229" s="106"/>
      <c r="M229" s="115"/>
      <c r="N229" s="106"/>
      <c r="O229" s="107"/>
      <c r="P229" s="109"/>
      <c r="Q229" s="109"/>
      <c r="R229" s="109"/>
      <c r="S229" s="109"/>
      <c r="T229" s="109"/>
      <c r="U229" s="110"/>
    </row>
    <row r="230" spans="2:21" x14ac:dyDescent="0.2">
      <c r="B230" s="104"/>
      <c r="C230" s="104"/>
      <c r="D230" s="104"/>
      <c r="E230" s="104"/>
      <c r="F230" s="104"/>
      <c r="G230" s="104"/>
      <c r="H230" s="104"/>
      <c r="I230" s="109"/>
      <c r="J230" s="109"/>
      <c r="K230" s="107"/>
      <c r="L230" s="106"/>
      <c r="M230" s="115"/>
      <c r="N230" s="106"/>
      <c r="O230" s="107"/>
      <c r="P230" s="109"/>
      <c r="Q230" s="109"/>
      <c r="R230" s="109"/>
      <c r="S230" s="109"/>
      <c r="T230" s="109"/>
      <c r="U230" s="110"/>
    </row>
    <row r="231" spans="2:21" x14ac:dyDescent="0.2">
      <c r="B231" s="104"/>
      <c r="C231" s="104"/>
      <c r="D231" s="104"/>
      <c r="E231" s="104"/>
      <c r="F231" s="104"/>
      <c r="G231" s="104"/>
      <c r="H231" s="104"/>
      <c r="I231" s="109"/>
      <c r="J231" s="109"/>
      <c r="K231" s="107"/>
      <c r="L231" s="106"/>
      <c r="M231" s="115"/>
      <c r="N231" s="106"/>
      <c r="O231" s="107"/>
      <c r="P231" s="109"/>
      <c r="Q231" s="109"/>
      <c r="R231" s="109"/>
      <c r="S231" s="109"/>
      <c r="T231" s="109"/>
      <c r="U231" s="110"/>
    </row>
    <row r="232" spans="2:21" x14ac:dyDescent="0.2">
      <c r="B232" s="104"/>
      <c r="C232" s="104"/>
      <c r="D232" s="104"/>
      <c r="E232" s="104"/>
      <c r="F232" s="104"/>
      <c r="G232" s="104"/>
      <c r="H232" s="104"/>
      <c r="I232" s="109"/>
      <c r="J232" s="109"/>
      <c r="K232" s="107"/>
      <c r="L232" s="106"/>
      <c r="M232" s="115"/>
      <c r="N232" s="106"/>
      <c r="O232" s="107"/>
      <c r="P232" s="109"/>
      <c r="Q232" s="109"/>
      <c r="R232" s="109"/>
      <c r="S232" s="109"/>
      <c r="T232" s="109"/>
      <c r="U232" s="110"/>
    </row>
    <row r="233" spans="2:21" x14ac:dyDescent="0.2">
      <c r="B233" s="104"/>
      <c r="C233" s="104"/>
      <c r="D233" s="104"/>
      <c r="E233" s="104"/>
      <c r="F233" s="104"/>
      <c r="G233" s="104"/>
      <c r="H233" s="104"/>
      <c r="I233" s="109"/>
      <c r="J233" s="109"/>
      <c r="K233" s="107"/>
      <c r="L233" s="106"/>
      <c r="M233" s="115"/>
      <c r="N233" s="106"/>
      <c r="O233" s="107"/>
      <c r="P233" s="109"/>
      <c r="Q233" s="109"/>
      <c r="R233" s="109"/>
      <c r="S233" s="109"/>
      <c r="T233" s="109"/>
      <c r="U233" s="110"/>
    </row>
    <row r="234" spans="2:21" x14ac:dyDescent="0.2">
      <c r="B234" s="104"/>
      <c r="C234" s="104"/>
      <c r="D234" s="104"/>
      <c r="E234" s="104"/>
      <c r="F234" s="104"/>
      <c r="G234" s="104"/>
      <c r="H234" s="104"/>
      <c r="I234" s="109"/>
      <c r="J234" s="109"/>
      <c r="K234" s="107"/>
      <c r="L234" s="106"/>
      <c r="M234" s="115"/>
      <c r="N234" s="106"/>
      <c r="O234" s="107"/>
      <c r="P234" s="109"/>
      <c r="Q234" s="109"/>
      <c r="R234" s="109"/>
      <c r="S234" s="109"/>
      <c r="T234" s="109"/>
      <c r="U234" s="110"/>
    </row>
    <row r="235" spans="2:21" x14ac:dyDescent="0.2">
      <c r="B235" s="104"/>
      <c r="C235" s="104"/>
      <c r="D235" s="104"/>
      <c r="E235" s="104"/>
      <c r="F235" s="104"/>
      <c r="G235" s="104"/>
      <c r="H235" s="104"/>
      <c r="I235" s="109"/>
      <c r="J235" s="109"/>
      <c r="K235" s="107"/>
      <c r="L235" s="106"/>
      <c r="M235" s="115"/>
      <c r="N235" s="106"/>
      <c r="O235" s="107"/>
      <c r="P235" s="109"/>
      <c r="Q235" s="109"/>
      <c r="R235" s="109"/>
      <c r="S235" s="109"/>
      <c r="T235" s="109"/>
      <c r="U235" s="110"/>
    </row>
    <row r="236" spans="2:21" x14ac:dyDescent="0.2">
      <c r="B236" s="104"/>
      <c r="C236" s="104"/>
      <c r="D236" s="104"/>
      <c r="E236" s="104"/>
      <c r="F236" s="104"/>
      <c r="G236" s="104"/>
      <c r="H236" s="104"/>
      <c r="I236" s="109"/>
      <c r="J236" s="109"/>
      <c r="K236" s="107"/>
      <c r="L236" s="106"/>
      <c r="M236" s="115"/>
      <c r="N236" s="106"/>
      <c r="O236" s="107"/>
      <c r="P236" s="109"/>
      <c r="Q236" s="109"/>
      <c r="R236" s="109"/>
      <c r="S236" s="109"/>
      <c r="T236" s="109"/>
      <c r="U236" s="110"/>
    </row>
    <row r="237" spans="2:21" x14ac:dyDescent="0.2">
      <c r="B237" s="104"/>
      <c r="C237" s="104"/>
      <c r="D237" s="104"/>
      <c r="E237" s="104"/>
      <c r="F237" s="104"/>
      <c r="G237" s="104"/>
      <c r="H237" s="104"/>
      <c r="I237" s="109"/>
      <c r="J237" s="109"/>
      <c r="K237" s="107"/>
      <c r="L237" s="106"/>
      <c r="M237" s="115"/>
      <c r="N237" s="106"/>
      <c r="O237" s="107"/>
      <c r="P237" s="109"/>
      <c r="Q237" s="109"/>
      <c r="R237" s="109"/>
      <c r="S237" s="109"/>
      <c r="T237" s="109"/>
      <c r="U237" s="110"/>
    </row>
    <row r="238" spans="2:21" x14ac:dyDescent="0.2">
      <c r="B238" s="104"/>
      <c r="C238" s="104"/>
      <c r="D238" s="104"/>
      <c r="E238" s="104"/>
      <c r="F238" s="104"/>
      <c r="G238" s="104"/>
      <c r="H238" s="104"/>
      <c r="I238" s="109"/>
      <c r="J238" s="109"/>
      <c r="K238" s="107"/>
      <c r="L238" s="106"/>
      <c r="M238" s="115"/>
      <c r="N238" s="106"/>
      <c r="O238" s="107"/>
      <c r="P238" s="109"/>
      <c r="Q238" s="109"/>
      <c r="R238" s="109"/>
      <c r="S238" s="109"/>
      <c r="T238" s="109"/>
      <c r="U238" s="110"/>
    </row>
    <row r="239" spans="2:21" x14ac:dyDescent="0.2">
      <c r="B239" s="104"/>
      <c r="C239" s="104"/>
      <c r="D239" s="104"/>
      <c r="E239" s="104"/>
      <c r="F239" s="104"/>
      <c r="G239" s="104"/>
      <c r="H239" s="104"/>
      <c r="I239" s="109"/>
      <c r="J239" s="109"/>
      <c r="K239" s="107"/>
      <c r="L239" s="106"/>
      <c r="M239" s="115"/>
      <c r="N239" s="106"/>
      <c r="O239" s="107"/>
      <c r="P239" s="109"/>
      <c r="Q239" s="109"/>
      <c r="R239" s="109"/>
      <c r="S239" s="109"/>
      <c r="T239" s="109"/>
      <c r="U239" s="110"/>
    </row>
    <row r="240" spans="2:21" x14ac:dyDescent="0.2">
      <c r="B240" s="104"/>
      <c r="C240" s="104"/>
      <c r="D240" s="104"/>
      <c r="E240" s="104"/>
      <c r="F240" s="104"/>
      <c r="G240" s="104"/>
      <c r="H240" s="104"/>
      <c r="I240" s="109"/>
      <c r="J240" s="109"/>
      <c r="K240" s="107"/>
      <c r="L240" s="106"/>
      <c r="M240" s="115"/>
      <c r="N240" s="106"/>
      <c r="O240" s="107"/>
      <c r="P240" s="109"/>
      <c r="Q240" s="109"/>
      <c r="R240" s="109"/>
      <c r="S240" s="109"/>
      <c r="T240" s="109"/>
      <c r="U240" s="110"/>
    </row>
    <row r="241" spans="2:21" x14ac:dyDescent="0.2">
      <c r="B241" s="104"/>
      <c r="C241" s="104"/>
      <c r="D241" s="104"/>
      <c r="E241" s="104"/>
      <c r="F241" s="104"/>
      <c r="G241" s="104"/>
      <c r="H241" s="104"/>
      <c r="I241" s="109"/>
      <c r="J241" s="109"/>
      <c r="K241" s="107"/>
      <c r="L241" s="106"/>
      <c r="M241" s="115"/>
      <c r="N241" s="106"/>
      <c r="O241" s="107"/>
      <c r="P241" s="109"/>
      <c r="Q241" s="109"/>
      <c r="R241" s="109"/>
      <c r="S241" s="109"/>
      <c r="T241" s="109"/>
      <c r="U241" s="110"/>
    </row>
    <row r="242" spans="2:21" x14ac:dyDescent="0.2">
      <c r="B242" s="104"/>
      <c r="C242" s="104"/>
      <c r="D242" s="104"/>
      <c r="E242" s="104"/>
      <c r="F242" s="104"/>
      <c r="G242" s="104"/>
      <c r="H242" s="104"/>
      <c r="I242" s="109"/>
      <c r="J242" s="109"/>
      <c r="K242" s="107"/>
      <c r="L242" s="106"/>
      <c r="M242" s="115"/>
      <c r="N242" s="106"/>
      <c r="O242" s="107"/>
      <c r="P242" s="109"/>
      <c r="Q242" s="109"/>
      <c r="R242" s="109"/>
      <c r="S242" s="109"/>
      <c r="T242" s="109"/>
      <c r="U242" s="110"/>
    </row>
    <row r="243" spans="2:21" x14ac:dyDescent="0.2">
      <c r="B243" s="104"/>
      <c r="C243" s="104"/>
      <c r="D243" s="104"/>
      <c r="E243" s="104"/>
      <c r="F243" s="104"/>
      <c r="G243" s="104"/>
      <c r="H243" s="104"/>
      <c r="I243" s="109"/>
      <c r="J243" s="109"/>
      <c r="K243" s="107"/>
      <c r="L243" s="106"/>
      <c r="M243" s="115"/>
      <c r="N243" s="106"/>
      <c r="O243" s="107"/>
      <c r="P243" s="109"/>
      <c r="Q243" s="109"/>
      <c r="R243" s="109"/>
      <c r="S243" s="109"/>
      <c r="T243" s="109"/>
      <c r="U243" s="110"/>
    </row>
    <row r="244" spans="2:21" x14ac:dyDescent="0.2">
      <c r="B244" s="104"/>
      <c r="C244" s="104"/>
      <c r="D244" s="104"/>
      <c r="E244" s="104"/>
      <c r="F244" s="104"/>
      <c r="G244" s="104"/>
      <c r="H244" s="104"/>
      <c r="I244" s="109"/>
      <c r="J244" s="109"/>
      <c r="K244" s="107"/>
      <c r="L244" s="106"/>
      <c r="M244" s="115"/>
      <c r="N244" s="106"/>
      <c r="O244" s="107"/>
      <c r="P244" s="109"/>
      <c r="Q244" s="109"/>
      <c r="R244" s="109"/>
      <c r="S244" s="109"/>
      <c r="T244" s="109"/>
      <c r="U244" s="110"/>
    </row>
    <row r="245" spans="2:21" x14ac:dyDescent="0.2">
      <c r="B245" s="104"/>
      <c r="C245" s="104"/>
      <c r="D245" s="104"/>
      <c r="E245" s="104"/>
      <c r="F245" s="104"/>
      <c r="G245" s="104"/>
      <c r="H245" s="104"/>
      <c r="I245" s="109"/>
      <c r="J245" s="109"/>
      <c r="K245" s="107"/>
      <c r="L245" s="106"/>
      <c r="M245" s="115"/>
      <c r="N245" s="106"/>
      <c r="O245" s="107"/>
      <c r="P245" s="109"/>
      <c r="Q245" s="109"/>
      <c r="R245" s="109"/>
      <c r="S245" s="109"/>
      <c r="T245" s="109"/>
      <c r="U245" s="110"/>
    </row>
    <row r="246" spans="2:21" x14ac:dyDescent="0.2">
      <c r="B246" s="104"/>
      <c r="C246" s="104"/>
      <c r="D246" s="104"/>
      <c r="E246" s="104"/>
      <c r="F246" s="104"/>
      <c r="G246" s="104"/>
      <c r="H246" s="104"/>
      <c r="I246" s="109"/>
      <c r="J246" s="109"/>
      <c r="K246" s="107"/>
      <c r="L246" s="106"/>
      <c r="M246" s="115"/>
      <c r="N246" s="106"/>
      <c r="O246" s="107"/>
      <c r="P246" s="109"/>
      <c r="Q246" s="109"/>
      <c r="R246" s="109"/>
      <c r="S246" s="109"/>
      <c r="T246" s="109"/>
      <c r="U246" s="110"/>
    </row>
    <row r="247" spans="2:21" x14ac:dyDescent="0.2">
      <c r="B247" s="104"/>
      <c r="C247" s="104"/>
      <c r="D247" s="104"/>
      <c r="E247" s="104"/>
      <c r="F247" s="104"/>
      <c r="G247" s="104"/>
      <c r="H247" s="104"/>
      <c r="I247" s="109"/>
      <c r="J247" s="109"/>
      <c r="K247" s="107"/>
      <c r="L247" s="106"/>
      <c r="M247" s="115"/>
      <c r="N247" s="106"/>
      <c r="O247" s="107"/>
      <c r="P247" s="109"/>
      <c r="Q247" s="109"/>
      <c r="R247" s="109"/>
      <c r="S247" s="109"/>
      <c r="T247" s="109"/>
      <c r="U247" s="110"/>
    </row>
    <row r="248" spans="2:21" x14ac:dyDescent="0.2">
      <c r="B248" s="104"/>
      <c r="C248" s="104"/>
      <c r="D248" s="104"/>
      <c r="E248" s="104"/>
      <c r="F248" s="104"/>
      <c r="G248" s="104"/>
      <c r="H248" s="104"/>
      <c r="I248" s="109"/>
      <c r="J248" s="109"/>
      <c r="K248" s="107"/>
      <c r="L248" s="106"/>
      <c r="M248" s="115"/>
      <c r="N248" s="106"/>
      <c r="O248" s="107"/>
      <c r="P248" s="109"/>
      <c r="Q248" s="109"/>
      <c r="R248" s="109"/>
      <c r="S248" s="109"/>
      <c r="T248" s="109"/>
      <c r="U248" s="110"/>
    </row>
    <row r="249" spans="2:21" x14ac:dyDescent="0.2">
      <c r="B249" s="104"/>
      <c r="C249" s="104"/>
      <c r="D249" s="104"/>
      <c r="E249" s="104"/>
      <c r="F249" s="104"/>
      <c r="G249" s="104"/>
      <c r="H249" s="104"/>
      <c r="I249" s="109"/>
      <c r="J249" s="109"/>
      <c r="K249" s="107"/>
      <c r="L249" s="106"/>
      <c r="M249" s="115"/>
      <c r="N249" s="106"/>
      <c r="O249" s="107"/>
      <c r="P249" s="109"/>
      <c r="Q249" s="109"/>
      <c r="R249" s="109"/>
      <c r="S249" s="109"/>
      <c r="T249" s="109"/>
      <c r="U249" s="110"/>
    </row>
    <row r="250" spans="2:21" x14ac:dyDescent="0.2">
      <c r="B250" s="104"/>
      <c r="C250" s="104"/>
      <c r="D250" s="104"/>
      <c r="E250" s="104"/>
      <c r="F250" s="104"/>
      <c r="G250" s="104"/>
      <c r="H250" s="104"/>
      <c r="I250" s="109"/>
      <c r="J250" s="109"/>
      <c r="K250" s="107"/>
      <c r="L250" s="106"/>
      <c r="M250" s="115"/>
      <c r="N250" s="106"/>
      <c r="O250" s="107"/>
      <c r="P250" s="109"/>
      <c r="Q250" s="109"/>
      <c r="R250" s="109"/>
      <c r="S250" s="109"/>
      <c r="T250" s="109"/>
      <c r="U250" s="110"/>
    </row>
    <row r="251" spans="2:21" x14ac:dyDescent="0.2">
      <c r="B251" s="104"/>
      <c r="C251" s="104"/>
      <c r="D251" s="104"/>
      <c r="E251" s="104"/>
      <c r="F251" s="104"/>
      <c r="G251" s="104"/>
      <c r="H251" s="104"/>
      <c r="I251" s="109"/>
      <c r="J251" s="109"/>
      <c r="K251" s="107"/>
      <c r="L251" s="106"/>
      <c r="M251" s="115"/>
      <c r="N251" s="106"/>
      <c r="O251" s="107"/>
      <c r="P251" s="109"/>
      <c r="Q251" s="109"/>
      <c r="R251" s="109"/>
      <c r="S251" s="109"/>
      <c r="T251" s="109"/>
      <c r="U251" s="110"/>
    </row>
    <row r="252" spans="2:21" x14ac:dyDescent="0.2">
      <c r="B252" s="104"/>
      <c r="C252" s="104"/>
      <c r="D252" s="104"/>
      <c r="E252" s="104"/>
      <c r="F252" s="104"/>
      <c r="G252" s="104"/>
      <c r="H252" s="104"/>
      <c r="I252" s="109"/>
      <c r="J252" s="109"/>
      <c r="K252" s="107"/>
      <c r="L252" s="106"/>
      <c r="M252" s="115"/>
      <c r="N252" s="106"/>
      <c r="O252" s="107"/>
      <c r="P252" s="109"/>
      <c r="Q252" s="109"/>
      <c r="R252" s="109"/>
      <c r="S252" s="109"/>
      <c r="T252" s="109"/>
      <c r="U252" s="110"/>
    </row>
    <row r="253" spans="2:21" x14ac:dyDescent="0.2">
      <c r="B253" s="104"/>
      <c r="C253" s="104"/>
      <c r="D253" s="104"/>
      <c r="E253" s="104"/>
      <c r="F253" s="104"/>
      <c r="G253" s="104"/>
      <c r="H253" s="104"/>
      <c r="I253" s="109"/>
      <c r="J253" s="109"/>
      <c r="K253" s="107"/>
      <c r="L253" s="106"/>
      <c r="M253" s="115"/>
      <c r="N253" s="106"/>
      <c r="O253" s="107"/>
      <c r="P253" s="109"/>
      <c r="Q253" s="109"/>
      <c r="R253" s="109"/>
      <c r="S253" s="109"/>
      <c r="T253" s="109"/>
      <c r="U253" s="110"/>
    </row>
    <row r="254" spans="2:21" x14ac:dyDescent="0.2">
      <c r="B254" s="104"/>
      <c r="C254" s="104"/>
      <c r="D254" s="104"/>
      <c r="E254" s="104"/>
      <c r="F254" s="104"/>
      <c r="G254" s="104"/>
      <c r="H254" s="104"/>
      <c r="I254" s="109"/>
      <c r="J254" s="109"/>
      <c r="K254" s="107"/>
      <c r="L254" s="106"/>
      <c r="M254" s="115"/>
      <c r="N254" s="106"/>
      <c r="O254" s="107"/>
      <c r="P254" s="109"/>
      <c r="Q254" s="109"/>
      <c r="R254" s="109"/>
      <c r="S254" s="109"/>
      <c r="T254" s="109"/>
      <c r="U254" s="110"/>
    </row>
    <row r="255" spans="2:21" x14ac:dyDescent="0.2">
      <c r="B255" s="104"/>
      <c r="C255" s="104"/>
      <c r="D255" s="104"/>
      <c r="E255" s="104"/>
      <c r="F255" s="104"/>
      <c r="G255" s="104"/>
      <c r="H255" s="104"/>
      <c r="I255" s="109"/>
      <c r="J255" s="109"/>
      <c r="K255" s="107"/>
      <c r="L255" s="106"/>
      <c r="M255" s="115"/>
      <c r="N255" s="106"/>
      <c r="O255" s="107"/>
      <c r="P255" s="109"/>
      <c r="Q255" s="109"/>
      <c r="R255" s="109"/>
      <c r="S255" s="109"/>
      <c r="T255" s="109"/>
      <c r="U255" s="110"/>
    </row>
    <row r="256" spans="2:21" x14ac:dyDescent="0.2">
      <c r="B256" s="104"/>
      <c r="C256" s="104"/>
      <c r="D256" s="104"/>
      <c r="E256" s="104"/>
      <c r="F256" s="104"/>
      <c r="G256" s="104"/>
      <c r="H256" s="104"/>
      <c r="I256" s="109"/>
      <c r="J256" s="109"/>
      <c r="K256" s="107"/>
      <c r="L256" s="106"/>
      <c r="M256" s="115"/>
      <c r="N256" s="106"/>
      <c r="O256" s="107"/>
      <c r="P256" s="109"/>
      <c r="Q256" s="109"/>
      <c r="R256" s="109"/>
      <c r="S256" s="109"/>
      <c r="T256" s="109"/>
      <c r="U256" s="110"/>
    </row>
    <row r="257" spans="2:21" x14ac:dyDescent="0.2">
      <c r="B257" s="104"/>
      <c r="C257" s="104"/>
      <c r="D257" s="104"/>
      <c r="E257" s="104"/>
      <c r="F257" s="104"/>
      <c r="G257" s="104"/>
      <c r="H257" s="104"/>
      <c r="I257" s="109"/>
      <c r="J257" s="109"/>
      <c r="K257" s="107"/>
      <c r="L257" s="106"/>
      <c r="M257" s="115"/>
      <c r="N257" s="106"/>
      <c r="O257" s="107"/>
      <c r="P257" s="109"/>
      <c r="Q257" s="109"/>
      <c r="R257" s="109"/>
      <c r="S257" s="109"/>
      <c r="T257" s="109"/>
      <c r="U257" s="110"/>
    </row>
    <row r="258" spans="2:21" x14ac:dyDescent="0.2">
      <c r="B258" s="104"/>
      <c r="C258" s="104"/>
      <c r="D258" s="104"/>
      <c r="E258" s="104"/>
      <c r="F258" s="104"/>
      <c r="G258" s="104"/>
      <c r="H258" s="104"/>
      <c r="I258" s="109"/>
      <c r="J258" s="109"/>
      <c r="K258" s="107"/>
      <c r="L258" s="106"/>
      <c r="M258" s="115"/>
      <c r="N258" s="106"/>
      <c r="O258" s="107"/>
      <c r="P258" s="109"/>
      <c r="Q258" s="109"/>
      <c r="R258" s="109"/>
      <c r="S258" s="109"/>
      <c r="T258" s="109"/>
      <c r="U258" s="110"/>
    </row>
    <row r="259" spans="2:21" x14ac:dyDescent="0.2">
      <c r="B259" s="104"/>
      <c r="C259" s="104"/>
      <c r="D259" s="104"/>
      <c r="E259" s="104"/>
      <c r="F259" s="104"/>
      <c r="G259" s="104"/>
      <c r="H259" s="104"/>
      <c r="I259" s="109"/>
      <c r="J259" s="109"/>
      <c r="K259" s="107"/>
      <c r="L259" s="106"/>
      <c r="M259" s="115"/>
      <c r="N259" s="106"/>
      <c r="O259" s="107"/>
      <c r="P259" s="109"/>
      <c r="Q259" s="109"/>
      <c r="R259" s="109"/>
      <c r="S259" s="109"/>
      <c r="T259" s="109"/>
      <c r="U259" s="110"/>
    </row>
    <row r="260" spans="2:21" x14ac:dyDescent="0.2">
      <c r="B260" s="104"/>
      <c r="C260" s="104"/>
      <c r="D260" s="104"/>
      <c r="E260" s="104"/>
      <c r="F260" s="104"/>
      <c r="G260" s="104"/>
      <c r="H260" s="104"/>
      <c r="I260" s="109"/>
      <c r="J260" s="109"/>
      <c r="K260" s="107"/>
      <c r="L260" s="106"/>
      <c r="M260" s="115"/>
      <c r="N260" s="106"/>
      <c r="O260" s="107"/>
      <c r="P260" s="109"/>
      <c r="Q260" s="109"/>
      <c r="R260" s="109"/>
      <c r="S260" s="109"/>
      <c r="T260" s="109"/>
      <c r="U260" s="110"/>
    </row>
    <row r="261" spans="2:21" x14ac:dyDescent="0.2">
      <c r="B261" s="104"/>
      <c r="C261" s="104"/>
      <c r="D261" s="104"/>
      <c r="E261" s="104"/>
      <c r="F261" s="104"/>
      <c r="G261" s="104"/>
      <c r="H261" s="104"/>
      <c r="I261" s="109"/>
      <c r="J261" s="109"/>
      <c r="K261" s="107"/>
      <c r="L261" s="106"/>
      <c r="M261" s="115"/>
      <c r="N261" s="106"/>
      <c r="O261" s="107"/>
      <c r="P261" s="109"/>
      <c r="Q261" s="109"/>
      <c r="R261" s="109"/>
      <c r="S261" s="109"/>
      <c r="T261" s="109"/>
      <c r="U261" s="110"/>
    </row>
    <row r="262" spans="2:21" x14ac:dyDescent="0.2">
      <c r="B262" s="104"/>
      <c r="C262" s="104"/>
      <c r="D262" s="104"/>
      <c r="E262" s="104"/>
      <c r="F262" s="104"/>
      <c r="G262" s="104"/>
      <c r="H262" s="104"/>
      <c r="I262" s="109"/>
      <c r="J262" s="109"/>
      <c r="K262" s="107"/>
      <c r="L262" s="106"/>
      <c r="M262" s="115"/>
      <c r="N262" s="106"/>
      <c r="O262" s="107"/>
      <c r="P262" s="109"/>
      <c r="Q262" s="109"/>
      <c r="R262" s="109"/>
      <c r="S262" s="109"/>
      <c r="T262" s="109"/>
      <c r="U262" s="110"/>
    </row>
    <row r="263" spans="2:21" x14ac:dyDescent="0.2">
      <c r="B263" s="104"/>
      <c r="C263" s="104"/>
      <c r="D263" s="104"/>
      <c r="E263" s="104"/>
      <c r="F263" s="104"/>
      <c r="G263" s="104"/>
      <c r="H263" s="104"/>
      <c r="I263" s="109"/>
      <c r="J263" s="109"/>
      <c r="K263" s="107"/>
      <c r="L263" s="106"/>
      <c r="M263" s="115"/>
      <c r="N263" s="106"/>
      <c r="O263" s="107"/>
      <c r="P263" s="109"/>
      <c r="Q263" s="109"/>
      <c r="R263" s="109"/>
      <c r="S263" s="109"/>
      <c r="T263" s="109"/>
      <c r="U263" s="110"/>
    </row>
    <row r="264" spans="2:21" x14ac:dyDescent="0.2">
      <c r="B264" s="104"/>
      <c r="C264" s="104"/>
      <c r="D264" s="104"/>
      <c r="E264" s="104"/>
      <c r="F264" s="104"/>
      <c r="G264" s="104"/>
      <c r="H264" s="104"/>
      <c r="I264" s="109"/>
      <c r="J264" s="109"/>
      <c r="K264" s="107"/>
      <c r="L264" s="106"/>
      <c r="M264" s="115"/>
      <c r="N264" s="106"/>
      <c r="O264" s="107"/>
      <c r="P264" s="109"/>
      <c r="Q264" s="109"/>
      <c r="R264" s="109"/>
      <c r="S264" s="109"/>
      <c r="T264" s="109"/>
      <c r="U264" s="110"/>
    </row>
    <row r="265" spans="2:21" x14ac:dyDescent="0.2">
      <c r="B265" s="104"/>
      <c r="C265" s="104"/>
      <c r="D265" s="104"/>
      <c r="E265" s="104"/>
      <c r="F265" s="104"/>
      <c r="G265" s="104"/>
      <c r="H265" s="104"/>
      <c r="I265" s="109"/>
      <c r="J265" s="109"/>
      <c r="K265" s="107"/>
      <c r="L265" s="106"/>
      <c r="M265" s="115"/>
      <c r="N265" s="106"/>
      <c r="O265" s="107"/>
      <c r="P265" s="109"/>
      <c r="Q265" s="109"/>
      <c r="R265" s="109"/>
      <c r="S265" s="109"/>
      <c r="T265" s="109"/>
      <c r="U265" s="110"/>
    </row>
    <row r="266" spans="2:21" x14ac:dyDescent="0.2">
      <c r="B266" s="104"/>
      <c r="C266" s="104"/>
      <c r="D266" s="104"/>
      <c r="E266" s="104"/>
      <c r="F266" s="104"/>
      <c r="G266" s="104"/>
      <c r="H266" s="104"/>
      <c r="I266" s="109"/>
      <c r="J266" s="109"/>
      <c r="K266" s="107"/>
      <c r="L266" s="106"/>
      <c r="M266" s="115"/>
      <c r="N266" s="106"/>
      <c r="O266" s="107"/>
      <c r="P266" s="109"/>
      <c r="Q266" s="109"/>
      <c r="R266" s="109"/>
      <c r="S266" s="109"/>
      <c r="T266" s="109"/>
      <c r="U266" s="110"/>
    </row>
    <row r="267" spans="2:21" x14ac:dyDescent="0.2">
      <c r="B267" s="104"/>
      <c r="C267" s="104"/>
      <c r="D267" s="104"/>
      <c r="E267" s="104"/>
      <c r="F267" s="104"/>
      <c r="G267" s="104"/>
      <c r="H267" s="104"/>
      <c r="I267" s="109"/>
      <c r="J267" s="109"/>
      <c r="K267" s="107"/>
      <c r="L267" s="106"/>
      <c r="M267" s="115"/>
      <c r="N267" s="106"/>
      <c r="O267" s="107"/>
      <c r="P267" s="109"/>
      <c r="Q267" s="109"/>
      <c r="R267" s="109"/>
      <c r="S267" s="109"/>
      <c r="T267" s="109"/>
      <c r="U267" s="110"/>
    </row>
    <row r="268" spans="2:21" x14ac:dyDescent="0.2">
      <c r="B268" s="104"/>
      <c r="C268" s="104"/>
      <c r="D268" s="104"/>
      <c r="E268" s="104"/>
      <c r="F268" s="104"/>
      <c r="G268" s="104"/>
      <c r="H268" s="104"/>
      <c r="I268" s="109"/>
      <c r="J268" s="109"/>
      <c r="K268" s="107"/>
      <c r="L268" s="106"/>
      <c r="M268" s="115"/>
      <c r="N268" s="106"/>
      <c r="O268" s="107"/>
      <c r="P268" s="109"/>
      <c r="Q268" s="109"/>
      <c r="R268" s="109"/>
      <c r="S268" s="109"/>
      <c r="T268" s="109"/>
      <c r="U268" s="110"/>
    </row>
    <row r="269" spans="2:21" x14ac:dyDescent="0.2">
      <c r="B269" s="104"/>
      <c r="C269" s="104"/>
      <c r="D269" s="104"/>
      <c r="E269" s="104"/>
      <c r="F269" s="104"/>
      <c r="G269" s="104"/>
      <c r="H269" s="104"/>
      <c r="I269" s="109"/>
      <c r="J269" s="109"/>
      <c r="K269" s="107"/>
      <c r="L269" s="106"/>
      <c r="M269" s="115"/>
      <c r="N269" s="106"/>
      <c r="O269" s="107"/>
      <c r="P269" s="109"/>
      <c r="Q269" s="109"/>
      <c r="R269" s="109"/>
      <c r="S269" s="109"/>
      <c r="T269" s="109"/>
      <c r="U269" s="110"/>
    </row>
    <row r="270" spans="2:21" x14ac:dyDescent="0.2">
      <c r="B270" s="104"/>
      <c r="C270" s="104"/>
      <c r="D270" s="104"/>
      <c r="E270" s="104"/>
      <c r="F270" s="104"/>
      <c r="G270" s="104"/>
      <c r="H270" s="104"/>
      <c r="I270" s="109"/>
      <c r="J270" s="109"/>
      <c r="K270" s="107"/>
      <c r="L270" s="106"/>
      <c r="M270" s="115"/>
      <c r="N270" s="106"/>
      <c r="O270" s="107"/>
      <c r="P270" s="109"/>
      <c r="Q270" s="109"/>
      <c r="R270" s="109"/>
      <c r="S270" s="109"/>
      <c r="T270" s="109"/>
      <c r="U270" s="110"/>
    </row>
    <row r="271" spans="2:21" x14ac:dyDescent="0.2">
      <c r="B271" s="104"/>
      <c r="C271" s="104"/>
      <c r="D271" s="104"/>
      <c r="E271" s="104"/>
      <c r="F271" s="104"/>
      <c r="G271" s="104"/>
      <c r="H271" s="104"/>
      <c r="I271" s="109"/>
      <c r="J271" s="109"/>
      <c r="K271" s="107"/>
      <c r="L271" s="106"/>
      <c r="M271" s="115"/>
      <c r="N271" s="106"/>
      <c r="O271" s="107"/>
      <c r="P271" s="109"/>
      <c r="Q271" s="109"/>
      <c r="R271" s="109"/>
      <c r="S271" s="109"/>
      <c r="T271" s="109"/>
      <c r="U271" s="110"/>
    </row>
    <row r="272" spans="2:21" x14ac:dyDescent="0.2">
      <c r="B272" s="104"/>
      <c r="C272" s="104"/>
      <c r="D272" s="104"/>
      <c r="E272" s="104"/>
      <c r="F272" s="104"/>
      <c r="G272" s="104"/>
      <c r="H272" s="104"/>
      <c r="I272" s="109"/>
      <c r="J272" s="109"/>
      <c r="K272" s="107"/>
      <c r="L272" s="106"/>
      <c r="M272" s="115"/>
      <c r="N272" s="106"/>
      <c r="O272" s="107"/>
      <c r="P272" s="109"/>
      <c r="Q272" s="109"/>
      <c r="R272" s="109"/>
      <c r="S272" s="109"/>
      <c r="T272" s="109"/>
      <c r="U272" s="110"/>
    </row>
    <row r="273" spans="2:21" x14ac:dyDescent="0.2">
      <c r="B273" s="104"/>
      <c r="C273" s="104"/>
      <c r="D273" s="104"/>
      <c r="E273" s="104"/>
      <c r="F273" s="104"/>
      <c r="G273" s="104"/>
      <c r="H273" s="104"/>
      <c r="I273" s="109"/>
      <c r="J273" s="109"/>
      <c r="K273" s="107"/>
      <c r="L273" s="106"/>
      <c r="M273" s="115"/>
      <c r="N273" s="106"/>
      <c r="O273" s="107"/>
      <c r="P273" s="109"/>
      <c r="Q273" s="109"/>
      <c r="R273" s="109"/>
      <c r="S273" s="109"/>
      <c r="T273" s="109"/>
      <c r="U273" s="110"/>
    </row>
    <row r="274" spans="2:21" x14ac:dyDescent="0.2">
      <c r="B274" s="104"/>
      <c r="C274" s="104"/>
      <c r="D274" s="104"/>
      <c r="E274" s="104"/>
      <c r="F274" s="104"/>
      <c r="G274" s="104"/>
      <c r="H274" s="104"/>
      <c r="I274" s="109"/>
      <c r="J274" s="109"/>
      <c r="K274" s="107"/>
      <c r="L274" s="106"/>
      <c r="M274" s="115"/>
      <c r="N274" s="106"/>
      <c r="O274" s="107"/>
      <c r="P274" s="109"/>
      <c r="Q274" s="109"/>
      <c r="R274" s="109"/>
      <c r="S274" s="109"/>
      <c r="T274" s="109"/>
      <c r="U274" s="110"/>
    </row>
    <row r="275" spans="2:21" x14ac:dyDescent="0.2">
      <c r="B275" s="104"/>
      <c r="C275" s="104"/>
      <c r="D275" s="104"/>
      <c r="E275" s="104"/>
      <c r="F275" s="104"/>
      <c r="G275" s="104"/>
      <c r="H275" s="104"/>
      <c r="I275" s="109"/>
      <c r="J275" s="109"/>
      <c r="K275" s="107"/>
      <c r="L275" s="106"/>
      <c r="M275" s="115"/>
      <c r="N275" s="106"/>
      <c r="O275" s="107"/>
      <c r="P275" s="109"/>
      <c r="Q275" s="109"/>
      <c r="R275" s="109"/>
      <c r="S275" s="109"/>
      <c r="T275" s="109"/>
      <c r="U275" s="110"/>
    </row>
    <row r="276" spans="2:21" x14ac:dyDescent="0.2">
      <c r="B276" s="104"/>
      <c r="C276" s="104"/>
      <c r="D276" s="104"/>
      <c r="E276" s="104"/>
      <c r="F276" s="104"/>
      <c r="G276" s="104"/>
      <c r="H276" s="104"/>
      <c r="I276" s="109"/>
      <c r="J276" s="109"/>
      <c r="K276" s="107"/>
      <c r="L276" s="106"/>
      <c r="M276" s="115"/>
      <c r="N276" s="106"/>
      <c r="O276" s="107"/>
      <c r="P276" s="109"/>
      <c r="Q276" s="109"/>
      <c r="R276" s="109"/>
      <c r="S276" s="109"/>
      <c r="T276" s="109"/>
      <c r="U276" s="110"/>
    </row>
    <row r="277" spans="2:21" x14ac:dyDescent="0.2">
      <c r="B277" s="104"/>
      <c r="C277" s="104"/>
      <c r="D277" s="104"/>
      <c r="E277" s="104"/>
      <c r="F277" s="104"/>
      <c r="G277" s="104"/>
      <c r="H277" s="104"/>
      <c r="I277" s="109"/>
      <c r="J277" s="109"/>
      <c r="K277" s="107"/>
      <c r="L277" s="106"/>
      <c r="M277" s="115"/>
      <c r="N277" s="106"/>
      <c r="O277" s="107"/>
      <c r="P277" s="109"/>
      <c r="Q277" s="109"/>
      <c r="R277" s="109"/>
      <c r="S277" s="109"/>
      <c r="T277" s="109"/>
      <c r="U277" s="110"/>
    </row>
    <row r="278" spans="2:21" x14ac:dyDescent="0.2">
      <c r="B278" s="104"/>
      <c r="C278" s="104"/>
      <c r="D278" s="104"/>
      <c r="E278" s="104"/>
      <c r="F278" s="104"/>
      <c r="G278" s="104"/>
      <c r="H278" s="104"/>
      <c r="I278" s="109"/>
      <c r="J278" s="109"/>
      <c r="K278" s="107"/>
      <c r="L278" s="106"/>
      <c r="M278" s="115"/>
      <c r="N278" s="106"/>
      <c r="O278" s="107"/>
      <c r="P278" s="109"/>
      <c r="Q278" s="109"/>
      <c r="R278" s="109"/>
      <c r="S278" s="109"/>
      <c r="T278" s="109"/>
      <c r="U278" s="110"/>
    </row>
    <row r="279" spans="2:21" x14ac:dyDescent="0.2">
      <c r="B279" s="104"/>
      <c r="C279" s="104"/>
      <c r="D279" s="104"/>
      <c r="E279" s="104"/>
      <c r="F279" s="104"/>
      <c r="G279" s="104"/>
      <c r="H279" s="104"/>
      <c r="I279" s="109"/>
      <c r="J279" s="109"/>
      <c r="K279" s="107"/>
      <c r="L279" s="106"/>
      <c r="M279" s="115"/>
      <c r="N279" s="106"/>
      <c r="O279" s="107"/>
      <c r="P279" s="109"/>
      <c r="Q279" s="109"/>
      <c r="R279" s="109"/>
      <c r="S279" s="109"/>
      <c r="T279" s="109"/>
      <c r="U279" s="110"/>
    </row>
    <row r="280" spans="2:21" x14ac:dyDescent="0.2">
      <c r="B280" s="104"/>
      <c r="C280" s="104"/>
      <c r="D280" s="104"/>
      <c r="E280" s="104"/>
      <c r="F280" s="104"/>
      <c r="G280" s="104"/>
      <c r="H280" s="104"/>
      <c r="I280" s="109"/>
      <c r="J280" s="109"/>
      <c r="K280" s="107"/>
      <c r="L280" s="106"/>
      <c r="M280" s="115"/>
      <c r="N280" s="106"/>
      <c r="O280" s="107"/>
      <c r="P280" s="109"/>
      <c r="Q280" s="109"/>
      <c r="R280" s="109"/>
      <c r="S280" s="109"/>
      <c r="T280" s="109"/>
      <c r="U280" s="110"/>
    </row>
    <row r="281" spans="2:21" x14ac:dyDescent="0.2">
      <c r="B281" s="104"/>
      <c r="C281" s="104"/>
      <c r="D281" s="104"/>
      <c r="E281" s="104"/>
      <c r="F281" s="104"/>
      <c r="G281" s="104"/>
      <c r="H281" s="104"/>
      <c r="I281" s="109"/>
      <c r="J281" s="109"/>
      <c r="K281" s="107"/>
      <c r="L281" s="106"/>
      <c r="M281" s="115"/>
      <c r="N281" s="106"/>
      <c r="O281" s="107"/>
      <c r="P281" s="109"/>
      <c r="Q281" s="109"/>
      <c r="R281" s="109"/>
      <c r="S281" s="109"/>
      <c r="T281" s="109"/>
      <c r="U281" s="110"/>
    </row>
    <row r="282" spans="2:21" x14ac:dyDescent="0.2">
      <c r="B282" s="104"/>
      <c r="C282" s="104"/>
      <c r="D282" s="104"/>
      <c r="E282" s="104"/>
      <c r="F282" s="104"/>
      <c r="G282" s="104"/>
      <c r="H282" s="104"/>
      <c r="I282" s="109"/>
      <c r="J282" s="109"/>
      <c r="K282" s="107"/>
      <c r="L282" s="106"/>
      <c r="M282" s="115"/>
      <c r="N282" s="106"/>
      <c r="O282" s="107"/>
      <c r="P282" s="109"/>
      <c r="Q282" s="109"/>
      <c r="R282" s="109"/>
      <c r="S282" s="109"/>
      <c r="T282" s="109"/>
      <c r="U282" s="110"/>
    </row>
    <row r="283" spans="2:21" x14ac:dyDescent="0.2">
      <c r="B283" s="104"/>
      <c r="C283" s="104"/>
      <c r="D283" s="104"/>
      <c r="E283" s="104"/>
      <c r="F283" s="104"/>
      <c r="G283" s="104"/>
      <c r="H283" s="104"/>
      <c r="I283" s="109"/>
      <c r="J283" s="109"/>
      <c r="K283" s="107"/>
      <c r="L283" s="106"/>
      <c r="M283" s="115"/>
      <c r="N283" s="106"/>
      <c r="O283" s="107"/>
      <c r="P283" s="109"/>
      <c r="Q283" s="109"/>
      <c r="R283" s="109"/>
      <c r="S283" s="109"/>
      <c r="T283" s="109"/>
      <c r="U283" s="110"/>
    </row>
    <row r="284" spans="2:21" x14ac:dyDescent="0.2">
      <c r="B284" s="104"/>
      <c r="C284" s="104"/>
      <c r="D284" s="104"/>
      <c r="E284" s="104"/>
      <c r="F284" s="104"/>
      <c r="G284" s="104"/>
      <c r="H284" s="104"/>
      <c r="I284" s="109"/>
      <c r="J284" s="109"/>
      <c r="K284" s="107"/>
      <c r="L284" s="106"/>
      <c r="M284" s="115"/>
      <c r="N284" s="106"/>
      <c r="O284" s="107"/>
      <c r="P284" s="109"/>
      <c r="Q284" s="109"/>
      <c r="R284" s="109"/>
      <c r="S284" s="109"/>
      <c r="T284" s="109"/>
      <c r="U284" s="110"/>
    </row>
    <row r="285" spans="2:21" x14ac:dyDescent="0.2">
      <c r="B285" s="104"/>
      <c r="C285" s="104"/>
      <c r="D285" s="104"/>
      <c r="E285" s="104"/>
      <c r="F285" s="104"/>
      <c r="G285" s="104"/>
      <c r="H285" s="104"/>
      <c r="I285" s="109"/>
      <c r="J285" s="109"/>
      <c r="K285" s="107"/>
      <c r="L285" s="106"/>
      <c r="M285" s="115"/>
      <c r="N285" s="106"/>
      <c r="O285" s="107"/>
      <c r="P285" s="109"/>
      <c r="Q285" s="109"/>
      <c r="R285" s="109"/>
      <c r="S285" s="109"/>
      <c r="T285" s="109"/>
      <c r="U285" s="110"/>
    </row>
    <row r="286" spans="2:21" x14ac:dyDescent="0.2">
      <c r="B286" s="104"/>
      <c r="C286" s="104"/>
      <c r="D286" s="104"/>
      <c r="E286" s="104"/>
      <c r="F286" s="104"/>
      <c r="G286" s="104"/>
      <c r="H286" s="104"/>
      <c r="I286" s="109"/>
      <c r="J286" s="109"/>
      <c r="K286" s="107"/>
      <c r="L286" s="106"/>
      <c r="M286" s="115"/>
      <c r="N286" s="106"/>
      <c r="O286" s="107"/>
      <c r="P286" s="109"/>
      <c r="Q286" s="109"/>
      <c r="R286" s="109"/>
      <c r="S286" s="109"/>
      <c r="T286" s="109"/>
      <c r="U286" s="110"/>
    </row>
    <row r="287" spans="2:21" x14ac:dyDescent="0.2">
      <c r="B287" s="104"/>
      <c r="C287" s="104"/>
      <c r="D287" s="104"/>
      <c r="E287" s="104"/>
      <c r="F287" s="104"/>
      <c r="G287" s="104"/>
      <c r="H287" s="104"/>
      <c r="I287" s="109"/>
      <c r="J287" s="109"/>
      <c r="K287" s="107"/>
      <c r="L287" s="106"/>
      <c r="M287" s="115"/>
      <c r="N287" s="106"/>
      <c r="O287" s="107"/>
      <c r="P287" s="109"/>
      <c r="Q287" s="109"/>
      <c r="R287" s="109"/>
      <c r="S287" s="109"/>
      <c r="T287" s="109"/>
      <c r="U287" s="110"/>
    </row>
    <row r="288" spans="2:21" x14ac:dyDescent="0.2">
      <c r="B288" s="104"/>
      <c r="C288" s="104"/>
      <c r="D288" s="104"/>
      <c r="E288" s="104"/>
      <c r="F288" s="104"/>
      <c r="G288" s="104"/>
      <c r="H288" s="104"/>
      <c r="I288" s="109"/>
      <c r="J288" s="109"/>
      <c r="K288" s="107"/>
      <c r="L288" s="106"/>
      <c r="M288" s="115"/>
      <c r="N288" s="106"/>
      <c r="O288" s="107"/>
      <c r="P288" s="109"/>
      <c r="Q288" s="109"/>
      <c r="R288" s="109"/>
      <c r="S288" s="109"/>
      <c r="T288" s="109"/>
      <c r="U288" s="110"/>
    </row>
    <row r="289" spans="2:21" x14ac:dyDescent="0.2">
      <c r="B289" s="104"/>
      <c r="C289" s="104"/>
      <c r="D289" s="104"/>
      <c r="E289" s="104"/>
      <c r="F289" s="104"/>
      <c r="G289" s="104"/>
      <c r="H289" s="104"/>
      <c r="I289" s="109"/>
      <c r="J289" s="109"/>
      <c r="K289" s="107"/>
      <c r="L289" s="106"/>
      <c r="M289" s="115"/>
      <c r="N289" s="106"/>
      <c r="O289" s="107"/>
      <c r="P289" s="109"/>
      <c r="Q289" s="109"/>
      <c r="R289" s="109"/>
      <c r="S289" s="109"/>
      <c r="T289" s="109"/>
      <c r="U289" s="110"/>
    </row>
    <row r="290" spans="2:21" x14ac:dyDescent="0.2">
      <c r="B290" s="104"/>
      <c r="C290" s="104"/>
      <c r="D290" s="104"/>
      <c r="E290" s="104"/>
      <c r="F290" s="104"/>
      <c r="G290" s="104"/>
      <c r="H290" s="104"/>
      <c r="I290" s="109"/>
      <c r="J290" s="109"/>
      <c r="K290" s="107"/>
      <c r="L290" s="106"/>
      <c r="M290" s="115"/>
      <c r="N290" s="106"/>
      <c r="O290" s="107"/>
      <c r="P290" s="109"/>
      <c r="Q290" s="109"/>
      <c r="R290" s="109"/>
      <c r="S290" s="109"/>
      <c r="T290" s="109"/>
      <c r="U290" s="110"/>
    </row>
    <row r="291" spans="2:21" x14ac:dyDescent="0.2">
      <c r="B291" s="104"/>
      <c r="C291" s="104"/>
      <c r="D291" s="104"/>
      <c r="E291" s="104"/>
      <c r="F291" s="104"/>
      <c r="G291" s="104"/>
      <c r="H291" s="104"/>
      <c r="I291" s="109"/>
      <c r="J291" s="109"/>
      <c r="K291" s="107"/>
      <c r="L291" s="106"/>
      <c r="M291" s="115"/>
      <c r="N291" s="106"/>
      <c r="O291" s="107"/>
      <c r="P291" s="109"/>
      <c r="Q291" s="109"/>
      <c r="R291" s="109"/>
      <c r="S291" s="109"/>
      <c r="T291" s="109"/>
      <c r="U291" s="110"/>
    </row>
    <row r="292" spans="2:21" x14ac:dyDescent="0.2">
      <c r="B292" s="104"/>
      <c r="C292" s="104"/>
      <c r="D292" s="104"/>
      <c r="E292" s="104"/>
      <c r="F292" s="104"/>
      <c r="G292" s="104"/>
      <c r="H292" s="104"/>
      <c r="I292" s="109"/>
      <c r="J292" s="109"/>
      <c r="K292" s="107"/>
      <c r="L292" s="106"/>
      <c r="M292" s="115"/>
      <c r="N292" s="106"/>
      <c r="O292" s="107"/>
      <c r="P292" s="109"/>
      <c r="Q292" s="109"/>
      <c r="R292" s="109"/>
      <c r="S292" s="109"/>
      <c r="T292" s="109"/>
      <c r="U292" s="110"/>
    </row>
    <row r="293" spans="2:21" x14ac:dyDescent="0.2">
      <c r="B293" s="104"/>
      <c r="C293" s="104"/>
      <c r="D293" s="104"/>
      <c r="E293" s="104"/>
      <c r="F293" s="104"/>
      <c r="G293" s="104"/>
      <c r="H293" s="104"/>
      <c r="I293" s="109"/>
      <c r="J293" s="109"/>
      <c r="K293" s="107"/>
      <c r="L293" s="106"/>
      <c r="M293" s="115"/>
      <c r="N293" s="106"/>
      <c r="O293" s="107"/>
      <c r="P293" s="109"/>
      <c r="Q293" s="109"/>
      <c r="R293" s="109"/>
      <c r="S293" s="109"/>
      <c r="T293" s="109"/>
      <c r="U293" s="110"/>
    </row>
    <row r="294" spans="2:21" x14ac:dyDescent="0.2">
      <c r="B294" s="104"/>
      <c r="C294" s="104"/>
      <c r="D294" s="104"/>
      <c r="E294" s="104"/>
      <c r="F294" s="104"/>
      <c r="G294" s="104"/>
      <c r="H294" s="104"/>
      <c r="I294" s="109"/>
      <c r="J294" s="109"/>
      <c r="K294" s="107"/>
      <c r="L294" s="106"/>
      <c r="M294" s="115"/>
      <c r="N294" s="106"/>
      <c r="O294" s="107"/>
      <c r="P294" s="109"/>
      <c r="Q294" s="109"/>
      <c r="R294" s="109"/>
      <c r="S294" s="109"/>
      <c r="T294" s="109"/>
      <c r="U294" s="110"/>
    </row>
    <row r="295" spans="2:21" x14ac:dyDescent="0.2">
      <c r="B295" s="104"/>
      <c r="C295" s="104"/>
      <c r="D295" s="104"/>
      <c r="E295" s="104"/>
      <c r="F295" s="104"/>
      <c r="G295" s="104"/>
      <c r="H295" s="104"/>
      <c r="I295" s="109"/>
      <c r="J295" s="109"/>
      <c r="K295" s="107"/>
      <c r="L295" s="106"/>
      <c r="M295" s="115"/>
      <c r="N295" s="106"/>
      <c r="O295" s="107"/>
      <c r="P295" s="109"/>
      <c r="Q295" s="109"/>
      <c r="R295" s="109"/>
      <c r="S295" s="109"/>
      <c r="T295" s="109"/>
      <c r="U295" s="110"/>
    </row>
    <row r="296" spans="2:21" x14ac:dyDescent="0.2">
      <c r="B296" s="104"/>
      <c r="C296" s="104"/>
      <c r="D296" s="104"/>
      <c r="E296" s="104"/>
      <c r="F296" s="104"/>
      <c r="G296" s="104"/>
      <c r="H296" s="104"/>
      <c r="I296" s="109"/>
      <c r="J296" s="109"/>
      <c r="K296" s="107"/>
      <c r="L296" s="106"/>
      <c r="M296" s="115"/>
      <c r="N296" s="106"/>
      <c r="O296" s="107"/>
      <c r="P296" s="109"/>
      <c r="Q296" s="109"/>
      <c r="R296" s="109"/>
      <c r="S296" s="109"/>
      <c r="T296" s="109"/>
      <c r="U296" s="110"/>
    </row>
    <row r="297" spans="2:21" x14ac:dyDescent="0.2">
      <c r="B297" s="104"/>
      <c r="C297" s="104"/>
      <c r="D297" s="104"/>
      <c r="E297" s="104"/>
      <c r="F297" s="104"/>
      <c r="G297" s="104"/>
      <c r="H297" s="104"/>
      <c r="I297" s="109"/>
      <c r="J297" s="109"/>
      <c r="K297" s="107"/>
      <c r="L297" s="106"/>
      <c r="M297" s="115"/>
      <c r="N297" s="106"/>
      <c r="O297" s="107"/>
      <c r="P297" s="109"/>
      <c r="Q297" s="109"/>
      <c r="R297" s="109"/>
      <c r="S297" s="109"/>
      <c r="T297" s="109"/>
      <c r="U297" s="110"/>
    </row>
    <row r="298" spans="2:21" x14ac:dyDescent="0.2">
      <c r="B298" s="104"/>
      <c r="C298" s="104"/>
      <c r="D298" s="104"/>
      <c r="E298" s="104"/>
      <c r="F298" s="104"/>
      <c r="G298" s="104"/>
      <c r="H298" s="104"/>
      <c r="I298" s="109"/>
      <c r="J298" s="109"/>
      <c r="K298" s="107"/>
      <c r="L298" s="106"/>
      <c r="M298" s="115"/>
      <c r="N298" s="106"/>
      <c r="O298" s="107"/>
      <c r="P298" s="109"/>
      <c r="Q298" s="109"/>
      <c r="R298" s="109"/>
      <c r="S298" s="109"/>
      <c r="T298" s="109"/>
      <c r="U298" s="110"/>
    </row>
    <row r="299" spans="2:21" x14ac:dyDescent="0.2">
      <c r="B299" s="104"/>
      <c r="C299" s="104"/>
      <c r="D299" s="104"/>
      <c r="E299" s="104"/>
      <c r="F299" s="104"/>
      <c r="G299" s="104"/>
      <c r="H299" s="104"/>
      <c r="I299" s="109"/>
      <c r="J299" s="109"/>
      <c r="K299" s="107"/>
      <c r="L299" s="106"/>
      <c r="M299" s="115"/>
      <c r="N299" s="106"/>
      <c r="O299" s="107"/>
      <c r="P299" s="109"/>
      <c r="Q299" s="109"/>
      <c r="R299" s="109"/>
      <c r="S299" s="109"/>
      <c r="T299" s="109"/>
      <c r="U299" s="110"/>
    </row>
    <row r="300" spans="2:21" x14ac:dyDescent="0.2">
      <c r="B300" s="104"/>
      <c r="C300" s="104"/>
      <c r="D300" s="104"/>
      <c r="E300" s="104"/>
      <c r="F300" s="104"/>
      <c r="G300" s="104"/>
      <c r="H300" s="104"/>
      <c r="I300" s="109"/>
      <c r="J300" s="109"/>
      <c r="K300" s="107"/>
      <c r="L300" s="106"/>
      <c r="M300" s="115"/>
      <c r="N300" s="106"/>
      <c r="O300" s="107"/>
      <c r="P300" s="109"/>
      <c r="Q300" s="109"/>
      <c r="R300" s="109"/>
      <c r="S300" s="109"/>
      <c r="T300" s="109"/>
      <c r="U300" s="110"/>
    </row>
    <row r="301" spans="2:21" x14ac:dyDescent="0.2">
      <c r="B301" s="104"/>
      <c r="C301" s="104"/>
      <c r="D301" s="104"/>
      <c r="E301" s="104"/>
      <c r="F301" s="104"/>
      <c r="G301" s="104"/>
      <c r="H301" s="104"/>
      <c r="I301" s="109"/>
      <c r="J301" s="109"/>
      <c r="K301" s="107"/>
      <c r="L301" s="106"/>
      <c r="M301" s="115"/>
      <c r="N301" s="106"/>
      <c r="O301" s="107"/>
      <c r="P301" s="109"/>
      <c r="Q301" s="109"/>
      <c r="R301" s="109"/>
      <c r="S301" s="109"/>
      <c r="T301" s="109"/>
      <c r="U301" s="110"/>
    </row>
    <row r="302" spans="2:21" x14ac:dyDescent="0.2">
      <c r="B302" s="104"/>
      <c r="C302" s="104"/>
      <c r="D302" s="104"/>
      <c r="E302" s="104"/>
      <c r="F302" s="104"/>
      <c r="G302" s="104"/>
      <c r="H302" s="104"/>
      <c r="I302" s="109"/>
      <c r="J302" s="109"/>
      <c r="K302" s="107"/>
      <c r="L302" s="106"/>
      <c r="M302" s="115"/>
      <c r="N302" s="106"/>
      <c r="O302" s="107"/>
      <c r="P302" s="109"/>
      <c r="Q302" s="109"/>
      <c r="R302" s="109"/>
      <c r="S302" s="109"/>
      <c r="T302" s="109"/>
      <c r="U302" s="110"/>
    </row>
    <row r="303" spans="2:21" x14ac:dyDescent="0.2">
      <c r="B303" s="104"/>
      <c r="C303" s="104"/>
      <c r="D303" s="104"/>
      <c r="E303" s="104"/>
      <c r="F303" s="104"/>
      <c r="G303" s="104"/>
      <c r="H303" s="104"/>
      <c r="I303" s="109"/>
      <c r="J303" s="109"/>
      <c r="K303" s="107"/>
      <c r="L303" s="106"/>
      <c r="M303" s="115"/>
      <c r="N303" s="106"/>
      <c r="O303" s="107"/>
      <c r="P303" s="109"/>
      <c r="Q303" s="109"/>
      <c r="R303" s="109"/>
      <c r="S303" s="109"/>
      <c r="T303" s="109"/>
      <c r="U303" s="110"/>
    </row>
    <row r="304" spans="2:21" x14ac:dyDescent="0.2">
      <c r="B304" s="104"/>
      <c r="C304" s="104"/>
      <c r="D304" s="104"/>
      <c r="E304" s="104"/>
      <c r="F304" s="104"/>
      <c r="G304" s="104"/>
      <c r="H304" s="104"/>
      <c r="I304" s="109"/>
      <c r="J304" s="109"/>
      <c r="K304" s="107"/>
      <c r="L304" s="106"/>
      <c r="M304" s="115"/>
      <c r="N304" s="106"/>
      <c r="O304" s="107"/>
      <c r="P304" s="109"/>
      <c r="Q304" s="109"/>
      <c r="R304" s="109"/>
      <c r="S304" s="109"/>
      <c r="T304" s="109"/>
      <c r="U304" s="110"/>
    </row>
    <row r="305" spans="2:21" x14ac:dyDescent="0.2">
      <c r="B305" s="104"/>
      <c r="C305" s="104"/>
      <c r="D305" s="104"/>
      <c r="E305" s="104"/>
      <c r="F305" s="104"/>
      <c r="G305" s="104"/>
      <c r="H305" s="104"/>
      <c r="I305" s="109"/>
      <c r="J305" s="109"/>
      <c r="K305" s="107"/>
      <c r="L305" s="106"/>
      <c r="M305" s="115"/>
      <c r="N305" s="106"/>
      <c r="O305" s="107"/>
      <c r="P305" s="109"/>
      <c r="Q305" s="109"/>
      <c r="R305" s="109"/>
      <c r="S305" s="109"/>
      <c r="T305" s="109"/>
      <c r="U305" s="110"/>
    </row>
    <row r="306" spans="2:21" x14ac:dyDescent="0.2">
      <c r="B306" s="104"/>
      <c r="C306" s="104"/>
      <c r="D306" s="104"/>
      <c r="E306" s="104"/>
      <c r="F306" s="104"/>
      <c r="G306" s="104"/>
      <c r="H306" s="104"/>
      <c r="I306" s="109"/>
      <c r="J306" s="109"/>
      <c r="K306" s="107"/>
      <c r="L306" s="106"/>
      <c r="M306" s="115"/>
      <c r="N306" s="106"/>
      <c r="O306" s="107"/>
      <c r="P306" s="109"/>
      <c r="Q306" s="109"/>
      <c r="R306" s="109"/>
      <c r="S306" s="109"/>
      <c r="T306" s="109"/>
      <c r="U306" s="110"/>
    </row>
    <row r="307" spans="2:21" x14ac:dyDescent="0.2">
      <c r="B307" s="104"/>
      <c r="C307" s="104"/>
      <c r="D307" s="104"/>
      <c r="E307" s="104"/>
      <c r="F307" s="104"/>
      <c r="G307" s="104"/>
      <c r="H307" s="104"/>
      <c r="I307" s="109"/>
      <c r="J307" s="109"/>
      <c r="K307" s="107"/>
      <c r="L307" s="106"/>
      <c r="M307" s="115"/>
      <c r="N307" s="106"/>
      <c r="O307" s="107"/>
      <c r="P307" s="109"/>
      <c r="Q307" s="109"/>
      <c r="R307" s="109"/>
      <c r="S307" s="109"/>
      <c r="T307" s="109"/>
      <c r="U307" s="110"/>
    </row>
    <row r="308" spans="2:21" x14ac:dyDescent="0.2">
      <c r="B308" s="104"/>
      <c r="C308" s="104"/>
      <c r="D308" s="104"/>
      <c r="E308" s="104"/>
      <c r="F308" s="104"/>
      <c r="G308" s="104"/>
      <c r="H308" s="104"/>
      <c r="I308" s="109"/>
      <c r="J308" s="109"/>
      <c r="K308" s="107"/>
      <c r="L308" s="106"/>
      <c r="M308" s="115"/>
      <c r="N308" s="106"/>
      <c r="O308" s="107"/>
      <c r="P308" s="109"/>
      <c r="Q308" s="109"/>
      <c r="R308" s="109"/>
      <c r="S308" s="109"/>
      <c r="T308" s="109"/>
      <c r="U308" s="110"/>
    </row>
    <row r="309" spans="2:21" x14ac:dyDescent="0.2">
      <c r="B309" s="104"/>
      <c r="C309" s="104"/>
      <c r="D309" s="104"/>
      <c r="E309" s="104"/>
      <c r="F309" s="104"/>
      <c r="G309" s="104"/>
      <c r="H309" s="104"/>
      <c r="I309" s="109"/>
      <c r="J309" s="109"/>
      <c r="K309" s="107"/>
      <c r="L309" s="106"/>
      <c r="M309" s="115"/>
      <c r="N309" s="106"/>
      <c r="O309" s="107"/>
      <c r="P309" s="109"/>
      <c r="Q309" s="109"/>
      <c r="R309" s="109"/>
      <c r="S309" s="109"/>
      <c r="T309" s="109"/>
      <c r="U309" s="110"/>
    </row>
    <row r="310" spans="2:21" x14ac:dyDescent="0.2">
      <c r="B310" s="104"/>
      <c r="C310" s="104"/>
      <c r="D310" s="104"/>
      <c r="E310" s="104"/>
      <c r="F310" s="104"/>
      <c r="G310" s="104"/>
      <c r="H310" s="104"/>
      <c r="I310" s="109"/>
      <c r="J310" s="109"/>
      <c r="K310" s="107"/>
      <c r="L310" s="106"/>
      <c r="M310" s="115"/>
      <c r="N310" s="106"/>
      <c r="O310" s="107"/>
      <c r="P310" s="109"/>
      <c r="Q310" s="109"/>
      <c r="R310" s="109"/>
      <c r="S310" s="109"/>
      <c r="T310" s="109"/>
      <c r="U310" s="110"/>
    </row>
    <row r="311" spans="2:21" x14ac:dyDescent="0.2">
      <c r="B311" s="104"/>
      <c r="C311" s="104"/>
      <c r="D311" s="104"/>
      <c r="E311" s="104"/>
      <c r="F311" s="104"/>
      <c r="G311" s="104"/>
      <c r="H311" s="104"/>
      <c r="I311" s="109"/>
      <c r="J311" s="109"/>
      <c r="K311" s="107"/>
      <c r="L311" s="106"/>
      <c r="M311" s="115"/>
      <c r="N311" s="106"/>
      <c r="O311" s="107"/>
      <c r="P311" s="109"/>
      <c r="Q311" s="109"/>
      <c r="R311" s="109"/>
      <c r="S311" s="109"/>
      <c r="T311" s="109"/>
      <c r="U311" s="110"/>
    </row>
    <row r="312" spans="2:21" x14ac:dyDescent="0.2">
      <c r="B312" s="104"/>
      <c r="C312" s="104"/>
      <c r="D312" s="104"/>
      <c r="E312" s="104"/>
      <c r="F312" s="104"/>
      <c r="G312" s="104"/>
      <c r="H312" s="104"/>
      <c r="I312" s="109"/>
      <c r="J312" s="109"/>
      <c r="K312" s="107"/>
      <c r="L312" s="106"/>
      <c r="M312" s="115"/>
      <c r="N312" s="106"/>
      <c r="O312" s="107"/>
      <c r="P312" s="109"/>
      <c r="Q312" s="109"/>
      <c r="R312" s="109"/>
      <c r="S312" s="109"/>
      <c r="T312" s="109"/>
      <c r="U312" s="110"/>
    </row>
    <row r="313" spans="2:21" x14ac:dyDescent="0.2">
      <c r="B313" s="104"/>
      <c r="C313" s="104"/>
      <c r="D313" s="104"/>
      <c r="E313" s="104"/>
      <c r="F313" s="104"/>
      <c r="G313" s="104"/>
      <c r="H313" s="104"/>
      <c r="I313" s="109"/>
      <c r="J313" s="109"/>
      <c r="K313" s="107"/>
      <c r="L313" s="106"/>
      <c r="M313" s="115"/>
      <c r="N313" s="106"/>
      <c r="O313" s="107"/>
      <c r="P313" s="109"/>
      <c r="Q313" s="109"/>
      <c r="R313" s="109"/>
      <c r="S313" s="109"/>
      <c r="T313" s="109"/>
      <c r="U313" s="110"/>
    </row>
    <row r="314" spans="2:21" x14ac:dyDescent="0.2">
      <c r="B314" s="104"/>
      <c r="C314" s="104"/>
      <c r="D314" s="104"/>
      <c r="E314" s="104"/>
      <c r="F314" s="104"/>
      <c r="G314" s="104"/>
      <c r="H314" s="104"/>
      <c r="I314" s="109"/>
      <c r="J314" s="109"/>
      <c r="K314" s="107"/>
      <c r="L314" s="106"/>
      <c r="M314" s="115"/>
      <c r="N314" s="106"/>
      <c r="O314" s="107"/>
      <c r="P314" s="109"/>
      <c r="Q314" s="109"/>
      <c r="R314" s="109"/>
      <c r="S314" s="109"/>
      <c r="T314" s="109"/>
      <c r="U314" s="110"/>
    </row>
    <row r="315" spans="2:21" x14ac:dyDescent="0.2">
      <c r="B315" s="104"/>
      <c r="C315" s="104"/>
      <c r="D315" s="104"/>
      <c r="E315" s="104"/>
      <c r="F315" s="104"/>
      <c r="G315" s="104"/>
      <c r="H315" s="104"/>
      <c r="I315" s="109"/>
      <c r="J315" s="109"/>
      <c r="K315" s="107"/>
      <c r="L315" s="106"/>
      <c r="M315" s="115"/>
      <c r="N315" s="106"/>
      <c r="O315" s="107"/>
      <c r="P315" s="109"/>
      <c r="Q315" s="109"/>
      <c r="R315" s="109"/>
      <c r="S315" s="109"/>
      <c r="T315" s="109"/>
      <c r="U315" s="110"/>
    </row>
    <row r="316" spans="2:21" x14ac:dyDescent="0.2">
      <c r="B316" s="104"/>
      <c r="C316" s="104"/>
      <c r="D316" s="104"/>
      <c r="E316" s="104"/>
      <c r="F316" s="104"/>
      <c r="G316" s="104"/>
      <c r="H316" s="104"/>
      <c r="I316" s="109"/>
      <c r="J316" s="109"/>
      <c r="K316" s="107"/>
      <c r="L316" s="106"/>
      <c r="M316" s="115"/>
      <c r="N316" s="106"/>
      <c r="O316" s="107"/>
      <c r="P316" s="109"/>
      <c r="Q316" s="109"/>
      <c r="R316" s="109"/>
      <c r="S316" s="109"/>
      <c r="T316" s="109"/>
      <c r="U316" s="110"/>
    </row>
    <row r="317" spans="2:21" x14ac:dyDescent="0.2">
      <c r="B317" s="104"/>
      <c r="C317" s="104"/>
      <c r="D317" s="104"/>
      <c r="E317" s="104"/>
      <c r="F317" s="104"/>
      <c r="G317" s="104"/>
      <c r="H317" s="104"/>
      <c r="I317" s="109"/>
      <c r="J317" s="109"/>
      <c r="K317" s="107"/>
      <c r="L317" s="106"/>
      <c r="M317" s="115"/>
      <c r="N317" s="106"/>
      <c r="O317" s="107"/>
      <c r="P317" s="109"/>
      <c r="Q317" s="109"/>
      <c r="R317" s="109"/>
      <c r="S317" s="109"/>
      <c r="T317" s="109"/>
      <c r="U317" s="110"/>
    </row>
    <row r="318" spans="2:21" x14ac:dyDescent="0.2">
      <c r="B318" s="104"/>
      <c r="C318" s="104"/>
      <c r="D318" s="104"/>
      <c r="E318" s="104"/>
      <c r="F318" s="104"/>
      <c r="G318" s="104"/>
      <c r="H318" s="104"/>
      <c r="I318" s="109"/>
      <c r="J318" s="109"/>
      <c r="K318" s="107"/>
      <c r="L318" s="106"/>
      <c r="M318" s="115"/>
      <c r="N318" s="106"/>
      <c r="O318" s="107"/>
      <c r="P318" s="109"/>
      <c r="Q318" s="109"/>
      <c r="R318" s="109"/>
      <c r="S318" s="109"/>
      <c r="T318" s="109"/>
      <c r="U318" s="110"/>
    </row>
    <row r="319" spans="2:21" x14ac:dyDescent="0.2">
      <c r="B319" s="104"/>
      <c r="C319" s="104"/>
      <c r="D319" s="104"/>
      <c r="E319" s="104"/>
      <c r="F319" s="104"/>
      <c r="G319" s="104"/>
      <c r="H319" s="104"/>
      <c r="I319" s="109"/>
      <c r="J319" s="109"/>
      <c r="K319" s="107"/>
      <c r="L319" s="106"/>
      <c r="M319" s="115"/>
      <c r="N319" s="106"/>
      <c r="O319" s="107"/>
      <c r="P319" s="109"/>
      <c r="Q319" s="109"/>
      <c r="R319" s="109"/>
      <c r="S319" s="109"/>
      <c r="T319" s="109"/>
      <c r="U319" s="110"/>
    </row>
    <row r="320" spans="2:21" x14ac:dyDescent="0.2">
      <c r="B320" s="104"/>
      <c r="C320" s="104"/>
      <c r="D320" s="104"/>
      <c r="E320" s="104"/>
      <c r="F320" s="104"/>
      <c r="G320" s="104"/>
      <c r="H320" s="104"/>
      <c r="I320" s="109"/>
      <c r="J320" s="109"/>
      <c r="K320" s="107"/>
      <c r="L320" s="106"/>
      <c r="M320" s="115"/>
      <c r="N320" s="106"/>
      <c r="O320" s="107"/>
      <c r="P320" s="109"/>
      <c r="Q320" s="109"/>
      <c r="R320" s="109"/>
      <c r="S320" s="109"/>
      <c r="T320" s="109"/>
      <c r="U320" s="110"/>
    </row>
    <row r="321" spans="2:21" x14ac:dyDescent="0.2">
      <c r="B321" s="104"/>
      <c r="C321" s="104"/>
      <c r="D321" s="104"/>
      <c r="E321" s="104"/>
      <c r="F321" s="104"/>
      <c r="G321" s="104"/>
      <c r="H321" s="104"/>
      <c r="I321" s="109"/>
      <c r="J321" s="109"/>
      <c r="K321" s="107"/>
      <c r="L321" s="106"/>
      <c r="M321" s="115"/>
      <c r="N321" s="106"/>
      <c r="O321" s="107"/>
      <c r="P321" s="109"/>
      <c r="Q321" s="109"/>
      <c r="R321" s="109"/>
      <c r="S321" s="109"/>
      <c r="T321" s="109"/>
      <c r="U321" s="110"/>
    </row>
    <row r="322" spans="2:21" x14ac:dyDescent="0.2">
      <c r="B322" s="104"/>
      <c r="C322" s="104"/>
      <c r="D322" s="104"/>
      <c r="E322" s="104"/>
      <c r="F322" s="104"/>
      <c r="G322" s="104"/>
      <c r="H322" s="104"/>
      <c r="I322" s="109"/>
      <c r="J322" s="109"/>
      <c r="K322" s="107"/>
      <c r="L322" s="106"/>
      <c r="M322" s="115"/>
      <c r="N322" s="106"/>
      <c r="O322" s="107"/>
      <c r="P322" s="109"/>
      <c r="Q322" s="109"/>
      <c r="R322" s="109"/>
      <c r="S322" s="109"/>
      <c r="T322" s="109"/>
      <c r="U322" s="110"/>
    </row>
    <row r="323" spans="2:21" x14ac:dyDescent="0.2">
      <c r="B323" s="104"/>
      <c r="C323" s="104"/>
      <c r="D323" s="104"/>
      <c r="E323" s="104"/>
      <c r="F323" s="104"/>
      <c r="G323" s="104"/>
      <c r="H323" s="104"/>
      <c r="I323" s="109"/>
      <c r="J323" s="109"/>
      <c r="K323" s="107"/>
      <c r="L323" s="106"/>
      <c r="M323" s="115"/>
      <c r="N323" s="106"/>
      <c r="O323" s="107"/>
      <c r="P323" s="109"/>
      <c r="Q323" s="109"/>
      <c r="R323" s="109"/>
      <c r="S323" s="109"/>
      <c r="T323" s="109"/>
      <c r="U323" s="110"/>
    </row>
    <row r="324" spans="2:21" x14ac:dyDescent="0.2">
      <c r="B324" s="104"/>
      <c r="C324" s="104"/>
      <c r="D324" s="104"/>
      <c r="E324" s="104"/>
      <c r="F324" s="104"/>
      <c r="G324" s="104"/>
      <c r="H324" s="104"/>
      <c r="I324" s="109"/>
      <c r="J324" s="109"/>
      <c r="K324" s="107"/>
      <c r="L324" s="106"/>
      <c r="M324" s="115"/>
      <c r="N324" s="106"/>
      <c r="O324" s="107"/>
      <c r="P324" s="109"/>
      <c r="Q324" s="109"/>
      <c r="R324" s="109"/>
      <c r="S324" s="109"/>
      <c r="T324" s="109"/>
      <c r="U324" s="110"/>
    </row>
    <row r="325" spans="2:21" x14ac:dyDescent="0.2">
      <c r="B325" s="104"/>
      <c r="C325" s="104"/>
      <c r="D325" s="104"/>
      <c r="E325" s="104"/>
      <c r="F325" s="104"/>
      <c r="G325" s="104"/>
      <c r="H325" s="104"/>
      <c r="I325" s="109"/>
      <c r="J325" s="109"/>
      <c r="K325" s="107"/>
      <c r="L325" s="106"/>
      <c r="M325" s="115"/>
      <c r="N325" s="106"/>
      <c r="O325" s="107"/>
      <c r="P325" s="109"/>
      <c r="Q325" s="109"/>
      <c r="R325" s="109"/>
      <c r="S325" s="109"/>
      <c r="T325" s="109"/>
      <c r="U325" s="110"/>
    </row>
    <row r="326" spans="2:21" x14ac:dyDescent="0.2">
      <c r="B326" s="104"/>
      <c r="C326" s="104"/>
      <c r="D326" s="104"/>
      <c r="E326" s="104"/>
      <c r="F326" s="104"/>
      <c r="G326" s="104"/>
      <c r="H326" s="104"/>
      <c r="I326" s="109"/>
      <c r="J326" s="109"/>
      <c r="K326" s="107"/>
      <c r="L326" s="106"/>
      <c r="M326" s="115"/>
      <c r="N326" s="106"/>
      <c r="O326" s="107"/>
      <c r="P326" s="109"/>
      <c r="Q326" s="109"/>
      <c r="R326" s="109"/>
      <c r="S326" s="109"/>
      <c r="T326" s="109"/>
      <c r="U326" s="110"/>
    </row>
    <row r="327" spans="2:21" x14ac:dyDescent="0.2">
      <c r="B327" s="104"/>
      <c r="C327" s="104"/>
      <c r="D327" s="104"/>
      <c r="E327" s="104"/>
      <c r="F327" s="104"/>
      <c r="G327" s="104"/>
      <c r="H327" s="104"/>
      <c r="I327" s="109"/>
      <c r="J327" s="109"/>
      <c r="K327" s="107"/>
      <c r="L327" s="106"/>
      <c r="M327" s="115"/>
      <c r="N327" s="106"/>
      <c r="O327" s="107"/>
      <c r="P327" s="109"/>
      <c r="Q327" s="109"/>
      <c r="R327" s="109"/>
      <c r="S327" s="109"/>
      <c r="T327" s="109"/>
      <c r="U327" s="110"/>
    </row>
    <row r="328" spans="2:21" x14ac:dyDescent="0.2">
      <c r="B328" s="104"/>
      <c r="C328" s="104"/>
      <c r="D328" s="104"/>
      <c r="E328" s="104"/>
      <c r="F328" s="104"/>
      <c r="G328" s="104"/>
      <c r="H328" s="104"/>
      <c r="I328" s="109"/>
      <c r="J328" s="109"/>
      <c r="K328" s="107"/>
      <c r="L328" s="106"/>
      <c r="M328" s="115"/>
      <c r="N328" s="106"/>
      <c r="O328" s="107"/>
      <c r="P328" s="109"/>
      <c r="Q328" s="109"/>
      <c r="R328" s="109"/>
      <c r="S328" s="109"/>
      <c r="T328" s="109"/>
      <c r="U328" s="110"/>
    </row>
    <row r="329" spans="2:21" x14ac:dyDescent="0.2">
      <c r="B329" s="104"/>
      <c r="C329" s="104"/>
      <c r="D329" s="104"/>
      <c r="E329" s="104"/>
      <c r="F329" s="104"/>
      <c r="G329" s="104"/>
      <c r="H329" s="104"/>
      <c r="I329" s="109"/>
      <c r="J329" s="109"/>
      <c r="K329" s="107"/>
      <c r="L329" s="106"/>
      <c r="M329" s="115"/>
      <c r="N329" s="106"/>
      <c r="O329" s="107"/>
      <c r="P329" s="109"/>
      <c r="Q329" s="109"/>
      <c r="R329" s="109"/>
      <c r="S329" s="109"/>
      <c r="T329" s="109"/>
      <c r="U329" s="110"/>
    </row>
    <row r="330" spans="2:21" x14ac:dyDescent="0.2">
      <c r="B330" s="104"/>
      <c r="C330" s="104"/>
      <c r="D330" s="104"/>
      <c r="E330" s="104"/>
      <c r="F330" s="104"/>
      <c r="G330" s="104"/>
      <c r="H330" s="104"/>
      <c r="I330" s="109"/>
      <c r="J330" s="109"/>
      <c r="K330" s="107"/>
      <c r="L330" s="106"/>
      <c r="M330" s="115"/>
      <c r="N330" s="106"/>
      <c r="O330" s="107"/>
      <c r="P330" s="109"/>
      <c r="Q330" s="109"/>
      <c r="R330" s="109"/>
      <c r="S330" s="109"/>
      <c r="T330" s="109"/>
      <c r="U330" s="110"/>
    </row>
    <row r="331" spans="2:21" x14ac:dyDescent="0.2">
      <c r="B331" s="104"/>
      <c r="C331" s="104"/>
      <c r="D331" s="104"/>
      <c r="E331" s="104"/>
      <c r="F331" s="104"/>
      <c r="G331" s="104"/>
      <c r="H331" s="104"/>
      <c r="I331" s="109"/>
      <c r="J331" s="109"/>
      <c r="K331" s="107"/>
      <c r="L331" s="106"/>
      <c r="M331" s="115"/>
      <c r="N331" s="106"/>
      <c r="O331" s="107"/>
      <c r="P331" s="109"/>
      <c r="Q331" s="109"/>
      <c r="R331" s="109"/>
      <c r="S331" s="109"/>
      <c r="T331" s="109"/>
      <c r="U331" s="110"/>
    </row>
    <row r="332" spans="2:21" x14ac:dyDescent="0.2">
      <c r="B332" s="104"/>
      <c r="C332" s="104"/>
      <c r="D332" s="104"/>
      <c r="E332" s="104"/>
      <c r="F332" s="104"/>
      <c r="G332" s="104"/>
      <c r="H332" s="104"/>
      <c r="I332" s="109"/>
      <c r="J332" s="109"/>
      <c r="K332" s="107"/>
      <c r="L332" s="106"/>
      <c r="M332" s="115"/>
      <c r="N332" s="106"/>
      <c r="O332" s="107"/>
      <c r="P332" s="109"/>
      <c r="Q332" s="109"/>
      <c r="R332" s="109"/>
      <c r="S332" s="109"/>
      <c r="T332" s="109"/>
      <c r="U332" s="110"/>
    </row>
    <row r="333" spans="2:21" x14ac:dyDescent="0.2">
      <c r="B333" s="104"/>
      <c r="C333" s="104"/>
      <c r="D333" s="104"/>
      <c r="E333" s="104"/>
      <c r="F333" s="104"/>
      <c r="G333" s="104"/>
      <c r="H333" s="104"/>
      <c r="I333" s="109"/>
      <c r="J333" s="109"/>
      <c r="K333" s="107"/>
      <c r="L333" s="106"/>
      <c r="M333" s="115"/>
      <c r="N333" s="106"/>
      <c r="O333" s="107"/>
      <c r="P333" s="109"/>
      <c r="Q333" s="109"/>
      <c r="R333" s="109"/>
      <c r="S333" s="109"/>
      <c r="T333" s="109"/>
      <c r="U333" s="110"/>
    </row>
    <row r="334" spans="2:21" x14ac:dyDescent="0.2">
      <c r="B334" s="104"/>
      <c r="C334" s="104"/>
      <c r="D334" s="104"/>
      <c r="E334" s="104"/>
      <c r="F334" s="104"/>
      <c r="G334" s="104"/>
      <c r="H334" s="104"/>
      <c r="I334" s="109"/>
      <c r="J334" s="109"/>
      <c r="K334" s="107"/>
      <c r="L334" s="106"/>
      <c r="M334" s="115"/>
      <c r="N334" s="106"/>
      <c r="O334" s="107"/>
      <c r="P334" s="109"/>
      <c r="Q334" s="109"/>
      <c r="R334" s="109"/>
      <c r="S334" s="109"/>
      <c r="T334" s="109"/>
      <c r="U334" s="110"/>
    </row>
    <row r="335" spans="2:21" x14ac:dyDescent="0.2">
      <c r="B335" s="104"/>
      <c r="C335" s="104"/>
      <c r="D335" s="104"/>
      <c r="E335" s="104"/>
      <c r="F335" s="104"/>
      <c r="G335" s="104"/>
      <c r="H335" s="104"/>
      <c r="I335" s="109"/>
      <c r="J335" s="109"/>
      <c r="K335" s="107"/>
      <c r="L335" s="106"/>
      <c r="M335" s="115"/>
      <c r="N335" s="106"/>
      <c r="O335" s="107"/>
      <c r="P335" s="109"/>
      <c r="Q335" s="109"/>
      <c r="R335" s="109"/>
      <c r="S335" s="109"/>
      <c r="T335" s="109"/>
      <c r="U335" s="110"/>
    </row>
    <row r="336" spans="2:21" x14ac:dyDescent="0.2">
      <c r="B336" s="104"/>
      <c r="C336" s="104"/>
      <c r="D336" s="104"/>
      <c r="E336" s="104"/>
      <c r="F336" s="104"/>
      <c r="G336" s="104"/>
      <c r="H336" s="104"/>
      <c r="I336" s="109"/>
      <c r="J336" s="109"/>
      <c r="K336" s="107"/>
      <c r="L336" s="106"/>
      <c r="M336" s="115"/>
      <c r="N336" s="106"/>
      <c r="O336" s="107"/>
      <c r="P336" s="109"/>
      <c r="Q336" s="109"/>
      <c r="R336" s="109"/>
      <c r="S336" s="109"/>
      <c r="T336" s="109"/>
      <c r="U336" s="110"/>
    </row>
    <row r="337" spans="2:21" x14ac:dyDescent="0.2">
      <c r="B337" s="104"/>
      <c r="C337" s="104"/>
      <c r="D337" s="104"/>
      <c r="E337" s="104"/>
      <c r="F337" s="104"/>
      <c r="G337" s="104"/>
      <c r="H337" s="104"/>
      <c r="I337" s="109"/>
      <c r="J337" s="109"/>
      <c r="K337" s="107"/>
      <c r="L337" s="106"/>
      <c r="M337" s="115"/>
      <c r="N337" s="106"/>
      <c r="O337" s="107"/>
      <c r="P337" s="109"/>
      <c r="Q337" s="109"/>
      <c r="R337" s="109"/>
      <c r="S337" s="109"/>
      <c r="T337" s="109"/>
      <c r="U337" s="110"/>
    </row>
    <row r="338" spans="2:21" x14ac:dyDescent="0.2">
      <c r="B338" s="104"/>
      <c r="C338" s="104"/>
      <c r="D338" s="104"/>
      <c r="E338" s="104"/>
      <c r="F338" s="104"/>
      <c r="G338" s="104"/>
      <c r="H338" s="104"/>
      <c r="I338" s="109"/>
      <c r="J338" s="109"/>
      <c r="K338" s="107"/>
      <c r="L338" s="106"/>
      <c r="M338" s="115"/>
      <c r="N338" s="106"/>
      <c r="O338" s="107"/>
      <c r="P338" s="109"/>
      <c r="Q338" s="109"/>
      <c r="R338" s="109"/>
      <c r="S338" s="109"/>
      <c r="T338" s="109"/>
      <c r="U338" s="110"/>
    </row>
    <row r="339" spans="2:21" x14ac:dyDescent="0.2">
      <c r="B339" s="104"/>
      <c r="C339" s="104"/>
      <c r="D339" s="104"/>
      <c r="E339" s="104"/>
      <c r="F339" s="104"/>
      <c r="G339" s="104"/>
      <c r="H339" s="104"/>
      <c r="I339" s="109"/>
      <c r="J339" s="109"/>
      <c r="K339" s="107"/>
      <c r="L339" s="106"/>
      <c r="M339" s="115"/>
      <c r="N339" s="106"/>
      <c r="O339" s="107"/>
      <c r="P339" s="109"/>
      <c r="Q339" s="109"/>
      <c r="R339" s="109"/>
      <c r="S339" s="109"/>
      <c r="T339" s="109"/>
      <c r="U339" s="110"/>
    </row>
    <row r="340" spans="2:21" x14ac:dyDescent="0.2">
      <c r="B340" s="104"/>
      <c r="C340" s="104"/>
      <c r="D340" s="104"/>
      <c r="E340" s="104"/>
      <c r="F340" s="104"/>
      <c r="G340" s="104"/>
      <c r="H340" s="104"/>
      <c r="I340" s="109"/>
      <c r="J340" s="109"/>
      <c r="K340" s="107"/>
      <c r="L340" s="106"/>
      <c r="M340" s="115"/>
      <c r="N340" s="106"/>
      <c r="O340" s="107"/>
      <c r="P340" s="109"/>
      <c r="Q340" s="109"/>
      <c r="R340" s="109"/>
      <c r="S340" s="109"/>
      <c r="T340" s="109"/>
      <c r="U340" s="110"/>
    </row>
    <row r="341" spans="2:21" x14ac:dyDescent="0.2">
      <c r="B341" s="104"/>
      <c r="C341" s="104"/>
      <c r="D341" s="104"/>
      <c r="E341" s="104"/>
      <c r="F341" s="104"/>
      <c r="G341" s="104"/>
      <c r="H341" s="104"/>
      <c r="I341" s="109"/>
      <c r="J341" s="109"/>
      <c r="K341" s="107"/>
      <c r="L341" s="106"/>
      <c r="M341" s="115"/>
      <c r="N341" s="106"/>
      <c r="O341" s="107"/>
      <c r="P341" s="109"/>
      <c r="Q341" s="109"/>
      <c r="R341" s="109"/>
      <c r="S341" s="109"/>
      <c r="T341" s="109"/>
      <c r="U341" s="110"/>
    </row>
    <row r="342" spans="2:21" x14ac:dyDescent="0.2">
      <c r="B342" s="104"/>
      <c r="C342" s="104"/>
      <c r="D342" s="104"/>
      <c r="E342" s="104"/>
      <c r="F342" s="104"/>
      <c r="G342" s="104"/>
      <c r="H342" s="104"/>
      <c r="I342" s="109"/>
      <c r="J342" s="109"/>
      <c r="K342" s="107"/>
      <c r="L342" s="106"/>
      <c r="M342" s="115"/>
      <c r="N342" s="106"/>
      <c r="O342" s="107"/>
      <c r="P342" s="109"/>
      <c r="Q342" s="109"/>
      <c r="R342" s="109"/>
      <c r="S342" s="109"/>
      <c r="T342" s="109"/>
      <c r="U342" s="110"/>
    </row>
    <row r="343" spans="2:21" x14ac:dyDescent="0.2">
      <c r="B343" s="104"/>
      <c r="C343" s="104"/>
      <c r="D343" s="104"/>
      <c r="E343" s="104"/>
      <c r="F343" s="104"/>
      <c r="G343" s="104"/>
      <c r="H343" s="104"/>
      <c r="I343" s="109"/>
      <c r="J343" s="109"/>
      <c r="K343" s="107"/>
      <c r="L343" s="106"/>
      <c r="M343" s="115"/>
      <c r="N343" s="106"/>
      <c r="O343" s="107"/>
      <c r="P343" s="109"/>
      <c r="Q343" s="109"/>
      <c r="R343" s="109"/>
      <c r="S343" s="109"/>
      <c r="T343" s="109"/>
      <c r="U343" s="110"/>
    </row>
    <row r="344" spans="2:21" x14ac:dyDescent="0.2">
      <c r="B344" s="104"/>
      <c r="C344" s="104"/>
      <c r="D344" s="104"/>
      <c r="E344" s="104"/>
      <c r="F344" s="104"/>
      <c r="G344" s="104"/>
      <c r="H344" s="104"/>
      <c r="I344" s="109"/>
      <c r="J344" s="109"/>
      <c r="K344" s="107"/>
      <c r="L344" s="106"/>
      <c r="M344" s="115"/>
      <c r="N344" s="106"/>
      <c r="O344" s="107"/>
      <c r="P344" s="109"/>
      <c r="Q344" s="109"/>
      <c r="R344" s="109"/>
      <c r="S344" s="109"/>
      <c r="T344" s="109"/>
      <c r="U344" s="110"/>
    </row>
    <row r="345" spans="2:21" x14ac:dyDescent="0.2">
      <c r="B345" s="104"/>
      <c r="C345" s="104"/>
      <c r="D345" s="104"/>
      <c r="E345" s="104"/>
      <c r="F345" s="104"/>
      <c r="G345" s="104"/>
      <c r="H345" s="104"/>
      <c r="I345" s="109"/>
      <c r="J345" s="109"/>
      <c r="K345" s="107"/>
      <c r="L345" s="106"/>
      <c r="M345" s="115"/>
      <c r="N345" s="106"/>
      <c r="O345" s="107"/>
      <c r="P345" s="109"/>
      <c r="Q345" s="109"/>
      <c r="R345" s="109"/>
      <c r="S345" s="109"/>
      <c r="T345" s="109"/>
      <c r="U345" s="110"/>
    </row>
    <row r="346" spans="2:21" x14ac:dyDescent="0.2">
      <c r="B346" s="104"/>
      <c r="C346" s="104"/>
      <c r="D346" s="104"/>
      <c r="E346" s="104"/>
      <c r="F346" s="104"/>
      <c r="G346" s="104"/>
      <c r="H346" s="104"/>
      <c r="I346" s="109"/>
      <c r="J346" s="109"/>
      <c r="K346" s="107"/>
      <c r="L346" s="106"/>
      <c r="M346" s="115"/>
      <c r="N346" s="106"/>
      <c r="O346" s="107"/>
      <c r="P346" s="109"/>
      <c r="Q346" s="109"/>
      <c r="R346" s="109"/>
      <c r="S346" s="109"/>
      <c r="T346" s="109"/>
      <c r="U346" s="110"/>
    </row>
    <row r="347" spans="2:21" x14ac:dyDescent="0.2">
      <c r="B347" s="104"/>
      <c r="C347" s="104"/>
      <c r="D347" s="104"/>
      <c r="E347" s="104"/>
      <c r="F347" s="104"/>
      <c r="G347" s="104"/>
      <c r="H347" s="104"/>
      <c r="I347" s="109"/>
      <c r="J347" s="109"/>
      <c r="K347" s="107"/>
      <c r="L347" s="106"/>
      <c r="M347" s="115"/>
      <c r="N347" s="106"/>
      <c r="O347" s="107"/>
      <c r="P347" s="109"/>
      <c r="Q347" s="109"/>
      <c r="R347" s="109"/>
      <c r="S347" s="109"/>
      <c r="T347" s="109"/>
      <c r="U347" s="110"/>
    </row>
    <row r="348" spans="2:21" x14ac:dyDescent="0.2">
      <c r="B348" s="104"/>
      <c r="C348" s="104"/>
      <c r="D348" s="104"/>
      <c r="E348" s="104"/>
      <c r="F348" s="104"/>
      <c r="G348" s="104"/>
      <c r="H348" s="104"/>
      <c r="I348" s="109"/>
      <c r="J348" s="109"/>
      <c r="K348" s="107"/>
      <c r="L348" s="106"/>
      <c r="M348" s="115"/>
      <c r="N348" s="106"/>
      <c r="O348" s="107"/>
      <c r="P348" s="109"/>
      <c r="Q348" s="109"/>
      <c r="R348" s="109"/>
      <c r="S348" s="109"/>
      <c r="T348" s="109"/>
      <c r="U348" s="110"/>
    </row>
    <row r="349" spans="2:21" x14ac:dyDescent="0.2">
      <c r="B349" s="104"/>
      <c r="C349" s="104"/>
      <c r="D349" s="104"/>
      <c r="E349" s="104"/>
      <c r="F349" s="104"/>
      <c r="G349" s="104"/>
      <c r="H349" s="104"/>
      <c r="I349" s="109"/>
      <c r="J349" s="109"/>
      <c r="K349" s="107"/>
      <c r="L349" s="106"/>
      <c r="M349" s="115"/>
      <c r="N349" s="106"/>
      <c r="O349" s="107"/>
      <c r="P349" s="109"/>
      <c r="Q349" s="109"/>
      <c r="R349" s="109"/>
      <c r="S349" s="109"/>
      <c r="T349" s="109"/>
      <c r="U349" s="110"/>
    </row>
    <row r="350" spans="2:21" x14ac:dyDescent="0.2">
      <c r="B350" s="104"/>
      <c r="C350" s="104"/>
      <c r="D350" s="104"/>
      <c r="E350" s="104"/>
      <c r="F350" s="104"/>
      <c r="G350" s="104"/>
      <c r="H350" s="104"/>
      <c r="I350" s="109"/>
      <c r="J350" s="109"/>
      <c r="K350" s="107"/>
      <c r="L350" s="106"/>
      <c r="M350" s="115"/>
      <c r="N350" s="106"/>
      <c r="O350" s="107"/>
      <c r="P350" s="109"/>
      <c r="Q350" s="109"/>
      <c r="R350" s="109"/>
      <c r="S350" s="109"/>
      <c r="T350" s="109"/>
      <c r="U350" s="110"/>
    </row>
    <row r="351" spans="2:21" x14ac:dyDescent="0.2">
      <c r="B351" s="104"/>
      <c r="C351" s="104"/>
      <c r="D351" s="104"/>
      <c r="E351" s="104"/>
      <c r="F351" s="104"/>
      <c r="G351" s="104"/>
      <c r="H351" s="104"/>
      <c r="I351" s="109"/>
      <c r="J351" s="109"/>
      <c r="K351" s="107"/>
      <c r="L351" s="106"/>
      <c r="M351" s="115"/>
      <c r="N351" s="106"/>
      <c r="O351" s="107"/>
      <c r="P351" s="109"/>
      <c r="Q351" s="109"/>
      <c r="R351" s="109"/>
      <c r="S351" s="109"/>
      <c r="T351" s="109"/>
      <c r="U351" s="110"/>
    </row>
    <row r="352" spans="2:21" x14ac:dyDescent="0.2">
      <c r="B352" s="104"/>
      <c r="C352" s="104"/>
      <c r="D352" s="104"/>
      <c r="E352" s="104"/>
      <c r="F352" s="104"/>
      <c r="G352" s="104"/>
      <c r="H352" s="104"/>
      <c r="I352" s="109"/>
      <c r="J352" s="109"/>
      <c r="K352" s="107"/>
      <c r="L352" s="106"/>
      <c r="M352" s="115"/>
      <c r="N352" s="106"/>
      <c r="O352" s="107"/>
      <c r="P352" s="109"/>
      <c r="Q352" s="109"/>
      <c r="R352" s="109"/>
      <c r="S352" s="109"/>
      <c r="T352" s="109"/>
      <c r="U352" s="110"/>
    </row>
    <row r="353" spans="2:21" x14ac:dyDescent="0.2">
      <c r="B353" s="104"/>
      <c r="C353" s="104"/>
      <c r="D353" s="104"/>
      <c r="E353" s="104"/>
      <c r="F353" s="104"/>
      <c r="G353" s="104"/>
      <c r="H353" s="104"/>
      <c r="I353" s="109"/>
      <c r="J353" s="109"/>
      <c r="K353" s="107"/>
      <c r="L353" s="106"/>
      <c r="M353" s="115"/>
      <c r="N353" s="106"/>
      <c r="O353" s="107"/>
      <c r="P353" s="109"/>
      <c r="Q353" s="109"/>
      <c r="R353" s="109"/>
      <c r="S353" s="109"/>
      <c r="T353" s="109"/>
      <c r="U353" s="110"/>
    </row>
    <row r="354" spans="2:21" x14ac:dyDescent="0.2">
      <c r="B354" s="104"/>
      <c r="C354" s="104"/>
      <c r="D354" s="104"/>
      <c r="E354" s="104"/>
      <c r="F354" s="104"/>
      <c r="G354" s="104"/>
      <c r="H354" s="104"/>
      <c r="I354" s="109"/>
      <c r="J354" s="109"/>
      <c r="K354" s="107"/>
      <c r="L354" s="106"/>
      <c r="M354" s="115"/>
      <c r="N354" s="106"/>
      <c r="O354" s="107"/>
      <c r="P354" s="109"/>
      <c r="Q354" s="109"/>
      <c r="R354" s="109"/>
      <c r="S354" s="109"/>
      <c r="T354" s="109"/>
      <c r="U354" s="110"/>
    </row>
    <row r="355" spans="2:21" x14ac:dyDescent="0.2">
      <c r="B355" s="104"/>
      <c r="C355" s="104"/>
      <c r="D355" s="104"/>
      <c r="E355" s="104"/>
      <c r="F355" s="104"/>
      <c r="G355" s="104"/>
      <c r="H355" s="104"/>
      <c r="I355" s="109"/>
      <c r="J355" s="109"/>
      <c r="K355" s="107"/>
      <c r="L355" s="106"/>
      <c r="M355" s="115"/>
      <c r="N355" s="106"/>
      <c r="O355" s="107"/>
      <c r="P355" s="109"/>
      <c r="Q355" s="109"/>
      <c r="R355" s="109"/>
      <c r="S355" s="109"/>
      <c r="T355" s="109"/>
      <c r="U355" s="110"/>
    </row>
    <row r="356" spans="2:21" x14ac:dyDescent="0.2">
      <c r="B356" s="104"/>
      <c r="C356" s="104"/>
      <c r="D356" s="104"/>
      <c r="E356" s="104"/>
      <c r="F356" s="104"/>
      <c r="G356" s="104"/>
      <c r="H356" s="104"/>
      <c r="I356" s="109"/>
      <c r="J356" s="109"/>
      <c r="K356" s="107"/>
      <c r="L356" s="106"/>
      <c r="M356" s="115"/>
      <c r="N356" s="106"/>
      <c r="O356" s="107"/>
      <c r="P356" s="109"/>
      <c r="Q356" s="109"/>
      <c r="R356" s="109"/>
      <c r="S356" s="109"/>
      <c r="T356" s="109"/>
      <c r="U356" s="110"/>
    </row>
    <row r="357" spans="2:21" x14ac:dyDescent="0.2">
      <c r="B357" s="104"/>
      <c r="C357" s="104"/>
      <c r="D357" s="104"/>
      <c r="E357" s="104"/>
      <c r="F357" s="104"/>
      <c r="G357" s="104"/>
      <c r="H357" s="104"/>
      <c r="I357" s="109"/>
      <c r="J357" s="109"/>
      <c r="K357" s="107"/>
      <c r="L357" s="106"/>
      <c r="M357" s="115"/>
      <c r="N357" s="106"/>
      <c r="O357" s="107"/>
      <c r="P357" s="109"/>
      <c r="Q357" s="109"/>
      <c r="R357" s="109"/>
      <c r="S357" s="109"/>
      <c r="T357" s="109"/>
      <c r="U357" s="110"/>
    </row>
    <row r="358" spans="2:21" x14ac:dyDescent="0.2">
      <c r="B358" s="104"/>
      <c r="C358" s="104"/>
      <c r="D358" s="104"/>
      <c r="E358" s="104"/>
      <c r="F358" s="104"/>
      <c r="G358" s="104"/>
      <c r="H358" s="104"/>
      <c r="I358" s="109"/>
      <c r="J358" s="109"/>
      <c r="K358" s="107"/>
      <c r="L358" s="106"/>
      <c r="M358" s="115"/>
      <c r="N358" s="106"/>
      <c r="O358" s="107"/>
      <c r="P358" s="109"/>
      <c r="Q358" s="109"/>
      <c r="R358" s="109"/>
      <c r="S358" s="109"/>
      <c r="T358" s="109"/>
      <c r="U358" s="110"/>
    </row>
    <row r="359" spans="2:21" x14ac:dyDescent="0.2">
      <c r="B359" s="104"/>
      <c r="C359" s="104"/>
      <c r="D359" s="104"/>
      <c r="E359" s="104"/>
      <c r="F359" s="104"/>
      <c r="G359" s="104"/>
      <c r="H359" s="104"/>
      <c r="I359" s="109"/>
      <c r="J359" s="109"/>
      <c r="K359" s="107"/>
      <c r="L359" s="106"/>
      <c r="M359" s="115"/>
      <c r="N359" s="106"/>
      <c r="O359" s="107"/>
      <c r="P359" s="109"/>
      <c r="Q359" s="109"/>
      <c r="R359" s="109"/>
      <c r="S359" s="109"/>
      <c r="T359" s="109"/>
      <c r="U359" s="110"/>
    </row>
    <row r="360" spans="2:21" x14ac:dyDescent="0.2">
      <c r="B360" s="104"/>
      <c r="C360" s="104"/>
      <c r="D360" s="104"/>
      <c r="E360" s="104"/>
      <c r="F360" s="104"/>
      <c r="G360" s="104"/>
      <c r="H360" s="104"/>
      <c r="I360" s="109"/>
      <c r="J360" s="109"/>
      <c r="K360" s="107"/>
      <c r="L360" s="106"/>
      <c r="M360" s="115"/>
      <c r="N360" s="106"/>
      <c r="O360" s="107"/>
      <c r="P360" s="109"/>
      <c r="Q360" s="109"/>
      <c r="R360" s="109"/>
      <c r="S360" s="109"/>
      <c r="T360" s="109"/>
      <c r="U360" s="110"/>
    </row>
    <row r="361" spans="2:21" x14ac:dyDescent="0.2">
      <c r="B361" s="104"/>
      <c r="C361" s="104"/>
      <c r="D361" s="104"/>
      <c r="E361" s="104"/>
      <c r="F361" s="104"/>
      <c r="G361" s="104"/>
      <c r="H361" s="104"/>
      <c r="I361" s="109"/>
      <c r="J361" s="109"/>
      <c r="K361" s="107"/>
      <c r="L361" s="106"/>
      <c r="M361" s="115"/>
      <c r="N361" s="106"/>
      <c r="O361" s="107"/>
      <c r="P361" s="109"/>
      <c r="Q361" s="109"/>
      <c r="R361" s="109"/>
      <c r="S361" s="109"/>
      <c r="T361" s="109"/>
      <c r="U361" s="110"/>
    </row>
    <row r="362" spans="2:21" x14ac:dyDescent="0.2">
      <c r="B362" s="104"/>
      <c r="C362" s="104"/>
      <c r="D362" s="104"/>
      <c r="E362" s="104"/>
      <c r="F362" s="104"/>
      <c r="G362" s="104"/>
      <c r="H362" s="104"/>
      <c r="I362" s="109"/>
      <c r="J362" s="109"/>
      <c r="K362" s="107"/>
      <c r="L362" s="106"/>
      <c r="M362" s="115"/>
      <c r="N362" s="106"/>
      <c r="O362" s="107"/>
      <c r="P362" s="109"/>
      <c r="Q362" s="109"/>
      <c r="R362" s="109"/>
      <c r="S362" s="109"/>
      <c r="T362" s="109"/>
      <c r="U362" s="110"/>
    </row>
    <row r="363" spans="2:21" x14ac:dyDescent="0.2">
      <c r="B363" s="104"/>
      <c r="C363" s="104"/>
      <c r="D363" s="104"/>
      <c r="E363" s="104"/>
      <c r="F363" s="104"/>
      <c r="G363" s="104"/>
      <c r="H363" s="104"/>
      <c r="I363" s="109"/>
      <c r="J363" s="109"/>
      <c r="K363" s="107"/>
      <c r="L363" s="106"/>
      <c r="M363" s="115"/>
      <c r="N363" s="106"/>
      <c r="O363" s="107"/>
      <c r="P363" s="109"/>
      <c r="Q363" s="109"/>
      <c r="R363" s="109"/>
      <c r="S363" s="109"/>
      <c r="T363" s="109"/>
      <c r="U363" s="110"/>
    </row>
    <row r="364" spans="2:21" x14ac:dyDescent="0.2">
      <c r="B364" s="104"/>
      <c r="C364" s="104"/>
      <c r="D364" s="104"/>
      <c r="E364" s="104"/>
      <c r="F364" s="104"/>
      <c r="G364" s="104"/>
      <c r="H364" s="104"/>
      <c r="I364" s="109"/>
      <c r="J364" s="109"/>
      <c r="K364" s="107"/>
      <c r="L364" s="106"/>
      <c r="M364" s="115"/>
      <c r="N364" s="106"/>
      <c r="O364" s="107"/>
      <c r="P364" s="109"/>
      <c r="Q364" s="109"/>
      <c r="R364" s="109"/>
      <c r="S364" s="109"/>
      <c r="T364" s="109"/>
      <c r="U364" s="110"/>
    </row>
    <row r="365" spans="2:21" x14ac:dyDescent="0.2">
      <c r="B365" s="104"/>
      <c r="C365" s="104"/>
      <c r="D365" s="104"/>
      <c r="E365" s="104"/>
      <c r="F365" s="104"/>
      <c r="G365" s="104"/>
      <c r="H365" s="104"/>
      <c r="I365" s="109"/>
      <c r="J365" s="109"/>
      <c r="K365" s="107"/>
      <c r="L365" s="106"/>
      <c r="M365" s="115"/>
      <c r="N365" s="106"/>
      <c r="O365" s="107"/>
      <c r="P365" s="109"/>
      <c r="Q365" s="109"/>
      <c r="R365" s="109"/>
      <c r="S365" s="109"/>
      <c r="T365" s="109"/>
      <c r="U365" s="110"/>
    </row>
    <row r="366" spans="2:21" x14ac:dyDescent="0.2">
      <c r="B366" s="104"/>
      <c r="C366" s="104"/>
      <c r="D366" s="104"/>
      <c r="E366" s="104"/>
      <c r="F366" s="104"/>
      <c r="G366" s="104"/>
      <c r="H366" s="104"/>
      <c r="I366" s="109"/>
      <c r="J366" s="109"/>
      <c r="K366" s="107"/>
      <c r="L366" s="106"/>
      <c r="M366" s="115"/>
      <c r="N366" s="106"/>
      <c r="O366" s="107"/>
      <c r="P366" s="109"/>
      <c r="Q366" s="109"/>
      <c r="R366" s="109"/>
      <c r="S366" s="109"/>
      <c r="T366" s="109"/>
      <c r="U366" s="110"/>
    </row>
    <row r="367" spans="2:21" x14ac:dyDescent="0.2">
      <c r="B367" s="104"/>
      <c r="C367" s="104"/>
      <c r="D367" s="104"/>
      <c r="E367" s="104"/>
      <c r="F367" s="104"/>
      <c r="G367" s="104"/>
      <c r="H367" s="104"/>
      <c r="I367" s="109"/>
      <c r="J367" s="109"/>
      <c r="K367" s="107"/>
      <c r="L367" s="106"/>
      <c r="M367" s="115"/>
      <c r="N367" s="106"/>
      <c r="O367" s="107"/>
      <c r="P367" s="109"/>
      <c r="Q367" s="109"/>
      <c r="R367" s="109"/>
      <c r="S367" s="109"/>
      <c r="T367" s="109"/>
      <c r="U367" s="110"/>
    </row>
    <row r="368" spans="2:21" x14ac:dyDescent="0.2">
      <c r="B368" s="104"/>
      <c r="C368" s="104"/>
      <c r="D368" s="104"/>
      <c r="E368" s="104"/>
      <c r="F368" s="104"/>
      <c r="G368" s="104"/>
      <c r="H368" s="104"/>
      <c r="I368" s="109"/>
      <c r="J368" s="109"/>
      <c r="K368" s="107"/>
      <c r="L368" s="106"/>
      <c r="M368" s="115"/>
      <c r="N368" s="106"/>
      <c r="O368" s="107"/>
      <c r="P368" s="109"/>
      <c r="Q368" s="109"/>
      <c r="R368" s="109"/>
      <c r="S368" s="109"/>
      <c r="T368" s="109"/>
      <c r="U368" s="110"/>
    </row>
    <row r="369" spans="2:21" x14ac:dyDescent="0.2">
      <c r="B369" s="104"/>
      <c r="C369" s="104"/>
      <c r="D369" s="104"/>
      <c r="E369" s="104"/>
      <c r="F369" s="104"/>
      <c r="G369" s="104"/>
      <c r="H369" s="104"/>
      <c r="I369" s="109"/>
      <c r="J369" s="109"/>
      <c r="K369" s="107"/>
      <c r="L369" s="106"/>
      <c r="M369" s="115"/>
      <c r="N369" s="106"/>
      <c r="O369" s="107"/>
      <c r="P369" s="109"/>
      <c r="Q369" s="109"/>
      <c r="R369" s="109"/>
      <c r="S369" s="109"/>
      <c r="T369" s="109"/>
      <c r="U369" s="110"/>
    </row>
    <row r="370" spans="2:21" x14ac:dyDescent="0.2">
      <c r="B370" s="104"/>
      <c r="C370" s="104"/>
      <c r="D370" s="104"/>
      <c r="E370" s="104"/>
      <c r="F370" s="104"/>
      <c r="G370" s="104"/>
      <c r="H370" s="104"/>
      <c r="I370" s="109"/>
      <c r="J370" s="109"/>
      <c r="K370" s="107"/>
      <c r="L370" s="106"/>
      <c r="M370" s="115"/>
      <c r="N370" s="106"/>
      <c r="O370" s="107"/>
      <c r="P370" s="109"/>
      <c r="Q370" s="109"/>
      <c r="R370" s="109"/>
      <c r="S370" s="109"/>
      <c r="T370" s="109"/>
      <c r="U370" s="110"/>
    </row>
    <row r="371" spans="2:21" x14ac:dyDescent="0.2">
      <c r="B371" s="104"/>
      <c r="C371" s="104"/>
      <c r="D371" s="104"/>
      <c r="E371" s="104"/>
      <c r="F371" s="104"/>
      <c r="G371" s="104"/>
      <c r="H371" s="104"/>
      <c r="I371" s="109"/>
      <c r="J371" s="109"/>
      <c r="K371" s="107"/>
      <c r="L371" s="106"/>
      <c r="M371" s="115"/>
      <c r="N371" s="106"/>
      <c r="O371" s="107"/>
      <c r="P371" s="109"/>
      <c r="Q371" s="109"/>
      <c r="R371" s="109"/>
      <c r="S371" s="109"/>
      <c r="T371" s="109"/>
      <c r="U371" s="110"/>
    </row>
    <row r="372" spans="2:21" x14ac:dyDescent="0.2">
      <c r="B372" s="104"/>
      <c r="C372" s="104"/>
      <c r="D372" s="104"/>
      <c r="E372" s="104"/>
      <c r="F372" s="104"/>
      <c r="G372" s="104"/>
      <c r="H372" s="104"/>
      <c r="I372" s="109"/>
      <c r="J372" s="109"/>
      <c r="K372" s="107"/>
      <c r="L372" s="106"/>
      <c r="M372" s="115"/>
      <c r="N372" s="106"/>
      <c r="O372" s="107"/>
      <c r="P372" s="109"/>
      <c r="Q372" s="109"/>
      <c r="R372" s="109"/>
      <c r="S372" s="109"/>
      <c r="T372" s="109"/>
      <c r="U372" s="110"/>
    </row>
    <row r="373" spans="2:21" x14ac:dyDescent="0.2">
      <c r="B373" s="104"/>
      <c r="C373" s="104"/>
      <c r="D373" s="104"/>
      <c r="E373" s="104"/>
      <c r="F373" s="104"/>
      <c r="G373" s="104"/>
      <c r="H373" s="104"/>
      <c r="I373" s="109"/>
      <c r="J373" s="109"/>
      <c r="K373" s="107"/>
      <c r="L373" s="106"/>
      <c r="M373" s="115"/>
      <c r="N373" s="106"/>
      <c r="O373" s="107"/>
      <c r="P373" s="109"/>
      <c r="Q373" s="109"/>
      <c r="R373" s="109"/>
      <c r="S373" s="109"/>
      <c r="T373" s="109"/>
      <c r="U373" s="110"/>
    </row>
    <row r="374" spans="2:21" x14ac:dyDescent="0.2">
      <c r="B374" s="104"/>
      <c r="C374" s="104"/>
      <c r="D374" s="104"/>
      <c r="E374" s="104"/>
      <c r="F374" s="104"/>
      <c r="G374" s="104"/>
      <c r="H374" s="104"/>
      <c r="I374" s="109"/>
      <c r="J374" s="109"/>
      <c r="K374" s="107"/>
      <c r="L374" s="106"/>
      <c r="M374" s="115"/>
      <c r="N374" s="106"/>
      <c r="O374" s="107"/>
      <c r="P374" s="109"/>
      <c r="Q374" s="109"/>
      <c r="R374" s="109"/>
      <c r="S374" s="109"/>
      <c r="T374" s="109"/>
      <c r="U374" s="110"/>
    </row>
    <row r="375" spans="2:21" x14ac:dyDescent="0.2">
      <c r="B375" s="104"/>
      <c r="C375" s="104"/>
      <c r="D375" s="104"/>
      <c r="E375" s="104"/>
      <c r="F375" s="104"/>
      <c r="G375" s="104"/>
      <c r="H375" s="104"/>
      <c r="I375" s="109"/>
      <c r="J375" s="109"/>
      <c r="K375" s="107"/>
      <c r="L375" s="106"/>
      <c r="M375" s="115"/>
      <c r="N375" s="106"/>
      <c r="O375" s="107"/>
      <c r="P375" s="109"/>
      <c r="Q375" s="109"/>
      <c r="R375" s="109"/>
      <c r="S375" s="109"/>
      <c r="T375" s="109"/>
      <c r="U375" s="110"/>
    </row>
    <row r="376" spans="2:21" x14ac:dyDescent="0.2">
      <c r="B376" s="104"/>
      <c r="C376" s="104"/>
      <c r="D376" s="104"/>
      <c r="E376" s="104"/>
      <c r="F376" s="104"/>
      <c r="G376" s="104"/>
      <c r="H376" s="104"/>
      <c r="I376" s="109"/>
      <c r="J376" s="109"/>
      <c r="K376" s="107"/>
      <c r="L376" s="106"/>
      <c r="M376" s="115"/>
      <c r="N376" s="106"/>
      <c r="O376" s="107"/>
      <c r="P376" s="109"/>
      <c r="Q376" s="109"/>
      <c r="R376" s="109"/>
      <c r="S376" s="109"/>
      <c r="T376" s="109"/>
      <c r="U376" s="110"/>
    </row>
    <row r="377" spans="2:21" x14ac:dyDescent="0.2">
      <c r="B377" s="104"/>
      <c r="C377" s="104"/>
      <c r="D377" s="104"/>
      <c r="E377" s="104"/>
      <c r="F377" s="104"/>
      <c r="G377" s="104"/>
      <c r="H377" s="104"/>
      <c r="I377" s="109"/>
      <c r="J377" s="109"/>
      <c r="K377" s="107"/>
      <c r="L377" s="106"/>
      <c r="M377" s="115"/>
      <c r="N377" s="106"/>
      <c r="O377" s="107"/>
      <c r="P377" s="109"/>
      <c r="Q377" s="109"/>
      <c r="R377" s="109"/>
      <c r="S377" s="109"/>
      <c r="T377" s="109"/>
      <c r="U377" s="110"/>
    </row>
    <row r="378" spans="2:21" x14ac:dyDescent="0.2">
      <c r="B378" s="104"/>
      <c r="C378" s="104"/>
      <c r="D378" s="104"/>
      <c r="E378" s="104"/>
      <c r="F378" s="104"/>
      <c r="G378" s="104"/>
      <c r="H378" s="104"/>
      <c r="I378" s="109"/>
      <c r="J378" s="109"/>
      <c r="K378" s="107"/>
      <c r="L378" s="106"/>
      <c r="M378" s="115"/>
      <c r="N378" s="106"/>
      <c r="O378" s="107"/>
      <c r="P378" s="109"/>
      <c r="Q378" s="109"/>
      <c r="R378" s="109"/>
      <c r="S378" s="109"/>
      <c r="T378" s="109"/>
      <c r="U378" s="110"/>
    </row>
    <row r="379" spans="2:21" x14ac:dyDescent="0.2">
      <c r="B379" s="104"/>
      <c r="C379" s="104"/>
      <c r="D379" s="104"/>
      <c r="E379" s="104"/>
      <c r="F379" s="104"/>
      <c r="G379" s="104"/>
      <c r="H379" s="104"/>
      <c r="I379" s="109"/>
      <c r="J379" s="109"/>
      <c r="K379" s="107"/>
      <c r="L379" s="106"/>
      <c r="M379" s="115"/>
      <c r="N379" s="106"/>
      <c r="O379" s="107"/>
      <c r="P379" s="109"/>
      <c r="Q379" s="109"/>
      <c r="R379" s="109"/>
      <c r="S379" s="109"/>
      <c r="T379" s="109"/>
      <c r="U379" s="110"/>
    </row>
    <row r="380" spans="2:21" x14ac:dyDescent="0.2">
      <c r="B380" s="104"/>
      <c r="C380" s="104"/>
      <c r="D380" s="104"/>
      <c r="E380" s="104"/>
      <c r="F380" s="104"/>
      <c r="G380" s="104"/>
      <c r="H380" s="104"/>
      <c r="I380" s="109"/>
      <c r="J380" s="109"/>
      <c r="K380" s="107"/>
      <c r="L380" s="106"/>
      <c r="M380" s="115"/>
      <c r="N380" s="106"/>
      <c r="O380" s="107"/>
      <c r="P380" s="109"/>
      <c r="Q380" s="109"/>
      <c r="R380" s="109"/>
      <c r="S380" s="109"/>
      <c r="T380" s="109"/>
      <c r="U380" s="110"/>
    </row>
    <row r="381" spans="2:21" x14ac:dyDescent="0.2">
      <c r="B381" s="104"/>
      <c r="C381" s="104"/>
      <c r="D381" s="104"/>
      <c r="E381" s="104"/>
      <c r="F381" s="104"/>
      <c r="G381" s="104"/>
      <c r="H381" s="104"/>
      <c r="I381" s="109"/>
      <c r="J381" s="109"/>
      <c r="K381" s="107"/>
      <c r="L381" s="106"/>
      <c r="M381" s="115"/>
      <c r="N381" s="106"/>
      <c r="O381" s="107"/>
      <c r="P381" s="109"/>
      <c r="Q381" s="109"/>
      <c r="R381" s="109"/>
      <c r="S381" s="109"/>
      <c r="T381" s="109"/>
      <c r="U381" s="110"/>
    </row>
    <row r="382" spans="2:21" x14ac:dyDescent="0.2">
      <c r="B382" s="104"/>
      <c r="C382" s="104"/>
      <c r="D382" s="104"/>
      <c r="E382" s="104"/>
      <c r="F382" s="104"/>
      <c r="G382" s="104"/>
      <c r="H382" s="104"/>
      <c r="I382" s="109"/>
      <c r="J382" s="109"/>
      <c r="K382" s="107"/>
      <c r="L382" s="106"/>
      <c r="M382" s="115"/>
      <c r="N382" s="106"/>
      <c r="O382" s="107"/>
      <c r="P382" s="109"/>
      <c r="Q382" s="109"/>
      <c r="R382" s="109"/>
      <c r="S382" s="109"/>
      <c r="T382" s="109"/>
      <c r="U382" s="110"/>
    </row>
    <row r="383" spans="2:21" x14ac:dyDescent="0.2">
      <c r="B383" s="104"/>
      <c r="C383" s="104"/>
      <c r="D383" s="104"/>
      <c r="E383" s="104"/>
      <c r="F383" s="104"/>
      <c r="G383" s="104"/>
      <c r="H383" s="104"/>
      <c r="I383" s="109"/>
      <c r="J383" s="109"/>
      <c r="K383" s="107"/>
      <c r="L383" s="106"/>
      <c r="M383" s="115"/>
      <c r="N383" s="106"/>
      <c r="O383" s="107"/>
      <c r="P383" s="109"/>
      <c r="Q383" s="109"/>
      <c r="R383" s="109"/>
      <c r="S383" s="109"/>
      <c r="T383" s="109"/>
      <c r="U383" s="110"/>
    </row>
    <row r="384" spans="2:21" x14ac:dyDescent="0.2">
      <c r="B384" s="104"/>
      <c r="C384" s="104"/>
      <c r="D384" s="104"/>
      <c r="E384" s="104"/>
      <c r="F384" s="104"/>
      <c r="G384" s="104"/>
      <c r="H384" s="104"/>
      <c r="I384" s="109"/>
      <c r="J384" s="109"/>
      <c r="K384" s="107"/>
      <c r="L384" s="106"/>
      <c r="M384" s="115"/>
      <c r="N384" s="106"/>
      <c r="O384" s="107"/>
      <c r="P384" s="109"/>
      <c r="Q384" s="109"/>
      <c r="R384" s="109"/>
      <c r="S384" s="109"/>
      <c r="T384" s="109"/>
      <c r="U384" s="110"/>
    </row>
    <row r="385" spans="2:21" x14ac:dyDescent="0.2">
      <c r="B385" s="104"/>
      <c r="C385" s="104"/>
      <c r="D385" s="104"/>
      <c r="E385" s="104"/>
      <c r="F385" s="104"/>
      <c r="G385" s="104"/>
      <c r="H385" s="104"/>
      <c r="I385" s="109"/>
      <c r="J385" s="109"/>
      <c r="K385" s="107"/>
      <c r="L385" s="106"/>
      <c r="M385" s="115"/>
      <c r="N385" s="106"/>
      <c r="O385" s="107"/>
      <c r="P385" s="109"/>
      <c r="Q385" s="109"/>
      <c r="R385" s="109"/>
      <c r="S385" s="109"/>
      <c r="T385" s="109"/>
      <c r="U385" s="110"/>
    </row>
    <row r="386" spans="2:21" x14ac:dyDescent="0.2">
      <c r="B386" s="104"/>
      <c r="C386" s="104"/>
      <c r="D386" s="104"/>
      <c r="E386" s="104"/>
      <c r="F386" s="104"/>
      <c r="G386" s="104"/>
      <c r="H386" s="104"/>
      <c r="I386" s="109"/>
      <c r="J386" s="109"/>
      <c r="K386" s="107"/>
      <c r="L386" s="106"/>
      <c r="M386" s="115"/>
      <c r="N386" s="106"/>
      <c r="O386" s="107"/>
      <c r="P386" s="109"/>
      <c r="Q386" s="109"/>
      <c r="R386" s="109"/>
      <c r="S386" s="109"/>
      <c r="T386" s="109"/>
      <c r="U386" s="110"/>
    </row>
    <row r="387" spans="2:21" x14ac:dyDescent="0.2">
      <c r="B387" s="104"/>
      <c r="C387" s="104"/>
      <c r="D387" s="104"/>
      <c r="E387" s="104"/>
      <c r="F387" s="104"/>
      <c r="G387" s="104"/>
      <c r="H387" s="104"/>
      <c r="I387" s="109"/>
      <c r="J387" s="109"/>
      <c r="K387" s="107"/>
      <c r="L387" s="106"/>
      <c r="M387" s="115"/>
      <c r="N387" s="106"/>
      <c r="O387" s="107"/>
      <c r="P387" s="109"/>
      <c r="Q387" s="109"/>
      <c r="R387" s="109"/>
      <c r="S387" s="109"/>
      <c r="T387" s="109"/>
      <c r="U387" s="110"/>
    </row>
    <row r="388" spans="2:21" x14ac:dyDescent="0.2">
      <c r="B388" s="104"/>
      <c r="C388" s="104"/>
      <c r="D388" s="104"/>
      <c r="E388" s="104"/>
      <c r="F388" s="104"/>
      <c r="G388" s="104"/>
      <c r="H388" s="104"/>
      <c r="I388" s="109"/>
      <c r="J388" s="109"/>
      <c r="K388" s="107"/>
      <c r="L388" s="106"/>
      <c r="M388" s="115"/>
      <c r="N388" s="106"/>
      <c r="O388" s="107"/>
      <c r="P388" s="109"/>
      <c r="Q388" s="109"/>
      <c r="R388" s="109"/>
      <c r="S388" s="109"/>
      <c r="T388" s="109"/>
      <c r="U388" s="110"/>
    </row>
    <row r="389" spans="2:21" x14ac:dyDescent="0.2">
      <c r="B389" s="104"/>
      <c r="C389" s="104"/>
      <c r="D389" s="104"/>
      <c r="E389" s="104"/>
      <c r="F389" s="104"/>
      <c r="G389" s="104"/>
      <c r="H389" s="104"/>
      <c r="I389" s="109"/>
      <c r="J389" s="109"/>
      <c r="K389" s="107"/>
      <c r="L389" s="106"/>
      <c r="M389" s="115"/>
      <c r="N389" s="106"/>
      <c r="O389" s="107"/>
      <c r="P389" s="109"/>
      <c r="Q389" s="109"/>
      <c r="R389" s="109"/>
      <c r="S389" s="109"/>
      <c r="T389" s="109"/>
      <c r="U389" s="110"/>
    </row>
    <row r="390" spans="2:21" x14ac:dyDescent="0.2">
      <c r="B390" s="104"/>
      <c r="C390" s="104"/>
      <c r="D390" s="104"/>
      <c r="E390" s="104"/>
      <c r="F390" s="104"/>
      <c r="G390" s="104"/>
      <c r="H390" s="104"/>
      <c r="I390" s="109"/>
      <c r="J390" s="109"/>
      <c r="K390" s="107"/>
      <c r="L390" s="106"/>
      <c r="M390" s="115"/>
      <c r="N390" s="106"/>
      <c r="O390" s="107"/>
      <c r="P390" s="109"/>
      <c r="Q390" s="109"/>
      <c r="R390" s="109"/>
      <c r="S390" s="109"/>
      <c r="T390" s="109"/>
      <c r="U390" s="110"/>
    </row>
    <row r="391" spans="2:21" x14ac:dyDescent="0.2">
      <c r="B391" s="104"/>
      <c r="C391" s="104"/>
      <c r="D391" s="104"/>
      <c r="E391" s="104"/>
      <c r="F391" s="104"/>
      <c r="G391" s="104"/>
      <c r="H391" s="104"/>
      <c r="I391" s="109"/>
      <c r="J391" s="109"/>
      <c r="K391" s="107"/>
      <c r="L391" s="106"/>
      <c r="M391" s="115"/>
      <c r="N391" s="106"/>
      <c r="O391" s="107"/>
      <c r="P391" s="109"/>
      <c r="Q391" s="109"/>
      <c r="R391" s="109"/>
      <c r="S391" s="109"/>
      <c r="T391" s="109"/>
      <c r="U391" s="110"/>
    </row>
    <row r="392" spans="2:21" x14ac:dyDescent="0.2">
      <c r="B392" s="104"/>
      <c r="C392" s="104"/>
      <c r="D392" s="104"/>
      <c r="E392" s="104"/>
      <c r="F392" s="104"/>
      <c r="G392" s="104"/>
      <c r="H392" s="104"/>
      <c r="I392" s="109"/>
      <c r="J392" s="109"/>
      <c r="K392" s="107"/>
      <c r="L392" s="106"/>
      <c r="M392" s="115"/>
      <c r="N392" s="106"/>
      <c r="O392" s="107"/>
      <c r="P392" s="109"/>
      <c r="Q392" s="109"/>
      <c r="R392" s="109"/>
      <c r="S392" s="109"/>
      <c r="T392" s="109"/>
      <c r="U392" s="110"/>
    </row>
    <row r="393" spans="2:21" x14ac:dyDescent="0.2">
      <c r="B393" s="104"/>
      <c r="C393" s="104"/>
      <c r="D393" s="104"/>
      <c r="E393" s="104"/>
      <c r="F393" s="104"/>
      <c r="G393" s="104"/>
      <c r="H393" s="104"/>
      <c r="I393" s="109"/>
      <c r="J393" s="109"/>
      <c r="K393" s="107"/>
      <c r="L393" s="106"/>
      <c r="M393" s="115"/>
      <c r="N393" s="106"/>
      <c r="O393" s="107"/>
      <c r="P393" s="109"/>
      <c r="Q393" s="109"/>
      <c r="R393" s="109"/>
      <c r="S393" s="109"/>
      <c r="T393" s="109"/>
      <c r="U393" s="110"/>
    </row>
    <row r="394" spans="2:21" x14ac:dyDescent="0.2">
      <c r="B394" s="104"/>
      <c r="C394" s="104"/>
      <c r="D394" s="104"/>
      <c r="E394" s="104"/>
      <c r="F394" s="104"/>
      <c r="G394" s="104"/>
      <c r="H394" s="104"/>
      <c r="I394" s="109"/>
      <c r="J394" s="109"/>
      <c r="K394" s="107"/>
      <c r="L394" s="106"/>
      <c r="M394" s="115"/>
      <c r="N394" s="106"/>
      <c r="O394" s="107"/>
      <c r="P394" s="109"/>
      <c r="Q394" s="109"/>
      <c r="R394" s="109"/>
      <c r="S394" s="109"/>
      <c r="T394" s="109"/>
      <c r="U394" s="110"/>
    </row>
    <row r="395" spans="2:21" x14ac:dyDescent="0.2">
      <c r="B395" s="104"/>
      <c r="C395" s="104"/>
      <c r="D395" s="104"/>
      <c r="E395" s="104"/>
      <c r="F395" s="104"/>
      <c r="G395" s="104"/>
      <c r="H395" s="104"/>
      <c r="I395" s="109"/>
      <c r="J395" s="109"/>
      <c r="K395" s="107"/>
      <c r="L395" s="106"/>
      <c r="M395" s="115"/>
      <c r="N395" s="106"/>
      <c r="O395" s="107"/>
      <c r="P395" s="109"/>
      <c r="Q395" s="109"/>
      <c r="R395" s="109"/>
      <c r="S395" s="109"/>
      <c r="T395" s="109"/>
      <c r="U395" s="110"/>
    </row>
    <row r="396" spans="2:21" x14ac:dyDescent="0.2">
      <c r="B396" s="104"/>
      <c r="C396" s="104"/>
      <c r="D396" s="104"/>
      <c r="E396" s="104"/>
      <c r="F396" s="104"/>
      <c r="G396" s="104"/>
      <c r="H396" s="104"/>
      <c r="I396" s="109"/>
      <c r="J396" s="109"/>
      <c r="K396" s="107"/>
      <c r="L396" s="106"/>
      <c r="M396" s="115"/>
      <c r="N396" s="106"/>
      <c r="O396" s="107"/>
      <c r="P396" s="109"/>
      <c r="Q396" s="109"/>
      <c r="R396" s="109"/>
      <c r="S396" s="109"/>
      <c r="T396" s="109"/>
      <c r="U396" s="110"/>
    </row>
    <row r="397" spans="2:21" x14ac:dyDescent="0.2">
      <c r="B397" s="104"/>
      <c r="C397" s="104"/>
      <c r="D397" s="104"/>
      <c r="E397" s="104"/>
      <c r="F397" s="104"/>
      <c r="G397" s="104"/>
      <c r="H397" s="104"/>
      <c r="I397" s="109"/>
      <c r="J397" s="109"/>
      <c r="K397" s="107"/>
      <c r="L397" s="106"/>
      <c r="M397" s="115"/>
      <c r="N397" s="106"/>
      <c r="O397" s="107"/>
      <c r="P397" s="109"/>
      <c r="Q397" s="109"/>
      <c r="R397" s="109"/>
      <c r="S397" s="109"/>
      <c r="T397" s="109"/>
      <c r="U397" s="110"/>
    </row>
    <row r="398" spans="2:21" x14ac:dyDescent="0.2">
      <c r="B398" s="104"/>
      <c r="C398" s="104"/>
      <c r="D398" s="104"/>
      <c r="E398" s="104"/>
      <c r="F398" s="104"/>
      <c r="G398" s="104"/>
      <c r="H398" s="104"/>
      <c r="I398" s="109"/>
      <c r="J398" s="109"/>
      <c r="K398" s="107"/>
      <c r="L398" s="106"/>
      <c r="M398" s="115"/>
      <c r="N398" s="106"/>
      <c r="O398" s="107"/>
      <c r="P398" s="109"/>
      <c r="Q398" s="109"/>
      <c r="R398" s="109"/>
      <c r="S398" s="109"/>
      <c r="T398" s="109"/>
      <c r="U398" s="110"/>
    </row>
    <row r="399" spans="2:21" x14ac:dyDescent="0.2">
      <c r="B399" s="104"/>
      <c r="C399" s="104"/>
      <c r="D399" s="104"/>
      <c r="E399" s="104"/>
      <c r="F399" s="104"/>
      <c r="G399" s="104"/>
      <c r="H399" s="104"/>
      <c r="I399" s="109"/>
      <c r="J399" s="109"/>
      <c r="K399" s="107"/>
      <c r="L399" s="106"/>
      <c r="M399" s="115"/>
      <c r="N399" s="106"/>
      <c r="O399" s="107"/>
      <c r="P399" s="109"/>
      <c r="Q399" s="109"/>
      <c r="R399" s="109"/>
      <c r="S399" s="109"/>
      <c r="T399" s="109"/>
      <c r="U399" s="110"/>
    </row>
    <row r="400" spans="2:21" x14ac:dyDescent="0.2">
      <c r="B400" s="104"/>
      <c r="C400" s="104"/>
      <c r="D400" s="104"/>
      <c r="E400" s="104"/>
      <c r="F400" s="104"/>
      <c r="G400" s="104"/>
      <c r="H400" s="104"/>
      <c r="I400" s="109"/>
      <c r="J400" s="109"/>
      <c r="K400" s="107"/>
      <c r="L400" s="106"/>
      <c r="M400" s="115"/>
      <c r="N400" s="106"/>
      <c r="O400" s="107"/>
      <c r="P400" s="109"/>
      <c r="Q400" s="109"/>
      <c r="R400" s="109"/>
      <c r="S400" s="109"/>
      <c r="T400" s="109"/>
      <c r="U400" s="110"/>
    </row>
    <row r="401" spans="2:21" x14ac:dyDescent="0.2">
      <c r="B401" s="104"/>
      <c r="C401" s="104"/>
      <c r="D401" s="104"/>
      <c r="E401" s="104"/>
      <c r="F401" s="104"/>
      <c r="G401" s="104"/>
      <c r="H401" s="104"/>
      <c r="I401" s="109"/>
      <c r="J401" s="109"/>
      <c r="K401" s="107"/>
      <c r="L401" s="106"/>
      <c r="M401" s="115"/>
      <c r="N401" s="106"/>
      <c r="O401" s="107"/>
      <c r="P401" s="109"/>
      <c r="Q401" s="109"/>
      <c r="R401" s="109"/>
      <c r="S401" s="109"/>
      <c r="T401" s="109"/>
      <c r="U401" s="110"/>
    </row>
    <row r="402" spans="2:21" x14ac:dyDescent="0.2">
      <c r="B402" s="104"/>
      <c r="C402" s="104"/>
      <c r="D402" s="104"/>
      <c r="E402" s="104"/>
      <c r="F402" s="104"/>
      <c r="G402" s="104"/>
      <c r="H402" s="104"/>
      <c r="I402" s="109"/>
      <c r="J402" s="109"/>
      <c r="K402" s="107"/>
      <c r="L402" s="106"/>
      <c r="M402" s="115"/>
      <c r="N402" s="106"/>
      <c r="O402" s="107"/>
      <c r="P402" s="109"/>
      <c r="Q402" s="109"/>
      <c r="R402" s="109"/>
      <c r="S402" s="109"/>
      <c r="T402" s="109"/>
      <c r="U402" s="110"/>
    </row>
    <row r="403" spans="2:21" x14ac:dyDescent="0.2">
      <c r="B403" s="104"/>
      <c r="C403" s="104"/>
      <c r="D403" s="104"/>
      <c r="E403" s="104"/>
      <c r="F403" s="104"/>
      <c r="G403" s="104"/>
      <c r="H403" s="104"/>
      <c r="I403" s="109"/>
      <c r="J403" s="109"/>
      <c r="K403" s="107"/>
      <c r="L403" s="106"/>
      <c r="M403" s="115"/>
      <c r="N403" s="106"/>
      <c r="O403" s="107"/>
      <c r="P403" s="109"/>
      <c r="Q403" s="109"/>
      <c r="R403" s="109"/>
      <c r="S403" s="109"/>
      <c r="T403" s="109"/>
      <c r="U403" s="110"/>
    </row>
    <row r="404" spans="2:21" x14ac:dyDescent="0.2">
      <c r="B404" s="104"/>
      <c r="C404" s="104"/>
      <c r="D404" s="104"/>
      <c r="E404" s="104"/>
      <c r="F404" s="104"/>
      <c r="G404" s="104"/>
      <c r="H404" s="104"/>
      <c r="I404" s="109"/>
      <c r="J404" s="109"/>
      <c r="K404" s="107"/>
      <c r="L404" s="106"/>
      <c r="M404" s="115"/>
      <c r="N404" s="106"/>
      <c r="O404" s="107"/>
      <c r="P404" s="109"/>
      <c r="Q404" s="109"/>
      <c r="R404" s="109"/>
      <c r="S404" s="109"/>
      <c r="T404" s="109"/>
      <c r="U404" s="110"/>
    </row>
    <row r="405" spans="2:21" x14ac:dyDescent="0.2">
      <c r="B405" s="104"/>
      <c r="C405" s="104"/>
      <c r="D405" s="104"/>
      <c r="E405" s="104"/>
      <c r="F405" s="104"/>
      <c r="G405" s="104"/>
      <c r="H405" s="104"/>
      <c r="I405" s="109"/>
      <c r="J405" s="109"/>
      <c r="K405" s="107"/>
      <c r="L405" s="106"/>
      <c r="M405" s="115"/>
      <c r="N405" s="106"/>
      <c r="O405" s="107"/>
      <c r="P405" s="109"/>
      <c r="Q405" s="109"/>
      <c r="R405" s="109"/>
      <c r="S405" s="109"/>
      <c r="T405" s="109"/>
      <c r="U405" s="110"/>
    </row>
    <row r="406" spans="2:21" x14ac:dyDescent="0.2">
      <c r="B406" s="104"/>
      <c r="C406" s="104"/>
      <c r="D406" s="104"/>
      <c r="E406" s="104"/>
      <c r="F406" s="104"/>
      <c r="G406" s="104"/>
      <c r="H406" s="104"/>
      <c r="I406" s="109"/>
      <c r="J406" s="109"/>
      <c r="K406" s="107"/>
      <c r="L406" s="106"/>
      <c r="M406" s="115"/>
      <c r="N406" s="106"/>
      <c r="O406" s="107"/>
      <c r="P406" s="109"/>
      <c r="Q406" s="109"/>
      <c r="R406" s="109"/>
      <c r="S406" s="109"/>
      <c r="T406" s="109"/>
      <c r="U406" s="110"/>
    </row>
    <row r="407" spans="2:21" x14ac:dyDescent="0.2">
      <c r="B407" s="104"/>
      <c r="C407" s="104"/>
      <c r="D407" s="104"/>
      <c r="E407" s="104"/>
      <c r="F407" s="104"/>
      <c r="G407" s="104"/>
      <c r="H407" s="104"/>
      <c r="I407" s="109"/>
      <c r="J407" s="109"/>
      <c r="K407" s="107"/>
      <c r="L407" s="106"/>
      <c r="M407" s="115"/>
      <c r="N407" s="106"/>
      <c r="O407" s="107"/>
      <c r="P407" s="109"/>
      <c r="Q407" s="109"/>
      <c r="R407" s="109"/>
      <c r="S407" s="109"/>
      <c r="T407" s="109"/>
      <c r="U407" s="110"/>
    </row>
    <row r="408" spans="2:21" x14ac:dyDescent="0.2">
      <c r="B408" s="104"/>
      <c r="C408" s="104"/>
      <c r="D408" s="104"/>
      <c r="E408" s="104"/>
      <c r="F408" s="104"/>
      <c r="G408" s="104"/>
      <c r="H408" s="104"/>
      <c r="I408" s="109"/>
      <c r="J408" s="109"/>
      <c r="K408" s="107"/>
      <c r="L408" s="106"/>
      <c r="M408" s="115"/>
      <c r="N408" s="106"/>
      <c r="O408" s="107"/>
      <c r="P408" s="109"/>
      <c r="Q408" s="109"/>
      <c r="R408" s="109"/>
      <c r="S408" s="109"/>
      <c r="T408" s="109"/>
      <c r="U408" s="110"/>
    </row>
    <row r="409" spans="2:21" x14ac:dyDescent="0.2">
      <c r="B409" s="104"/>
      <c r="C409" s="104"/>
      <c r="D409" s="104"/>
      <c r="E409" s="104"/>
      <c r="F409" s="104"/>
      <c r="G409" s="104"/>
      <c r="H409" s="104"/>
      <c r="I409" s="109"/>
      <c r="J409" s="109"/>
      <c r="K409" s="107"/>
      <c r="L409" s="106"/>
      <c r="M409" s="115"/>
      <c r="N409" s="106"/>
      <c r="O409" s="107"/>
      <c r="P409" s="109"/>
      <c r="Q409" s="109"/>
      <c r="R409" s="109"/>
      <c r="S409" s="109"/>
      <c r="T409" s="109"/>
      <c r="U409" s="110"/>
    </row>
    <row r="410" spans="2:21" x14ac:dyDescent="0.2">
      <c r="B410" s="104"/>
      <c r="C410" s="104"/>
      <c r="D410" s="104"/>
      <c r="E410" s="104"/>
      <c r="F410" s="104"/>
      <c r="G410" s="104"/>
      <c r="H410" s="104"/>
      <c r="I410" s="109"/>
      <c r="J410" s="109"/>
      <c r="K410" s="107"/>
      <c r="L410" s="106"/>
      <c r="M410" s="115"/>
      <c r="N410" s="106"/>
      <c r="O410" s="107"/>
      <c r="P410" s="109"/>
      <c r="Q410" s="109"/>
      <c r="R410" s="109"/>
      <c r="S410" s="109"/>
      <c r="T410" s="109"/>
      <c r="U410" s="110"/>
    </row>
    <row r="411" spans="2:21" x14ac:dyDescent="0.2">
      <c r="B411" s="104"/>
      <c r="C411" s="104"/>
      <c r="D411" s="104"/>
      <c r="E411" s="104"/>
      <c r="F411" s="104"/>
      <c r="G411" s="104"/>
      <c r="H411" s="104"/>
      <c r="I411" s="109"/>
      <c r="J411" s="109"/>
      <c r="K411" s="107"/>
      <c r="L411" s="106"/>
      <c r="M411" s="115"/>
      <c r="N411" s="106"/>
      <c r="O411" s="107"/>
      <c r="P411" s="109"/>
      <c r="Q411" s="109"/>
      <c r="R411" s="109"/>
      <c r="S411" s="109"/>
      <c r="T411" s="109"/>
      <c r="U411" s="110"/>
    </row>
    <row r="412" spans="2:21" x14ac:dyDescent="0.2">
      <c r="B412" s="104"/>
      <c r="C412" s="104"/>
      <c r="D412" s="104"/>
      <c r="E412" s="104"/>
      <c r="F412" s="104"/>
      <c r="G412" s="104"/>
      <c r="H412" s="104"/>
      <c r="I412" s="109"/>
      <c r="J412" s="109"/>
      <c r="K412" s="107"/>
      <c r="L412" s="106"/>
      <c r="M412" s="115"/>
      <c r="N412" s="106"/>
      <c r="O412" s="107"/>
      <c r="P412" s="109"/>
      <c r="Q412" s="109"/>
      <c r="R412" s="109"/>
      <c r="S412" s="109"/>
      <c r="T412" s="109"/>
      <c r="U412" s="110"/>
    </row>
    <row r="413" spans="2:21" x14ac:dyDescent="0.2">
      <c r="B413" s="104"/>
      <c r="C413" s="104"/>
      <c r="D413" s="104"/>
      <c r="E413" s="104"/>
      <c r="F413" s="104"/>
      <c r="G413" s="104"/>
      <c r="H413" s="104"/>
      <c r="I413" s="109"/>
      <c r="J413" s="109"/>
      <c r="K413" s="107"/>
      <c r="L413" s="106"/>
      <c r="M413" s="115"/>
      <c r="N413" s="106"/>
      <c r="O413" s="107"/>
      <c r="P413" s="109"/>
      <c r="Q413" s="109"/>
      <c r="R413" s="109"/>
      <c r="S413" s="109"/>
      <c r="T413" s="109"/>
      <c r="U413" s="110"/>
    </row>
    <row r="414" spans="2:21" x14ac:dyDescent="0.2">
      <c r="B414" s="104"/>
      <c r="C414" s="104"/>
      <c r="D414" s="104"/>
      <c r="E414" s="104"/>
      <c r="F414" s="104"/>
      <c r="G414" s="104"/>
      <c r="H414" s="104"/>
      <c r="I414" s="109"/>
      <c r="J414" s="109"/>
      <c r="K414" s="107"/>
      <c r="L414" s="106"/>
      <c r="M414" s="115"/>
      <c r="N414" s="106"/>
      <c r="O414" s="107"/>
      <c r="P414" s="109"/>
      <c r="Q414" s="109"/>
      <c r="R414" s="109"/>
      <c r="S414" s="109"/>
      <c r="T414" s="109"/>
      <c r="U414" s="110"/>
    </row>
    <row r="415" spans="2:21" x14ac:dyDescent="0.2">
      <c r="B415" s="104"/>
      <c r="C415" s="104"/>
      <c r="D415" s="104"/>
      <c r="E415" s="104"/>
      <c r="F415" s="104"/>
      <c r="G415" s="104"/>
      <c r="H415" s="104"/>
      <c r="I415" s="109"/>
      <c r="J415" s="109"/>
      <c r="K415" s="107"/>
      <c r="L415" s="106"/>
      <c r="M415" s="115"/>
      <c r="N415" s="106"/>
      <c r="O415" s="107"/>
      <c r="P415" s="109"/>
      <c r="Q415" s="109"/>
      <c r="R415" s="109"/>
      <c r="S415" s="109"/>
      <c r="T415" s="109"/>
      <c r="U415" s="110"/>
    </row>
    <row r="416" spans="2:21" x14ac:dyDescent="0.2">
      <c r="B416" s="104"/>
      <c r="C416" s="104"/>
      <c r="D416" s="104"/>
      <c r="E416" s="104"/>
      <c r="F416" s="104"/>
      <c r="G416" s="104"/>
      <c r="H416" s="104"/>
      <c r="I416" s="109"/>
      <c r="J416" s="109"/>
      <c r="K416" s="107"/>
      <c r="L416" s="106"/>
      <c r="M416" s="115"/>
      <c r="N416" s="106"/>
      <c r="O416" s="107"/>
      <c r="P416" s="109"/>
      <c r="Q416" s="109"/>
      <c r="R416" s="109"/>
      <c r="S416" s="109"/>
      <c r="T416" s="109"/>
      <c r="U416" s="110"/>
    </row>
    <row r="417" spans="2:21" x14ac:dyDescent="0.2">
      <c r="B417" s="104"/>
      <c r="C417" s="104"/>
      <c r="D417" s="104"/>
      <c r="E417" s="104"/>
      <c r="F417" s="104"/>
      <c r="G417" s="104"/>
      <c r="H417" s="104"/>
      <c r="I417" s="109"/>
      <c r="J417" s="109"/>
      <c r="K417" s="107"/>
      <c r="L417" s="106"/>
      <c r="M417" s="115"/>
      <c r="N417" s="106"/>
      <c r="O417" s="107"/>
      <c r="P417" s="109"/>
      <c r="Q417" s="109"/>
      <c r="R417" s="109"/>
      <c r="S417" s="109"/>
      <c r="T417" s="109"/>
      <c r="U417" s="110"/>
    </row>
    <row r="418" spans="2:21" x14ac:dyDescent="0.2">
      <c r="B418" s="104"/>
      <c r="C418" s="104"/>
      <c r="D418" s="104"/>
      <c r="E418" s="104"/>
      <c r="F418" s="104"/>
      <c r="G418" s="104"/>
      <c r="H418" s="104"/>
      <c r="I418" s="109"/>
      <c r="J418" s="109"/>
      <c r="K418" s="107"/>
      <c r="L418" s="106"/>
      <c r="M418" s="115"/>
      <c r="N418" s="106"/>
      <c r="O418" s="107"/>
      <c r="P418" s="109"/>
      <c r="Q418" s="109"/>
      <c r="R418" s="109"/>
      <c r="S418" s="109"/>
      <c r="T418" s="109"/>
      <c r="U418" s="110"/>
    </row>
    <row r="419" spans="2:21" x14ac:dyDescent="0.2">
      <c r="B419" s="104"/>
      <c r="C419" s="104"/>
      <c r="D419" s="104"/>
      <c r="E419" s="104"/>
      <c r="F419" s="104"/>
      <c r="G419" s="104"/>
      <c r="H419" s="104"/>
      <c r="I419" s="109"/>
      <c r="J419" s="109"/>
      <c r="K419" s="107"/>
      <c r="L419" s="106"/>
      <c r="M419" s="115"/>
      <c r="N419" s="106"/>
      <c r="O419" s="107"/>
      <c r="P419" s="109"/>
      <c r="Q419" s="109"/>
      <c r="R419" s="109"/>
      <c r="S419" s="109"/>
      <c r="T419" s="109"/>
      <c r="U419" s="110"/>
    </row>
    <row r="420" spans="2:21" x14ac:dyDescent="0.2">
      <c r="B420" s="104"/>
      <c r="C420" s="104"/>
      <c r="D420" s="104"/>
      <c r="E420" s="104"/>
      <c r="F420" s="104"/>
      <c r="G420" s="104"/>
      <c r="H420" s="104"/>
      <c r="I420" s="109"/>
      <c r="J420" s="109"/>
      <c r="K420" s="107"/>
      <c r="L420" s="106"/>
      <c r="M420" s="115"/>
      <c r="N420" s="106"/>
      <c r="O420" s="107"/>
      <c r="P420" s="109"/>
      <c r="Q420" s="109"/>
      <c r="R420" s="109"/>
      <c r="S420" s="109"/>
      <c r="T420" s="109"/>
      <c r="U420" s="110"/>
    </row>
    <row r="421" spans="2:21" x14ac:dyDescent="0.2">
      <c r="B421" s="104"/>
      <c r="C421" s="104"/>
      <c r="D421" s="104"/>
      <c r="E421" s="104"/>
      <c r="F421" s="104"/>
      <c r="G421" s="104"/>
      <c r="H421" s="104"/>
      <c r="I421" s="109"/>
      <c r="J421" s="109"/>
      <c r="K421" s="107"/>
      <c r="L421" s="106"/>
      <c r="M421" s="115"/>
      <c r="N421" s="106"/>
      <c r="O421" s="107"/>
      <c r="P421" s="109"/>
      <c r="Q421" s="109"/>
      <c r="R421" s="109"/>
      <c r="S421" s="109"/>
      <c r="T421" s="109"/>
      <c r="U421" s="110"/>
    </row>
    <row r="422" spans="2:21" x14ac:dyDescent="0.2">
      <c r="B422" s="104"/>
      <c r="C422" s="104"/>
      <c r="D422" s="104"/>
      <c r="E422" s="104"/>
      <c r="F422" s="104"/>
      <c r="G422" s="104"/>
      <c r="H422" s="104"/>
      <c r="I422" s="109"/>
      <c r="J422" s="109"/>
      <c r="K422" s="107"/>
      <c r="L422" s="106"/>
      <c r="M422" s="115"/>
      <c r="N422" s="106"/>
      <c r="O422" s="107"/>
      <c r="P422" s="109"/>
      <c r="Q422" s="109"/>
      <c r="R422" s="109"/>
      <c r="S422" s="109"/>
      <c r="T422" s="109"/>
      <c r="U422" s="110"/>
    </row>
    <row r="423" spans="2:21" x14ac:dyDescent="0.2">
      <c r="B423" s="104"/>
      <c r="C423" s="104"/>
      <c r="D423" s="104"/>
      <c r="E423" s="104"/>
      <c r="F423" s="104"/>
      <c r="G423" s="104"/>
      <c r="H423" s="104"/>
      <c r="I423" s="109"/>
      <c r="J423" s="109"/>
      <c r="K423" s="107"/>
      <c r="L423" s="106"/>
      <c r="M423" s="115"/>
      <c r="N423" s="106"/>
      <c r="O423" s="107"/>
      <c r="P423" s="109"/>
      <c r="Q423" s="109"/>
      <c r="R423" s="109"/>
      <c r="S423" s="109"/>
      <c r="T423" s="109"/>
      <c r="U423" s="110"/>
    </row>
    <row r="424" spans="2:21" x14ac:dyDescent="0.2">
      <c r="B424" s="104"/>
      <c r="C424" s="104"/>
      <c r="D424" s="104"/>
      <c r="E424" s="104"/>
      <c r="F424" s="104"/>
      <c r="G424" s="104"/>
      <c r="H424" s="104"/>
      <c r="I424" s="109"/>
      <c r="J424" s="109"/>
      <c r="K424" s="107"/>
      <c r="L424" s="106"/>
      <c r="M424" s="115"/>
      <c r="N424" s="106"/>
      <c r="O424" s="107"/>
      <c r="P424" s="109"/>
      <c r="Q424" s="109"/>
      <c r="R424" s="109"/>
      <c r="S424" s="109"/>
      <c r="T424" s="109"/>
      <c r="U424" s="110"/>
    </row>
    <row r="425" spans="2:21" x14ac:dyDescent="0.2">
      <c r="B425" s="104"/>
      <c r="C425" s="104"/>
      <c r="D425" s="104"/>
      <c r="E425" s="104"/>
      <c r="F425" s="104"/>
      <c r="G425" s="104"/>
      <c r="H425" s="104"/>
      <c r="I425" s="109"/>
      <c r="J425" s="109"/>
      <c r="K425" s="107"/>
      <c r="L425" s="106"/>
      <c r="M425" s="115"/>
      <c r="N425" s="106"/>
      <c r="O425" s="107"/>
      <c r="P425" s="109"/>
      <c r="Q425" s="109"/>
      <c r="R425" s="109"/>
      <c r="S425" s="109"/>
      <c r="T425" s="109"/>
      <c r="U425" s="110"/>
    </row>
    <row r="426" spans="2:21" x14ac:dyDescent="0.2">
      <c r="B426" s="104"/>
      <c r="C426" s="104"/>
      <c r="D426" s="104"/>
      <c r="E426" s="104"/>
      <c r="F426" s="104"/>
      <c r="G426" s="104"/>
      <c r="H426" s="104"/>
      <c r="I426" s="109"/>
      <c r="J426" s="109"/>
      <c r="K426" s="107"/>
      <c r="L426" s="106"/>
      <c r="M426" s="115"/>
      <c r="N426" s="106"/>
      <c r="O426" s="107"/>
      <c r="P426" s="109"/>
      <c r="Q426" s="109"/>
      <c r="R426" s="109"/>
      <c r="S426" s="109"/>
      <c r="T426" s="109"/>
      <c r="U426" s="110"/>
    </row>
    <row r="427" spans="2:21" x14ac:dyDescent="0.2">
      <c r="B427" s="104"/>
      <c r="C427" s="104"/>
      <c r="D427" s="104"/>
      <c r="E427" s="104"/>
      <c r="F427" s="104"/>
      <c r="G427" s="104"/>
      <c r="H427" s="104"/>
      <c r="I427" s="109"/>
      <c r="J427" s="109"/>
      <c r="K427" s="107"/>
      <c r="L427" s="106"/>
      <c r="M427" s="115"/>
      <c r="N427" s="106"/>
      <c r="O427" s="107"/>
      <c r="P427" s="109"/>
      <c r="Q427" s="109"/>
      <c r="R427" s="109"/>
      <c r="S427" s="109"/>
      <c r="T427" s="109"/>
      <c r="U427" s="110"/>
    </row>
    <row r="428" spans="2:21" x14ac:dyDescent="0.2">
      <c r="B428" s="104"/>
      <c r="C428" s="104"/>
      <c r="D428" s="104"/>
      <c r="E428" s="104"/>
      <c r="F428" s="104"/>
      <c r="G428" s="104"/>
      <c r="H428" s="104"/>
      <c r="I428" s="109"/>
      <c r="J428" s="109"/>
      <c r="K428" s="107"/>
      <c r="L428" s="106"/>
      <c r="M428" s="115"/>
      <c r="N428" s="106"/>
      <c r="O428" s="107"/>
      <c r="P428" s="109"/>
      <c r="Q428" s="109"/>
      <c r="R428" s="109"/>
      <c r="S428" s="109"/>
      <c r="T428" s="109"/>
      <c r="U428" s="110"/>
    </row>
    <row r="429" spans="2:21" x14ac:dyDescent="0.2">
      <c r="B429" s="104"/>
      <c r="C429" s="104"/>
      <c r="D429" s="104"/>
      <c r="E429" s="104"/>
      <c r="F429" s="104"/>
      <c r="G429" s="104"/>
      <c r="H429" s="104"/>
      <c r="I429" s="109"/>
      <c r="J429" s="109"/>
      <c r="K429" s="107"/>
      <c r="L429" s="106"/>
      <c r="M429" s="115"/>
      <c r="N429" s="106"/>
      <c r="O429" s="107"/>
      <c r="P429" s="109"/>
      <c r="Q429" s="109"/>
      <c r="R429" s="109"/>
      <c r="S429" s="109"/>
      <c r="T429" s="109"/>
      <c r="U429" s="110"/>
    </row>
    <row r="430" spans="2:21" x14ac:dyDescent="0.2">
      <c r="B430" s="104"/>
      <c r="C430" s="104"/>
      <c r="D430" s="104"/>
      <c r="E430" s="104"/>
      <c r="F430" s="104"/>
      <c r="G430" s="104"/>
      <c r="H430" s="104"/>
      <c r="I430" s="109"/>
      <c r="J430" s="109"/>
      <c r="K430" s="107"/>
      <c r="L430" s="106"/>
      <c r="M430" s="115"/>
      <c r="N430" s="106"/>
      <c r="O430" s="107"/>
      <c r="P430" s="109"/>
      <c r="Q430" s="109"/>
      <c r="R430" s="109"/>
      <c r="S430" s="109"/>
      <c r="T430" s="109"/>
      <c r="U430" s="110"/>
    </row>
    <row r="431" spans="2:21" x14ac:dyDescent="0.2">
      <c r="B431" s="104"/>
      <c r="C431" s="104"/>
      <c r="D431" s="104"/>
      <c r="E431" s="104"/>
      <c r="F431" s="104"/>
      <c r="G431" s="104"/>
      <c r="H431" s="104"/>
      <c r="I431" s="109"/>
      <c r="J431" s="109"/>
      <c r="K431" s="107"/>
      <c r="L431" s="106"/>
      <c r="M431" s="115"/>
      <c r="N431" s="106"/>
      <c r="O431" s="107"/>
      <c r="P431" s="109"/>
      <c r="Q431" s="109"/>
      <c r="R431" s="109"/>
      <c r="S431" s="109"/>
      <c r="T431" s="109"/>
      <c r="U431" s="110"/>
    </row>
    <row r="432" spans="2:21" x14ac:dyDescent="0.2">
      <c r="B432" s="104"/>
      <c r="C432" s="104"/>
      <c r="D432" s="104"/>
      <c r="E432" s="104"/>
      <c r="F432" s="104"/>
      <c r="G432" s="104"/>
      <c r="H432" s="104"/>
      <c r="I432" s="109"/>
      <c r="J432" s="109"/>
      <c r="K432" s="107"/>
      <c r="L432" s="106"/>
      <c r="M432" s="115"/>
      <c r="N432" s="106"/>
      <c r="O432" s="107"/>
      <c r="P432" s="109"/>
      <c r="Q432" s="109"/>
      <c r="R432" s="109"/>
      <c r="S432" s="109"/>
      <c r="T432" s="109"/>
      <c r="U432" s="110"/>
    </row>
    <row r="433" spans="2:21" x14ac:dyDescent="0.2">
      <c r="B433" s="104"/>
      <c r="C433" s="104"/>
      <c r="D433" s="104"/>
      <c r="E433" s="104"/>
      <c r="F433" s="104"/>
      <c r="G433" s="104"/>
      <c r="H433" s="104"/>
      <c r="I433" s="109"/>
      <c r="J433" s="109"/>
      <c r="K433" s="107"/>
      <c r="L433" s="106"/>
      <c r="M433" s="115"/>
      <c r="N433" s="106"/>
      <c r="O433" s="107"/>
      <c r="P433" s="109"/>
      <c r="Q433" s="109"/>
      <c r="R433" s="109"/>
      <c r="S433" s="109"/>
      <c r="T433" s="109"/>
      <c r="U433" s="110"/>
    </row>
    <row r="434" spans="2:21" x14ac:dyDescent="0.2">
      <c r="B434" s="104"/>
      <c r="C434" s="104"/>
      <c r="D434" s="104"/>
      <c r="E434" s="104"/>
      <c r="F434" s="104"/>
      <c r="G434" s="104"/>
      <c r="H434" s="104"/>
      <c r="I434" s="109"/>
      <c r="J434" s="109"/>
      <c r="K434" s="107"/>
      <c r="L434" s="106"/>
      <c r="M434" s="115"/>
      <c r="N434" s="106"/>
      <c r="O434" s="107"/>
      <c r="P434" s="109"/>
      <c r="Q434" s="109"/>
      <c r="R434" s="109"/>
      <c r="S434" s="109"/>
      <c r="T434" s="109"/>
      <c r="U434" s="110"/>
    </row>
    <row r="435" spans="2:21" x14ac:dyDescent="0.2">
      <c r="B435" s="104"/>
      <c r="C435" s="104"/>
      <c r="D435" s="104"/>
      <c r="E435" s="104"/>
      <c r="F435" s="104"/>
      <c r="G435" s="104"/>
      <c r="H435" s="104"/>
      <c r="I435" s="109"/>
      <c r="J435" s="109"/>
      <c r="K435" s="107"/>
      <c r="L435" s="106"/>
      <c r="M435" s="115"/>
      <c r="N435" s="106"/>
      <c r="O435" s="107"/>
      <c r="P435" s="109"/>
      <c r="Q435" s="109"/>
      <c r="R435" s="109"/>
      <c r="S435" s="109"/>
      <c r="T435" s="109"/>
      <c r="U435" s="110"/>
    </row>
    <row r="436" spans="2:21" x14ac:dyDescent="0.2">
      <c r="B436" s="104"/>
      <c r="C436" s="104"/>
      <c r="D436" s="104"/>
      <c r="E436" s="104"/>
      <c r="F436" s="104"/>
      <c r="G436" s="104"/>
      <c r="H436" s="104"/>
      <c r="I436" s="109"/>
      <c r="J436" s="109"/>
      <c r="K436" s="107"/>
      <c r="L436" s="106"/>
      <c r="M436" s="115"/>
      <c r="N436" s="106"/>
      <c r="O436" s="107"/>
      <c r="P436" s="109"/>
      <c r="Q436" s="109"/>
      <c r="R436" s="109"/>
      <c r="S436" s="109"/>
      <c r="T436" s="109"/>
      <c r="U436" s="110"/>
    </row>
    <row r="437" spans="2:21" x14ac:dyDescent="0.2">
      <c r="B437" s="104"/>
      <c r="C437" s="104"/>
      <c r="D437" s="104"/>
      <c r="E437" s="104"/>
      <c r="F437" s="104"/>
      <c r="G437" s="104"/>
      <c r="H437" s="104"/>
      <c r="I437" s="109"/>
      <c r="J437" s="109"/>
      <c r="K437" s="107"/>
      <c r="L437" s="106"/>
      <c r="M437" s="115"/>
      <c r="N437" s="106"/>
      <c r="O437" s="107"/>
      <c r="P437" s="109"/>
      <c r="Q437" s="109"/>
      <c r="R437" s="109"/>
      <c r="S437" s="109"/>
      <c r="T437" s="109"/>
      <c r="U437" s="110"/>
    </row>
    <row r="438" spans="2:21" x14ac:dyDescent="0.2">
      <c r="B438" s="104"/>
      <c r="C438" s="104"/>
      <c r="D438" s="104"/>
      <c r="E438" s="104"/>
      <c r="F438" s="104"/>
      <c r="G438" s="104"/>
      <c r="H438" s="104"/>
      <c r="I438" s="109"/>
      <c r="J438" s="109"/>
      <c r="K438" s="107"/>
      <c r="L438" s="106"/>
      <c r="M438" s="115"/>
      <c r="N438" s="106"/>
      <c r="O438" s="107"/>
      <c r="P438" s="109"/>
      <c r="Q438" s="109"/>
      <c r="R438" s="109"/>
      <c r="S438" s="109"/>
      <c r="T438" s="109"/>
      <c r="U438" s="110"/>
    </row>
    <row r="439" spans="2:21" x14ac:dyDescent="0.2">
      <c r="B439" s="104"/>
      <c r="C439" s="104"/>
      <c r="D439" s="104"/>
      <c r="E439" s="104"/>
      <c r="F439" s="104"/>
      <c r="G439" s="104"/>
      <c r="H439" s="104"/>
      <c r="I439" s="109"/>
      <c r="J439" s="109"/>
      <c r="K439" s="107"/>
      <c r="L439" s="106"/>
      <c r="M439" s="115"/>
      <c r="N439" s="106"/>
      <c r="O439" s="107"/>
      <c r="P439" s="109"/>
      <c r="Q439" s="109"/>
      <c r="R439" s="109"/>
      <c r="S439" s="109"/>
      <c r="T439" s="109"/>
      <c r="U439" s="110"/>
    </row>
    <row r="440" spans="2:21" x14ac:dyDescent="0.2">
      <c r="B440" s="104"/>
      <c r="C440" s="104"/>
      <c r="D440" s="104"/>
      <c r="E440" s="104"/>
      <c r="F440" s="104"/>
      <c r="G440" s="104"/>
      <c r="H440" s="104"/>
      <c r="I440" s="109"/>
      <c r="J440" s="109"/>
      <c r="K440" s="107"/>
      <c r="L440" s="106"/>
      <c r="M440" s="115"/>
      <c r="N440" s="106"/>
      <c r="O440" s="107"/>
      <c r="P440" s="109"/>
      <c r="Q440" s="109"/>
      <c r="R440" s="109"/>
      <c r="S440" s="109"/>
      <c r="T440" s="109"/>
      <c r="U440" s="110"/>
    </row>
    <row r="441" spans="2:21" x14ac:dyDescent="0.2">
      <c r="B441" s="104"/>
      <c r="C441" s="104"/>
      <c r="D441" s="104"/>
      <c r="E441" s="104"/>
      <c r="F441" s="104"/>
      <c r="G441" s="104"/>
      <c r="H441" s="104"/>
      <c r="I441" s="109"/>
      <c r="J441" s="109"/>
      <c r="K441" s="107"/>
      <c r="L441" s="106"/>
      <c r="M441" s="115"/>
      <c r="N441" s="106"/>
      <c r="O441" s="107"/>
      <c r="P441" s="109"/>
      <c r="Q441" s="109"/>
      <c r="R441" s="109"/>
      <c r="S441" s="109"/>
      <c r="T441" s="109"/>
      <c r="U441" s="110"/>
    </row>
    <row r="442" spans="2:21" x14ac:dyDescent="0.2">
      <c r="B442" s="104"/>
      <c r="C442" s="104"/>
      <c r="D442" s="104"/>
      <c r="E442" s="104"/>
      <c r="F442" s="104"/>
      <c r="G442" s="104"/>
      <c r="H442" s="104"/>
      <c r="I442" s="109"/>
      <c r="J442" s="109"/>
      <c r="K442" s="107"/>
      <c r="L442" s="106"/>
      <c r="M442" s="115"/>
      <c r="N442" s="106"/>
      <c r="O442" s="107"/>
      <c r="P442" s="109"/>
      <c r="Q442" s="109"/>
      <c r="R442" s="109"/>
      <c r="S442" s="109"/>
      <c r="T442" s="109"/>
      <c r="U442" s="110"/>
    </row>
    <row r="443" spans="2:21" x14ac:dyDescent="0.2">
      <c r="B443" s="104"/>
      <c r="C443" s="104"/>
      <c r="D443" s="104"/>
      <c r="E443" s="104"/>
      <c r="F443" s="104"/>
      <c r="G443" s="104"/>
      <c r="H443" s="104"/>
      <c r="I443" s="109"/>
      <c r="J443" s="109"/>
      <c r="K443" s="107"/>
      <c r="L443" s="106"/>
      <c r="M443" s="115"/>
      <c r="N443" s="106"/>
      <c r="O443" s="107"/>
      <c r="P443" s="109"/>
      <c r="Q443" s="109"/>
      <c r="R443" s="109"/>
      <c r="S443" s="109"/>
      <c r="T443" s="109"/>
      <c r="U443" s="110"/>
    </row>
    <row r="444" spans="2:21" x14ac:dyDescent="0.2">
      <c r="B444" s="104"/>
      <c r="C444" s="104"/>
      <c r="D444" s="104"/>
      <c r="E444" s="104"/>
      <c r="F444" s="104"/>
      <c r="G444" s="104"/>
      <c r="H444" s="104"/>
      <c r="I444" s="109"/>
      <c r="J444" s="109"/>
      <c r="K444" s="107"/>
      <c r="L444" s="106"/>
      <c r="M444" s="115"/>
      <c r="N444" s="106"/>
      <c r="O444" s="107"/>
      <c r="P444" s="109"/>
      <c r="Q444" s="109"/>
      <c r="R444" s="109"/>
      <c r="S444" s="109"/>
      <c r="T444" s="109"/>
      <c r="U444" s="110"/>
    </row>
    <row r="445" spans="2:21" x14ac:dyDescent="0.2">
      <c r="B445" s="104"/>
      <c r="C445" s="104"/>
      <c r="D445" s="104"/>
      <c r="E445" s="104"/>
      <c r="F445" s="104"/>
      <c r="G445" s="104"/>
      <c r="H445" s="104"/>
      <c r="I445" s="109"/>
      <c r="J445" s="109"/>
      <c r="K445" s="107"/>
      <c r="L445" s="106"/>
      <c r="M445" s="115"/>
      <c r="N445" s="106"/>
      <c r="O445" s="107"/>
      <c r="P445" s="109"/>
      <c r="Q445" s="109"/>
      <c r="R445" s="109"/>
      <c r="S445" s="109"/>
      <c r="T445" s="109"/>
      <c r="U445" s="110"/>
    </row>
    <row r="446" spans="2:21" x14ac:dyDescent="0.2">
      <c r="B446" s="104"/>
      <c r="C446" s="104"/>
      <c r="D446" s="104"/>
      <c r="E446" s="104"/>
      <c r="F446" s="104"/>
      <c r="G446" s="104"/>
      <c r="H446" s="104"/>
      <c r="I446" s="109"/>
      <c r="J446" s="109"/>
      <c r="K446" s="107"/>
      <c r="L446" s="106"/>
      <c r="M446" s="115"/>
      <c r="N446" s="106"/>
      <c r="O446" s="107"/>
      <c r="P446" s="109"/>
      <c r="Q446" s="109"/>
      <c r="R446" s="109"/>
      <c r="S446" s="109"/>
      <c r="T446" s="109"/>
      <c r="U446" s="110"/>
    </row>
    <row r="447" spans="2:21" x14ac:dyDescent="0.2">
      <c r="B447" s="104"/>
      <c r="C447" s="104"/>
      <c r="D447" s="104"/>
      <c r="E447" s="104"/>
      <c r="F447" s="104"/>
      <c r="G447" s="104"/>
      <c r="H447" s="104"/>
      <c r="I447" s="109"/>
      <c r="J447" s="109"/>
      <c r="K447" s="107"/>
      <c r="L447" s="106"/>
      <c r="M447" s="115"/>
      <c r="N447" s="106"/>
      <c r="O447" s="107"/>
      <c r="P447" s="109"/>
      <c r="Q447" s="109"/>
      <c r="R447" s="109"/>
      <c r="S447" s="109"/>
      <c r="T447" s="109"/>
      <c r="U447" s="110"/>
    </row>
    <row r="448" spans="2:21" x14ac:dyDescent="0.2">
      <c r="B448" s="104"/>
      <c r="C448" s="104"/>
      <c r="D448" s="104"/>
      <c r="E448" s="104"/>
      <c r="F448" s="104"/>
      <c r="G448" s="104"/>
      <c r="H448" s="104"/>
      <c r="I448" s="109"/>
      <c r="J448" s="109"/>
      <c r="K448" s="107"/>
      <c r="L448" s="106"/>
      <c r="M448" s="115"/>
      <c r="N448" s="106"/>
      <c r="O448" s="107"/>
      <c r="P448" s="109"/>
      <c r="Q448" s="109"/>
      <c r="R448" s="109"/>
      <c r="S448" s="109"/>
      <c r="T448" s="109"/>
      <c r="U448" s="110"/>
    </row>
    <row r="449" spans="2:21" x14ac:dyDescent="0.2">
      <c r="B449" s="104"/>
      <c r="C449" s="104"/>
      <c r="D449" s="104"/>
      <c r="E449" s="104"/>
      <c r="F449" s="104"/>
      <c r="G449" s="104"/>
      <c r="H449" s="104"/>
      <c r="I449" s="109"/>
      <c r="J449" s="109"/>
      <c r="K449" s="107"/>
      <c r="L449" s="106"/>
      <c r="M449" s="115"/>
      <c r="N449" s="106"/>
      <c r="O449" s="107"/>
      <c r="P449" s="109"/>
      <c r="Q449" s="109"/>
      <c r="R449" s="109"/>
      <c r="S449" s="109"/>
      <c r="T449" s="109"/>
      <c r="U449" s="110"/>
    </row>
    <row r="450" spans="2:21" x14ac:dyDescent="0.2">
      <c r="B450" s="104"/>
      <c r="C450" s="104"/>
      <c r="D450" s="104"/>
      <c r="E450" s="104"/>
      <c r="F450" s="104"/>
      <c r="G450" s="104"/>
      <c r="H450" s="104"/>
      <c r="I450" s="109"/>
      <c r="J450" s="109"/>
      <c r="K450" s="107"/>
      <c r="L450" s="106"/>
      <c r="M450" s="115"/>
      <c r="N450" s="106"/>
      <c r="O450" s="107"/>
      <c r="P450" s="109"/>
      <c r="Q450" s="109"/>
      <c r="R450" s="109"/>
      <c r="S450" s="109"/>
      <c r="T450" s="109"/>
      <c r="U450" s="110"/>
    </row>
    <row r="451" spans="2:21" x14ac:dyDescent="0.2">
      <c r="B451" s="104"/>
      <c r="C451" s="104"/>
      <c r="D451" s="104"/>
      <c r="E451" s="104"/>
      <c r="F451" s="104"/>
      <c r="G451" s="104"/>
      <c r="H451" s="104"/>
      <c r="I451" s="109"/>
      <c r="J451" s="109"/>
      <c r="K451" s="107"/>
      <c r="L451" s="106"/>
      <c r="M451" s="115"/>
      <c r="N451" s="106"/>
      <c r="O451" s="107"/>
      <c r="P451" s="109"/>
      <c r="Q451" s="109"/>
      <c r="R451" s="109"/>
      <c r="S451" s="109"/>
      <c r="T451" s="109"/>
      <c r="U451" s="110"/>
    </row>
    <row r="452" spans="2:21" x14ac:dyDescent="0.2">
      <c r="B452" s="104"/>
      <c r="C452" s="104"/>
      <c r="D452" s="104"/>
      <c r="E452" s="104"/>
      <c r="F452" s="104"/>
      <c r="G452" s="104"/>
      <c r="H452" s="104"/>
      <c r="I452" s="109"/>
      <c r="J452" s="109"/>
      <c r="K452" s="107"/>
      <c r="L452" s="106"/>
      <c r="M452" s="115"/>
      <c r="N452" s="106"/>
      <c r="O452" s="107"/>
      <c r="P452" s="109"/>
      <c r="Q452" s="109"/>
      <c r="R452" s="109"/>
      <c r="S452" s="109"/>
      <c r="T452" s="109"/>
      <c r="U452" s="110"/>
    </row>
    <row r="453" spans="2:21" x14ac:dyDescent="0.2">
      <c r="B453" s="104"/>
      <c r="C453" s="104"/>
      <c r="D453" s="104"/>
      <c r="E453" s="104"/>
      <c r="F453" s="104"/>
      <c r="G453" s="104"/>
      <c r="H453" s="104"/>
      <c r="I453" s="109"/>
      <c r="J453" s="109"/>
      <c r="K453" s="107"/>
      <c r="L453" s="106"/>
      <c r="M453" s="115"/>
      <c r="N453" s="106"/>
      <c r="O453" s="107"/>
      <c r="P453" s="109"/>
      <c r="Q453" s="109"/>
      <c r="R453" s="109"/>
      <c r="S453" s="109"/>
      <c r="T453" s="109"/>
      <c r="U453" s="110"/>
    </row>
    <row r="454" spans="2:21" x14ac:dyDescent="0.2">
      <c r="B454" s="104"/>
      <c r="C454" s="104"/>
      <c r="D454" s="104"/>
      <c r="E454" s="104"/>
      <c r="F454" s="104"/>
      <c r="G454" s="104"/>
      <c r="H454" s="104"/>
      <c r="I454" s="109"/>
      <c r="J454" s="109"/>
      <c r="K454" s="107"/>
      <c r="L454" s="106"/>
      <c r="M454" s="115"/>
      <c r="N454" s="106"/>
      <c r="O454" s="107"/>
      <c r="P454" s="109"/>
      <c r="Q454" s="109"/>
      <c r="R454" s="109"/>
      <c r="S454" s="109"/>
      <c r="T454" s="109"/>
      <c r="U454" s="110"/>
    </row>
    <row r="455" spans="2:21" x14ac:dyDescent="0.2">
      <c r="B455" s="104"/>
      <c r="C455" s="104"/>
      <c r="D455" s="104"/>
      <c r="E455" s="104"/>
      <c r="F455" s="104"/>
      <c r="G455" s="104"/>
      <c r="H455" s="104"/>
      <c r="I455" s="109"/>
      <c r="J455" s="109"/>
      <c r="K455" s="107"/>
      <c r="L455" s="106"/>
      <c r="M455" s="115"/>
      <c r="N455" s="106"/>
      <c r="O455" s="107"/>
      <c r="P455" s="109"/>
      <c r="Q455" s="109"/>
      <c r="R455" s="109"/>
      <c r="S455" s="109"/>
      <c r="T455" s="109"/>
      <c r="U455" s="110"/>
    </row>
    <row r="456" spans="2:21" x14ac:dyDescent="0.2">
      <c r="B456" s="51"/>
      <c r="C456" s="51"/>
      <c r="D456" s="51"/>
      <c r="E456" s="51"/>
      <c r="F456" s="51"/>
      <c r="G456" s="51"/>
      <c r="H456" s="51"/>
      <c r="I456" s="54"/>
      <c r="J456" s="54"/>
      <c r="K456" s="53"/>
      <c r="L456" s="52"/>
      <c r="M456" s="55"/>
      <c r="N456" s="52"/>
      <c r="O456" s="53"/>
      <c r="P456" s="54"/>
      <c r="Q456" s="54"/>
      <c r="R456" s="54"/>
      <c r="S456" s="54"/>
      <c r="T456" s="54"/>
      <c r="U456" s="82"/>
    </row>
    <row r="457" spans="2:21" x14ac:dyDescent="0.2">
      <c r="B457" s="51"/>
      <c r="C457" s="51"/>
      <c r="D457" s="51"/>
      <c r="E457" s="51"/>
      <c r="F457" s="51"/>
      <c r="G457" s="51"/>
      <c r="H457" s="51"/>
      <c r="I457" s="54"/>
      <c r="J457" s="54"/>
      <c r="K457" s="53"/>
      <c r="L457" s="52"/>
      <c r="M457" s="55"/>
      <c r="N457" s="52"/>
      <c r="O457" s="53"/>
      <c r="P457" s="54"/>
      <c r="Q457" s="54"/>
      <c r="R457" s="54"/>
      <c r="S457" s="54"/>
      <c r="T457" s="54"/>
      <c r="U457" s="82"/>
    </row>
    <row r="458" spans="2:21" x14ac:dyDescent="0.2">
      <c r="B458" s="51"/>
      <c r="C458" s="51"/>
      <c r="D458" s="51"/>
      <c r="E458" s="51"/>
      <c r="F458" s="51"/>
      <c r="G458" s="51"/>
      <c r="H458" s="51"/>
      <c r="I458" s="54"/>
      <c r="J458" s="54"/>
      <c r="K458" s="53"/>
      <c r="L458" s="52"/>
      <c r="M458" s="55"/>
      <c r="N458" s="52"/>
      <c r="O458" s="53"/>
      <c r="P458" s="54"/>
      <c r="Q458" s="54"/>
      <c r="R458" s="54"/>
      <c r="S458" s="54"/>
      <c r="T458" s="54"/>
      <c r="U458" s="82"/>
    </row>
    <row r="459" spans="2:21" x14ac:dyDescent="0.2">
      <c r="B459" s="51"/>
      <c r="C459" s="51"/>
      <c r="D459" s="51"/>
      <c r="E459" s="51"/>
      <c r="F459" s="51"/>
      <c r="G459" s="51"/>
      <c r="H459" s="51"/>
      <c r="I459" s="54"/>
      <c r="J459" s="54"/>
      <c r="K459" s="53"/>
      <c r="L459" s="52"/>
      <c r="M459" s="55"/>
      <c r="N459" s="52"/>
      <c r="O459" s="53"/>
      <c r="P459" s="54"/>
      <c r="Q459" s="54"/>
      <c r="R459" s="54"/>
      <c r="S459" s="54"/>
      <c r="T459" s="54"/>
      <c r="U459" s="82"/>
    </row>
    <row r="460" spans="2:21" x14ac:dyDescent="0.2">
      <c r="B460" s="51"/>
      <c r="C460" s="51"/>
      <c r="D460" s="51"/>
      <c r="E460" s="51"/>
      <c r="F460" s="51"/>
      <c r="G460" s="51"/>
      <c r="H460" s="51"/>
      <c r="I460" s="54"/>
      <c r="J460" s="54"/>
      <c r="K460" s="53"/>
      <c r="L460" s="52"/>
      <c r="M460" s="55"/>
      <c r="N460" s="52"/>
      <c r="O460" s="53"/>
      <c r="P460" s="54"/>
      <c r="Q460" s="54"/>
      <c r="R460" s="54"/>
      <c r="S460" s="54"/>
      <c r="T460" s="54"/>
      <c r="U460" s="82"/>
    </row>
    <row r="461" spans="2:21" x14ac:dyDescent="0.2">
      <c r="B461" s="51"/>
      <c r="C461" s="51"/>
      <c r="D461" s="51"/>
      <c r="E461" s="51"/>
      <c r="F461" s="51"/>
      <c r="G461" s="51"/>
      <c r="H461" s="51"/>
      <c r="I461" s="54"/>
      <c r="J461" s="54"/>
      <c r="K461" s="53"/>
      <c r="L461" s="52"/>
      <c r="M461" s="55"/>
      <c r="N461" s="52"/>
      <c r="O461" s="53"/>
      <c r="P461" s="54"/>
      <c r="Q461" s="54"/>
      <c r="R461" s="54"/>
      <c r="S461" s="54"/>
      <c r="T461" s="54"/>
      <c r="U461" s="82"/>
    </row>
    <row r="462" spans="2:21" x14ac:dyDescent="0.2">
      <c r="B462" s="51"/>
      <c r="C462" s="51"/>
      <c r="D462" s="51"/>
      <c r="E462" s="51"/>
      <c r="F462" s="51"/>
      <c r="G462" s="51"/>
      <c r="H462" s="51"/>
      <c r="I462" s="54"/>
      <c r="J462" s="54"/>
      <c r="K462" s="53"/>
      <c r="L462" s="52"/>
      <c r="M462" s="55"/>
      <c r="N462" s="52"/>
      <c r="O462" s="53"/>
      <c r="P462" s="54"/>
      <c r="Q462" s="54"/>
      <c r="R462" s="54"/>
      <c r="S462" s="54"/>
      <c r="T462" s="54"/>
      <c r="U462" s="82"/>
    </row>
    <row r="463" spans="2:21" x14ac:dyDescent="0.2">
      <c r="B463" s="51"/>
      <c r="C463" s="51"/>
      <c r="D463" s="51"/>
      <c r="E463" s="51"/>
      <c r="F463" s="51"/>
      <c r="G463" s="51"/>
      <c r="H463" s="51"/>
      <c r="I463" s="54"/>
      <c r="J463" s="54"/>
      <c r="K463" s="53"/>
      <c r="L463" s="52"/>
      <c r="M463" s="55"/>
      <c r="N463" s="52"/>
      <c r="O463" s="53"/>
      <c r="P463" s="54"/>
      <c r="Q463" s="54"/>
      <c r="R463" s="54"/>
      <c r="S463" s="54"/>
      <c r="T463" s="54"/>
      <c r="U463" s="82"/>
    </row>
    <row r="464" spans="2:21" x14ac:dyDescent="0.2">
      <c r="B464" s="51"/>
      <c r="C464" s="51"/>
      <c r="D464" s="51"/>
      <c r="E464" s="51"/>
      <c r="F464" s="51"/>
      <c r="G464" s="51"/>
      <c r="H464" s="51"/>
      <c r="I464" s="54"/>
      <c r="J464" s="54"/>
      <c r="K464" s="53"/>
      <c r="L464" s="52"/>
      <c r="M464" s="55"/>
      <c r="N464" s="52"/>
      <c r="O464" s="53"/>
      <c r="P464" s="54"/>
      <c r="Q464" s="54"/>
      <c r="R464" s="54"/>
      <c r="S464" s="54"/>
      <c r="T464" s="54"/>
      <c r="U464" s="82"/>
    </row>
    <row r="465" spans="2:21" x14ac:dyDescent="0.2">
      <c r="B465" s="51"/>
      <c r="C465" s="51"/>
      <c r="D465" s="51"/>
      <c r="E465" s="51"/>
      <c r="F465" s="51"/>
      <c r="G465" s="51"/>
      <c r="H465" s="51"/>
      <c r="I465" s="54"/>
      <c r="J465" s="54"/>
      <c r="K465" s="53"/>
      <c r="L465" s="52"/>
      <c r="M465" s="55"/>
      <c r="N465" s="52"/>
      <c r="O465" s="53"/>
      <c r="P465" s="54"/>
      <c r="Q465" s="54"/>
      <c r="R465" s="54"/>
      <c r="S465" s="54"/>
      <c r="T465" s="54"/>
      <c r="U465" s="82"/>
    </row>
    <row r="466" spans="2:21" x14ac:dyDescent="0.2">
      <c r="B466" s="51"/>
      <c r="C466" s="51"/>
      <c r="D466" s="51"/>
      <c r="E466" s="51"/>
      <c r="F466" s="51"/>
      <c r="G466" s="51"/>
      <c r="H466" s="51"/>
      <c r="I466" s="54"/>
      <c r="J466" s="54"/>
      <c r="K466" s="53"/>
      <c r="L466" s="52"/>
      <c r="M466" s="55"/>
      <c r="N466" s="52"/>
      <c r="O466" s="53"/>
      <c r="P466" s="54"/>
      <c r="Q466" s="54"/>
      <c r="R466" s="54"/>
      <c r="S466" s="54"/>
      <c r="T466" s="54"/>
      <c r="U466" s="82"/>
    </row>
    <row r="467" spans="2:21" x14ac:dyDescent="0.2">
      <c r="B467" s="51"/>
      <c r="C467" s="51"/>
      <c r="D467" s="51"/>
      <c r="E467" s="51"/>
      <c r="F467" s="51"/>
      <c r="G467" s="51"/>
      <c r="H467" s="51"/>
      <c r="I467" s="54"/>
      <c r="J467" s="54"/>
      <c r="K467" s="53"/>
      <c r="L467" s="52"/>
      <c r="M467" s="55"/>
      <c r="N467" s="52"/>
      <c r="O467" s="53"/>
      <c r="P467" s="54"/>
      <c r="Q467" s="54"/>
      <c r="R467" s="54"/>
      <c r="S467" s="54"/>
      <c r="T467" s="54"/>
      <c r="U467" s="82"/>
    </row>
    <row r="468" spans="2:21" x14ac:dyDescent="0.2">
      <c r="B468" s="51"/>
      <c r="C468" s="51"/>
      <c r="D468" s="51"/>
      <c r="E468" s="51"/>
      <c r="F468" s="51"/>
      <c r="G468" s="51"/>
      <c r="H468" s="51"/>
      <c r="I468" s="54"/>
      <c r="J468" s="54"/>
      <c r="K468" s="53"/>
      <c r="L468" s="52"/>
      <c r="M468" s="55"/>
      <c r="N468" s="52"/>
      <c r="O468" s="53"/>
      <c r="P468" s="54"/>
      <c r="Q468" s="54"/>
      <c r="R468" s="54"/>
      <c r="S468" s="54"/>
      <c r="T468" s="54"/>
      <c r="U468" s="82"/>
    </row>
    <row r="469" spans="2:21" x14ac:dyDescent="0.2">
      <c r="B469" s="51"/>
      <c r="C469" s="51"/>
      <c r="D469" s="51"/>
      <c r="E469" s="51"/>
      <c r="F469" s="51"/>
      <c r="G469" s="51"/>
      <c r="H469" s="51"/>
      <c r="I469" s="54"/>
      <c r="J469" s="54"/>
      <c r="K469" s="53"/>
      <c r="L469" s="52"/>
      <c r="M469" s="55"/>
      <c r="N469" s="52"/>
      <c r="O469" s="53"/>
      <c r="P469" s="54"/>
      <c r="Q469" s="54"/>
      <c r="R469" s="54"/>
      <c r="S469" s="54"/>
      <c r="T469" s="54"/>
      <c r="U469" s="82"/>
    </row>
    <row r="470" spans="2:21" x14ac:dyDescent="0.2">
      <c r="B470" s="51"/>
      <c r="C470" s="51"/>
      <c r="D470" s="51"/>
      <c r="E470" s="51"/>
      <c r="F470" s="51"/>
      <c r="G470" s="51"/>
      <c r="H470" s="51"/>
      <c r="I470" s="54"/>
      <c r="J470" s="54"/>
      <c r="K470" s="53"/>
      <c r="L470" s="52"/>
      <c r="M470" s="55"/>
      <c r="N470" s="52"/>
      <c r="O470" s="53"/>
      <c r="P470" s="54"/>
      <c r="Q470" s="54"/>
      <c r="R470" s="54"/>
      <c r="S470" s="54"/>
      <c r="T470" s="54"/>
      <c r="U470" s="82"/>
    </row>
    <row r="471" spans="2:21" x14ac:dyDescent="0.2">
      <c r="B471" s="51"/>
      <c r="C471" s="51"/>
      <c r="D471" s="51"/>
      <c r="E471" s="51"/>
      <c r="F471" s="51"/>
      <c r="G471" s="51"/>
      <c r="H471" s="51"/>
      <c r="I471" s="54"/>
      <c r="J471" s="54"/>
      <c r="K471" s="53"/>
      <c r="L471" s="52"/>
      <c r="M471" s="55"/>
      <c r="N471" s="52"/>
      <c r="O471" s="53"/>
      <c r="P471" s="54"/>
      <c r="Q471" s="54"/>
      <c r="R471" s="54"/>
      <c r="S471" s="54"/>
      <c r="T471" s="54"/>
      <c r="U471" s="82"/>
    </row>
    <row r="472" spans="2:21" x14ac:dyDescent="0.2">
      <c r="B472" s="51"/>
      <c r="C472" s="51"/>
      <c r="D472" s="51"/>
      <c r="E472" s="51"/>
      <c r="F472" s="51"/>
      <c r="G472" s="51"/>
      <c r="H472" s="51"/>
      <c r="I472" s="54"/>
      <c r="J472" s="54"/>
      <c r="K472" s="53"/>
      <c r="L472" s="52"/>
      <c r="M472" s="55"/>
      <c r="N472" s="52"/>
      <c r="O472" s="53"/>
      <c r="P472" s="54"/>
      <c r="Q472" s="54"/>
      <c r="R472" s="54"/>
      <c r="S472" s="54"/>
      <c r="T472" s="54"/>
      <c r="U472" s="82"/>
    </row>
    <row r="473" spans="2:21" x14ac:dyDescent="0.2">
      <c r="B473" s="51"/>
      <c r="C473" s="51"/>
      <c r="D473" s="51"/>
      <c r="E473" s="51"/>
      <c r="F473" s="51"/>
      <c r="G473" s="51"/>
      <c r="H473" s="51"/>
      <c r="I473" s="54"/>
      <c r="J473" s="54"/>
      <c r="K473" s="53"/>
      <c r="L473" s="52"/>
      <c r="M473" s="55"/>
      <c r="N473" s="52"/>
      <c r="O473" s="53"/>
      <c r="P473" s="54"/>
      <c r="Q473" s="54"/>
      <c r="R473" s="54"/>
      <c r="S473" s="54"/>
      <c r="T473" s="54"/>
      <c r="U473" s="82"/>
    </row>
    <row r="474" spans="2:21" x14ac:dyDescent="0.2">
      <c r="B474" s="51"/>
      <c r="C474" s="51"/>
      <c r="D474" s="51"/>
      <c r="E474" s="51"/>
      <c r="F474" s="51"/>
      <c r="G474" s="51"/>
      <c r="H474" s="51"/>
      <c r="I474" s="54"/>
      <c r="J474" s="54"/>
      <c r="K474" s="53"/>
      <c r="L474" s="52"/>
      <c r="M474" s="55"/>
      <c r="N474" s="52"/>
      <c r="O474" s="53"/>
      <c r="P474" s="54"/>
      <c r="Q474" s="54"/>
      <c r="R474" s="54"/>
      <c r="S474" s="54"/>
      <c r="T474" s="54"/>
      <c r="U474" s="82"/>
    </row>
    <row r="475" spans="2:21" x14ac:dyDescent="0.2">
      <c r="B475" s="51"/>
      <c r="C475" s="51"/>
      <c r="D475" s="51"/>
      <c r="E475" s="51"/>
      <c r="F475" s="51"/>
      <c r="G475" s="51"/>
      <c r="H475" s="51"/>
      <c r="I475" s="54"/>
      <c r="J475" s="54"/>
      <c r="K475" s="53"/>
      <c r="L475" s="52"/>
      <c r="M475" s="55"/>
      <c r="N475" s="52"/>
      <c r="O475" s="53"/>
      <c r="P475" s="54"/>
      <c r="Q475" s="54"/>
      <c r="R475" s="54"/>
      <c r="S475" s="54"/>
      <c r="T475" s="54"/>
      <c r="U475" s="82"/>
    </row>
    <row r="476" spans="2:21" x14ac:dyDescent="0.2">
      <c r="B476" s="51"/>
      <c r="C476" s="51"/>
      <c r="D476" s="51"/>
      <c r="E476" s="51"/>
      <c r="F476" s="51"/>
      <c r="G476" s="51"/>
      <c r="H476" s="51"/>
      <c r="I476" s="54"/>
      <c r="J476" s="54"/>
      <c r="K476" s="53"/>
      <c r="L476" s="52"/>
      <c r="M476" s="55"/>
      <c r="N476" s="52"/>
      <c r="O476" s="53"/>
      <c r="P476" s="54"/>
      <c r="Q476" s="54"/>
      <c r="R476" s="54"/>
      <c r="S476" s="54"/>
      <c r="T476" s="54"/>
      <c r="U476" s="82"/>
    </row>
    <row r="477" spans="2:21" x14ac:dyDescent="0.2">
      <c r="B477" s="51"/>
      <c r="C477" s="51"/>
      <c r="D477" s="51"/>
      <c r="E477" s="51"/>
      <c r="F477" s="51"/>
      <c r="G477" s="51"/>
      <c r="H477" s="51"/>
      <c r="I477" s="54"/>
      <c r="J477" s="54"/>
      <c r="K477" s="53"/>
      <c r="L477" s="52"/>
      <c r="M477" s="55"/>
      <c r="N477" s="52"/>
      <c r="O477" s="53"/>
      <c r="P477" s="54"/>
      <c r="Q477" s="54"/>
      <c r="R477" s="54"/>
      <c r="S477" s="54"/>
      <c r="T477" s="54"/>
      <c r="U477" s="82"/>
    </row>
    <row r="478" spans="2:21" x14ac:dyDescent="0.2">
      <c r="B478" s="51"/>
      <c r="C478" s="51"/>
      <c r="D478" s="51"/>
      <c r="E478" s="51"/>
      <c r="F478" s="51"/>
      <c r="G478" s="51"/>
      <c r="H478" s="51"/>
      <c r="I478" s="54"/>
      <c r="J478" s="54"/>
      <c r="K478" s="53"/>
      <c r="L478" s="52"/>
      <c r="M478" s="55"/>
      <c r="N478" s="52"/>
      <c r="O478" s="53"/>
      <c r="P478" s="54"/>
      <c r="Q478" s="54"/>
      <c r="R478" s="54"/>
      <c r="S478" s="54"/>
      <c r="T478" s="54"/>
      <c r="U478" s="82"/>
    </row>
    <row r="479" spans="2:21" x14ac:dyDescent="0.2">
      <c r="B479" s="51"/>
      <c r="C479" s="51"/>
      <c r="D479" s="51"/>
      <c r="E479" s="51"/>
      <c r="F479" s="51"/>
      <c r="G479" s="51"/>
      <c r="H479" s="51"/>
      <c r="I479" s="54"/>
      <c r="J479" s="54"/>
      <c r="K479" s="53"/>
      <c r="L479" s="52"/>
      <c r="M479" s="55"/>
      <c r="N479" s="52"/>
      <c r="O479" s="53"/>
      <c r="P479" s="54"/>
      <c r="Q479" s="54"/>
      <c r="R479" s="54"/>
      <c r="S479" s="54"/>
      <c r="T479" s="54"/>
      <c r="U479" s="82"/>
    </row>
    <row r="480" spans="2:21" x14ac:dyDescent="0.2">
      <c r="B480" s="51"/>
      <c r="C480" s="51"/>
      <c r="D480" s="51"/>
      <c r="E480" s="51"/>
      <c r="F480" s="51"/>
      <c r="G480" s="51"/>
      <c r="H480" s="51"/>
      <c r="I480" s="54"/>
      <c r="J480" s="54"/>
      <c r="K480" s="53"/>
      <c r="L480" s="52"/>
      <c r="M480" s="55"/>
      <c r="N480" s="52"/>
      <c r="O480" s="53"/>
      <c r="P480" s="54"/>
      <c r="Q480" s="54"/>
      <c r="R480" s="54"/>
      <c r="S480" s="54"/>
      <c r="T480" s="54"/>
      <c r="U480" s="82"/>
    </row>
    <row r="481" spans="2:21" x14ac:dyDescent="0.2">
      <c r="B481" s="51"/>
      <c r="C481" s="51"/>
      <c r="D481" s="51"/>
      <c r="E481" s="51"/>
      <c r="F481" s="51"/>
      <c r="G481" s="51"/>
      <c r="H481" s="51"/>
      <c r="I481" s="54"/>
      <c r="J481" s="54"/>
      <c r="K481" s="53"/>
      <c r="L481" s="52"/>
      <c r="M481" s="55"/>
      <c r="N481" s="52"/>
      <c r="O481" s="53"/>
      <c r="P481" s="54"/>
      <c r="Q481" s="54"/>
      <c r="R481" s="54"/>
      <c r="S481" s="54"/>
      <c r="T481" s="54"/>
      <c r="U481" s="82"/>
    </row>
    <row r="482" spans="2:21" x14ac:dyDescent="0.2">
      <c r="B482" s="51"/>
      <c r="C482" s="51"/>
      <c r="D482" s="51"/>
      <c r="E482" s="51"/>
      <c r="F482" s="51"/>
      <c r="G482" s="51"/>
      <c r="H482" s="51"/>
      <c r="I482" s="54"/>
      <c r="J482" s="54"/>
      <c r="K482" s="53"/>
      <c r="L482" s="52"/>
      <c r="M482" s="55"/>
      <c r="N482" s="52"/>
      <c r="O482" s="53"/>
      <c r="P482" s="54"/>
      <c r="Q482" s="54"/>
      <c r="R482" s="54"/>
      <c r="S482" s="54"/>
      <c r="T482" s="54"/>
      <c r="U482" s="82"/>
    </row>
    <row r="483" spans="2:21" x14ac:dyDescent="0.2">
      <c r="B483" s="51"/>
      <c r="C483" s="51"/>
      <c r="D483" s="51"/>
      <c r="E483" s="51"/>
      <c r="F483" s="51"/>
      <c r="G483" s="51"/>
      <c r="H483" s="51"/>
      <c r="I483" s="54"/>
      <c r="J483" s="54"/>
      <c r="K483" s="53"/>
      <c r="L483" s="52"/>
      <c r="M483" s="55"/>
      <c r="N483" s="52"/>
      <c r="O483" s="53"/>
      <c r="P483" s="54"/>
      <c r="Q483" s="54"/>
      <c r="R483" s="54"/>
      <c r="S483" s="54"/>
      <c r="T483" s="54"/>
      <c r="U483" s="82"/>
    </row>
    <row r="484" spans="2:21" x14ac:dyDescent="0.2">
      <c r="B484" s="51"/>
      <c r="C484" s="51"/>
      <c r="D484" s="51"/>
      <c r="E484" s="51"/>
      <c r="F484" s="51"/>
      <c r="G484" s="51"/>
      <c r="H484" s="51"/>
      <c r="I484" s="54"/>
      <c r="J484" s="54"/>
      <c r="K484" s="53"/>
      <c r="L484" s="52"/>
      <c r="M484" s="55"/>
      <c r="N484" s="52"/>
      <c r="O484" s="53"/>
      <c r="P484" s="54"/>
      <c r="Q484" s="54"/>
      <c r="R484" s="54"/>
      <c r="S484" s="54"/>
      <c r="T484" s="54"/>
      <c r="U484" s="82"/>
    </row>
    <row r="485" spans="2:21" x14ac:dyDescent="0.2">
      <c r="B485" s="51"/>
      <c r="C485" s="51"/>
      <c r="D485" s="51"/>
      <c r="E485" s="51"/>
      <c r="F485" s="51"/>
      <c r="G485" s="51"/>
      <c r="H485" s="51"/>
      <c r="I485" s="54"/>
      <c r="J485" s="54"/>
      <c r="K485" s="53"/>
      <c r="L485" s="52"/>
      <c r="M485" s="55"/>
      <c r="N485" s="52"/>
      <c r="O485" s="53"/>
      <c r="P485" s="54"/>
      <c r="Q485" s="54"/>
      <c r="R485" s="54"/>
      <c r="S485" s="54"/>
      <c r="T485" s="54"/>
      <c r="U485" s="82"/>
    </row>
    <row r="486" spans="2:21" x14ac:dyDescent="0.2">
      <c r="B486" s="51"/>
      <c r="C486" s="51"/>
      <c r="D486" s="51"/>
      <c r="E486" s="51"/>
      <c r="F486" s="51"/>
      <c r="G486" s="51"/>
      <c r="H486" s="51"/>
      <c r="I486" s="54"/>
      <c r="J486" s="54"/>
      <c r="K486" s="53"/>
      <c r="L486" s="52"/>
      <c r="M486" s="55"/>
      <c r="N486" s="52"/>
      <c r="O486" s="53"/>
      <c r="P486" s="54"/>
      <c r="Q486" s="54"/>
      <c r="R486" s="54"/>
      <c r="S486" s="54"/>
      <c r="T486" s="54"/>
      <c r="U486" s="82"/>
    </row>
    <row r="487" spans="2:21" x14ac:dyDescent="0.2">
      <c r="B487" s="51"/>
      <c r="C487" s="51"/>
      <c r="D487" s="51"/>
      <c r="E487" s="51"/>
      <c r="F487" s="51"/>
      <c r="G487" s="51"/>
      <c r="H487" s="51"/>
      <c r="I487" s="54"/>
      <c r="J487" s="54"/>
      <c r="K487" s="53"/>
      <c r="L487" s="52"/>
      <c r="M487" s="55"/>
      <c r="N487" s="52"/>
      <c r="O487" s="53"/>
      <c r="P487" s="54"/>
      <c r="Q487" s="54"/>
      <c r="R487" s="54"/>
      <c r="S487" s="54"/>
      <c r="T487" s="54"/>
      <c r="U487" s="82"/>
    </row>
    <row r="488" spans="2:21" x14ac:dyDescent="0.2">
      <c r="B488" s="51"/>
      <c r="C488" s="51"/>
      <c r="D488" s="51"/>
      <c r="E488" s="51"/>
      <c r="F488" s="51"/>
      <c r="G488" s="51"/>
      <c r="H488" s="51"/>
      <c r="I488" s="54"/>
      <c r="J488" s="54"/>
      <c r="K488" s="53"/>
      <c r="L488" s="52"/>
      <c r="M488" s="55"/>
      <c r="N488" s="52"/>
      <c r="O488" s="53"/>
      <c r="P488" s="54"/>
      <c r="Q488" s="54"/>
      <c r="R488" s="54"/>
      <c r="S488" s="54"/>
      <c r="T488" s="54"/>
      <c r="U488" s="82"/>
    </row>
    <row r="489" spans="2:21" x14ac:dyDescent="0.2">
      <c r="B489" s="51"/>
      <c r="C489" s="51"/>
      <c r="D489" s="51"/>
      <c r="E489" s="51"/>
      <c r="F489" s="51"/>
      <c r="G489" s="51"/>
      <c r="H489" s="51"/>
      <c r="I489" s="54"/>
      <c r="J489" s="54"/>
      <c r="K489" s="53"/>
      <c r="L489" s="52"/>
      <c r="M489" s="55"/>
      <c r="N489" s="52"/>
      <c r="O489" s="53"/>
      <c r="P489" s="54"/>
      <c r="Q489" s="54"/>
      <c r="R489" s="54"/>
      <c r="S489" s="54"/>
      <c r="T489" s="54"/>
      <c r="U489" s="82"/>
    </row>
    <row r="490" spans="2:21" x14ac:dyDescent="0.2">
      <c r="B490" s="51"/>
      <c r="C490" s="51"/>
      <c r="D490" s="51"/>
      <c r="E490" s="51"/>
      <c r="F490" s="51"/>
      <c r="G490" s="51"/>
      <c r="H490" s="51"/>
      <c r="I490" s="54"/>
      <c r="J490" s="54"/>
      <c r="K490" s="53"/>
      <c r="L490" s="52"/>
      <c r="M490" s="55"/>
      <c r="N490" s="52"/>
      <c r="O490" s="53"/>
      <c r="P490" s="54"/>
      <c r="Q490" s="54"/>
      <c r="R490" s="54"/>
      <c r="S490" s="54"/>
      <c r="T490" s="54"/>
      <c r="U490" s="82"/>
    </row>
    <row r="491" spans="2:21" x14ac:dyDescent="0.2">
      <c r="B491" s="51"/>
      <c r="C491" s="51"/>
      <c r="D491" s="51"/>
      <c r="E491" s="51"/>
      <c r="F491" s="51"/>
      <c r="G491" s="51"/>
      <c r="H491" s="51"/>
      <c r="I491" s="54"/>
      <c r="J491" s="54"/>
      <c r="K491" s="53"/>
      <c r="L491" s="52"/>
      <c r="M491" s="55"/>
      <c r="N491" s="52"/>
      <c r="O491" s="53"/>
      <c r="P491" s="54"/>
      <c r="Q491" s="54"/>
      <c r="R491" s="54"/>
      <c r="S491" s="54"/>
      <c r="T491" s="54"/>
      <c r="U491" s="82"/>
    </row>
    <row r="492" spans="2:21" x14ac:dyDescent="0.2">
      <c r="B492" s="51"/>
      <c r="C492" s="51"/>
      <c r="D492" s="51"/>
      <c r="E492" s="51"/>
      <c r="F492" s="51"/>
      <c r="G492" s="51"/>
      <c r="H492" s="51"/>
      <c r="I492" s="54"/>
      <c r="J492" s="54"/>
      <c r="K492" s="53"/>
      <c r="L492" s="52"/>
      <c r="M492" s="55"/>
      <c r="N492" s="52"/>
      <c r="O492" s="53"/>
      <c r="P492" s="54"/>
      <c r="Q492" s="54"/>
      <c r="R492" s="54"/>
      <c r="S492" s="54"/>
      <c r="T492" s="54"/>
      <c r="U492" s="82"/>
    </row>
    <row r="493" spans="2:21" x14ac:dyDescent="0.2">
      <c r="B493" s="51"/>
      <c r="C493" s="51"/>
      <c r="D493" s="51"/>
      <c r="E493" s="51"/>
      <c r="F493" s="51"/>
      <c r="G493" s="51"/>
      <c r="H493" s="51"/>
      <c r="I493" s="54"/>
      <c r="J493" s="54"/>
      <c r="K493" s="53"/>
      <c r="L493" s="52"/>
      <c r="M493" s="55"/>
      <c r="N493" s="52"/>
      <c r="O493" s="53"/>
      <c r="P493" s="54"/>
      <c r="Q493" s="54"/>
      <c r="R493" s="54"/>
      <c r="S493" s="54"/>
      <c r="T493" s="54"/>
      <c r="U493" s="82"/>
    </row>
    <row r="494" spans="2:21" x14ac:dyDescent="0.2">
      <c r="B494" s="51"/>
      <c r="C494" s="51"/>
      <c r="D494" s="51"/>
      <c r="E494" s="51"/>
      <c r="F494" s="51"/>
      <c r="G494" s="51"/>
      <c r="H494" s="51"/>
      <c r="I494" s="54"/>
      <c r="J494" s="54"/>
      <c r="K494" s="53"/>
      <c r="L494" s="52"/>
      <c r="M494" s="55"/>
      <c r="N494" s="52"/>
      <c r="O494" s="53"/>
      <c r="P494" s="54"/>
      <c r="Q494" s="54"/>
      <c r="R494" s="54"/>
      <c r="S494" s="54"/>
      <c r="T494" s="54"/>
      <c r="U494" s="82"/>
    </row>
    <row r="495" spans="2:21" x14ac:dyDescent="0.2">
      <c r="B495" s="51"/>
      <c r="C495" s="51"/>
      <c r="D495" s="51"/>
      <c r="E495" s="51"/>
      <c r="F495" s="51"/>
      <c r="G495" s="51"/>
      <c r="H495" s="51"/>
      <c r="I495" s="54"/>
      <c r="J495" s="54"/>
      <c r="K495" s="53"/>
      <c r="L495" s="52"/>
      <c r="M495" s="55"/>
      <c r="N495" s="52"/>
      <c r="O495" s="53"/>
      <c r="P495" s="54"/>
      <c r="Q495" s="54"/>
      <c r="R495" s="54"/>
      <c r="S495" s="54"/>
      <c r="T495" s="54"/>
      <c r="U495" s="82"/>
    </row>
    <row r="496" spans="2:21" x14ac:dyDescent="0.2">
      <c r="B496" s="51"/>
      <c r="C496" s="51"/>
      <c r="D496" s="51"/>
      <c r="E496" s="51"/>
      <c r="F496" s="51"/>
      <c r="G496" s="51"/>
      <c r="H496" s="51"/>
      <c r="I496" s="54"/>
      <c r="J496" s="54"/>
      <c r="K496" s="53"/>
      <c r="L496" s="52"/>
      <c r="M496" s="55"/>
      <c r="N496" s="52"/>
      <c r="O496" s="53"/>
      <c r="P496" s="54"/>
      <c r="Q496" s="54"/>
      <c r="R496" s="54"/>
      <c r="S496" s="54"/>
      <c r="T496" s="54"/>
      <c r="U496" s="82"/>
    </row>
    <row r="497" spans="2:21" x14ac:dyDescent="0.2">
      <c r="B497" s="51"/>
      <c r="C497" s="51"/>
      <c r="D497" s="51"/>
      <c r="E497" s="51"/>
      <c r="F497" s="51"/>
      <c r="G497" s="51"/>
      <c r="H497" s="51"/>
      <c r="I497" s="54"/>
      <c r="J497" s="54"/>
      <c r="K497" s="53"/>
      <c r="L497" s="52"/>
      <c r="M497" s="55"/>
      <c r="N497" s="52"/>
      <c r="O497" s="53"/>
      <c r="P497" s="54"/>
      <c r="Q497" s="54"/>
      <c r="R497" s="54"/>
      <c r="S497" s="54"/>
      <c r="T497" s="54"/>
      <c r="U497" s="82"/>
    </row>
    <row r="498" spans="2:21" x14ac:dyDescent="0.2">
      <c r="B498" s="51"/>
      <c r="C498" s="51"/>
      <c r="D498" s="51"/>
      <c r="E498" s="51"/>
      <c r="F498" s="51"/>
      <c r="G498" s="51"/>
      <c r="H498" s="51"/>
      <c r="I498" s="54"/>
      <c r="J498" s="54"/>
      <c r="K498" s="53"/>
      <c r="L498" s="52"/>
      <c r="M498" s="55"/>
      <c r="N498" s="52"/>
      <c r="O498" s="53"/>
      <c r="P498" s="54"/>
      <c r="Q498" s="54"/>
      <c r="R498" s="54"/>
      <c r="S498" s="54"/>
      <c r="T498" s="54"/>
      <c r="U498" s="82"/>
    </row>
    <row r="499" spans="2:21" x14ac:dyDescent="0.2">
      <c r="B499" s="51"/>
      <c r="C499" s="51"/>
      <c r="D499" s="51"/>
      <c r="E499" s="51"/>
      <c r="F499" s="51"/>
      <c r="G499" s="51"/>
      <c r="H499" s="51"/>
      <c r="I499" s="54"/>
      <c r="J499" s="54"/>
      <c r="K499" s="53"/>
      <c r="L499" s="52"/>
      <c r="M499" s="55"/>
      <c r="N499" s="52"/>
      <c r="O499" s="53"/>
      <c r="P499" s="54"/>
      <c r="Q499" s="54"/>
      <c r="R499" s="54"/>
      <c r="S499" s="54"/>
      <c r="T499" s="54"/>
      <c r="U499" s="82"/>
    </row>
    <row r="500" spans="2:21" x14ac:dyDescent="0.2">
      <c r="B500" s="51"/>
      <c r="C500" s="51"/>
      <c r="D500" s="51"/>
      <c r="E500" s="51"/>
      <c r="F500" s="51"/>
      <c r="G500" s="51"/>
      <c r="H500" s="51"/>
      <c r="I500" s="54"/>
      <c r="J500" s="54"/>
      <c r="K500" s="53"/>
      <c r="L500" s="52"/>
      <c r="M500" s="55"/>
      <c r="N500" s="52"/>
      <c r="O500" s="53"/>
      <c r="P500" s="54"/>
      <c r="Q500" s="54"/>
      <c r="R500" s="54"/>
      <c r="S500" s="54"/>
      <c r="T500" s="54"/>
      <c r="U500" s="82"/>
    </row>
    <row r="501" spans="2:21" x14ac:dyDescent="0.2">
      <c r="B501" s="51"/>
      <c r="C501" s="51"/>
      <c r="D501" s="51"/>
      <c r="E501" s="51"/>
      <c r="F501" s="51"/>
      <c r="G501" s="51"/>
      <c r="H501" s="51"/>
      <c r="I501" s="54"/>
      <c r="J501" s="54"/>
      <c r="K501" s="53"/>
      <c r="L501" s="52"/>
      <c r="M501" s="55"/>
      <c r="N501" s="52"/>
      <c r="O501" s="53"/>
      <c r="P501" s="54"/>
      <c r="Q501" s="54"/>
      <c r="R501" s="54"/>
      <c r="S501" s="54"/>
      <c r="T501" s="54"/>
      <c r="U501" s="82"/>
    </row>
    <row r="502" spans="2:21" x14ac:dyDescent="0.2">
      <c r="B502" s="51"/>
      <c r="C502" s="51"/>
      <c r="D502" s="51"/>
      <c r="E502" s="51"/>
      <c r="F502" s="51"/>
      <c r="G502" s="51"/>
      <c r="H502" s="51"/>
      <c r="I502" s="54"/>
      <c r="J502" s="54"/>
      <c r="K502" s="53"/>
      <c r="L502" s="52"/>
      <c r="M502" s="55"/>
      <c r="N502" s="52"/>
      <c r="O502" s="53"/>
      <c r="P502" s="54"/>
      <c r="Q502" s="54"/>
      <c r="R502" s="54"/>
      <c r="S502" s="54"/>
      <c r="T502" s="54"/>
      <c r="U502" s="82"/>
    </row>
    <row r="503" spans="2:21" x14ac:dyDescent="0.2">
      <c r="B503" s="51"/>
      <c r="C503" s="51"/>
      <c r="D503" s="51"/>
      <c r="E503" s="51"/>
      <c r="F503" s="51"/>
      <c r="G503" s="51"/>
      <c r="H503" s="51"/>
      <c r="I503" s="54"/>
      <c r="J503" s="54"/>
      <c r="K503" s="53"/>
      <c r="L503" s="52"/>
      <c r="M503" s="55"/>
      <c r="N503" s="52"/>
      <c r="O503" s="53"/>
      <c r="P503" s="54"/>
      <c r="Q503" s="54"/>
      <c r="R503" s="54"/>
      <c r="S503" s="54"/>
      <c r="T503" s="54"/>
      <c r="U503" s="82"/>
    </row>
    <row r="504" spans="2:21" x14ac:dyDescent="0.2">
      <c r="B504" s="51"/>
      <c r="C504" s="51"/>
      <c r="D504" s="51"/>
      <c r="E504" s="51"/>
      <c r="F504" s="51"/>
      <c r="G504" s="51"/>
      <c r="H504" s="51"/>
      <c r="I504" s="54"/>
      <c r="J504" s="54"/>
      <c r="K504" s="53"/>
      <c r="L504" s="52"/>
      <c r="M504" s="55"/>
      <c r="N504" s="52"/>
      <c r="O504" s="53"/>
      <c r="P504" s="54"/>
      <c r="Q504" s="54"/>
      <c r="R504" s="54"/>
      <c r="S504" s="54"/>
      <c r="T504" s="54"/>
      <c r="U504" s="82"/>
    </row>
    <row r="505" spans="2:21" x14ac:dyDescent="0.2">
      <c r="B505" s="51"/>
      <c r="C505" s="51"/>
      <c r="D505" s="51"/>
      <c r="E505" s="51"/>
      <c r="F505" s="51"/>
      <c r="G505" s="51"/>
      <c r="H505" s="51"/>
      <c r="I505" s="54"/>
      <c r="J505" s="54"/>
      <c r="K505" s="53"/>
      <c r="L505" s="52"/>
      <c r="M505" s="55"/>
      <c r="N505" s="52"/>
      <c r="O505" s="53"/>
      <c r="P505" s="54"/>
      <c r="Q505" s="54"/>
      <c r="R505" s="54"/>
      <c r="S505" s="54"/>
      <c r="T505" s="54"/>
      <c r="U505" s="82"/>
    </row>
    <row r="506" spans="2:21" x14ac:dyDescent="0.2">
      <c r="B506" s="51"/>
      <c r="C506" s="51"/>
      <c r="D506" s="51"/>
      <c r="E506" s="51"/>
      <c r="F506" s="51"/>
      <c r="G506" s="51"/>
      <c r="H506" s="51"/>
      <c r="I506" s="54"/>
      <c r="J506" s="54"/>
      <c r="K506" s="53"/>
      <c r="L506" s="52"/>
      <c r="M506" s="55"/>
      <c r="N506" s="52"/>
      <c r="O506" s="53"/>
      <c r="P506" s="54"/>
      <c r="Q506" s="54"/>
      <c r="R506" s="54"/>
      <c r="S506" s="54"/>
      <c r="T506" s="54"/>
      <c r="U506" s="82"/>
    </row>
    <row r="507" spans="2:21" x14ac:dyDescent="0.2">
      <c r="B507" s="51"/>
      <c r="C507" s="51"/>
      <c r="D507" s="51"/>
      <c r="E507" s="51"/>
      <c r="F507" s="51"/>
      <c r="G507" s="51"/>
      <c r="H507" s="51"/>
      <c r="I507" s="54"/>
      <c r="J507" s="54"/>
      <c r="K507" s="53"/>
      <c r="L507" s="52"/>
      <c r="M507" s="55"/>
      <c r="N507" s="52"/>
      <c r="O507" s="53"/>
      <c r="P507" s="54"/>
      <c r="Q507" s="54"/>
      <c r="R507" s="54"/>
      <c r="S507" s="54"/>
      <c r="T507" s="54"/>
      <c r="U507" s="82"/>
    </row>
    <row r="508" spans="2:21" x14ac:dyDescent="0.2">
      <c r="B508" s="51"/>
      <c r="C508" s="51"/>
      <c r="D508" s="51"/>
      <c r="E508" s="51"/>
      <c r="F508" s="51"/>
      <c r="G508" s="51"/>
      <c r="H508" s="51"/>
      <c r="I508" s="54"/>
      <c r="J508" s="54"/>
      <c r="K508" s="53"/>
      <c r="L508" s="52"/>
      <c r="M508" s="55"/>
      <c r="N508" s="52"/>
      <c r="O508" s="53"/>
      <c r="P508" s="54"/>
      <c r="Q508" s="54"/>
      <c r="R508" s="54"/>
      <c r="S508" s="54"/>
      <c r="T508" s="54"/>
      <c r="U508" s="82"/>
    </row>
    <row r="509" spans="2:21" x14ac:dyDescent="0.2">
      <c r="B509" s="51"/>
      <c r="C509" s="51"/>
      <c r="D509" s="51"/>
      <c r="E509" s="51"/>
      <c r="F509" s="51"/>
      <c r="G509" s="51"/>
      <c r="H509" s="51"/>
      <c r="I509" s="54"/>
      <c r="J509" s="54"/>
      <c r="K509" s="53"/>
      <c r="L509" s="52"/>
      <c r="M509" s="55"/>
      <c r="N509" s="52"/>
      <c r="O509" s="53"/>
      <c r="P509" s="54"/>
      <c r="Q509" s="54"/>
      <c r="R509" s="54"/>
      <c r="S509" s="54"/>
      <c r="T509" s="54"/>
      <c r="U509" s="82"/>
    </row>
    <row r="510" spans="2:21" x14ac:dyDescent="0.2">
      <c r="B510" s="51"/>
      <c r="C510" s="51"/>
      <c r="D510" s="51"/>
      <c r="E510" s="51"/>
      <c r="F510" s="51"/>
      <c r="G510" s="51"/>
      <c r="H510" s="51"/>
      <c r="I510" s="54"/>
      <c r="J510" s="54"/>
      <c r="K510" s="53"/>
      <c r="L510" s="52"/>
      <c r="M510" s="55"/>
      <c r="N510" s="52"/>
      <c r="O510" s="53"/>
      <c r="P510" s="54"/>
      <c r="Q510" s="54"/>
      <c r="R510" s="54"/>
      <c r="S510" s="54"/>
      <c r="T510" s="54"/>
      <c r="U510" s="82"/>
    </row>
    <row r="511" spans="2:21" x14ac:dyDescent="0.2">
      <c r="B511" s="51"/>
      <c r="C511" s="51"/>
      <c r="D511" s="51"/>
      <c r="E511" s="51"/>
      <c r="F511" s="51"/>
      <c r="G511" s="51"/>
      <c r="H511" s="51"/>
      <c r="I511" s="54"/>
      <c r="J511" s="54"/>
      <c r="K511" s="53"/>
      <c r="L511" s="52"/>
      <c r="M511" s="55"/>
      <c r="N511" s="52"/>
      <c r="O511" s="53"/>
      <c r="P511" s="54"/>
      <c r="Q511" s="54"/>
      <c r="R511" s="54"/>
      <c r="S511" s="54"/>
      <c r="T511" s="54"/>
      <c r="U511" s="82"/>
    </row>
    <row r="512" spans="2:21" x14ac:dyDescent="0.2">
      <c r="B512" s="51"/>
      <c r="C512" s="51"/>
      <c r="D512" s="51"/>
      <c r="E512" s="51"/>
      <c r="F512" s="51"/>
      <c r="G512" s="51"/>
      <c r="H512" s="51"/>
      <c r="I512" s="54"/>
      <c r="J512" s="54"/>
      <c r="K512" s="53"/>
      <c r="L512" s="52"/>
      <c r="M512" s="55"/>
      <c r="N512" s="52"/>
      <c r="O512" s="53"/>
      <c r="P512" s="54"/>
      <c r="Q512" s="54"/>
      <c r="R512" s="54"/>
      <c r="S512" s="54"/>
      <c r="T512" s="54"/>
      <c r="U512" s="82"/>
    </row>
    <row r="513" spans="2:21" x14ac:dyDescent="0.2">
      <c r="B513" s="51"/>
      <c r="C513" s="51"/>
      <c r="D513" s="51"/>
      <c r="E513" s="51"/>
      <c r="F513" s="51"/>
      <c r="G513" s="51"/>
      <c r="H513" s="51"/>
      <c r="I513" s="54"/>
      <c r="J513" s="54"/>
      <c r="K513" s="53"/>
      <c r="L513" s="52"/>
      <c r="M513" s="55"/>
      <c r="N513" s="52"/>
      <c r="O513" s="53"/>
      <c r="P513" s="54"/>
      <c r="Q513" s="54"/>
      <c r="R513" s="54"/>
      <c r="S513" s="54"/>
      <c r="T513" s="54"/>
      <c r="U513" s="82"/>
    </row>
    <row r="514" spans="2:21" x14ac:dyDescent="0.2">
      <c r="B514" s="51"/>
      <c r="C514" s="51"/>
      <c r="D514" s="51"/>
      <c r="E514" s="51"/>
      <c r="F514" s="51"/>
      <c r="G514" s="51"/>
      <c r="H514" s="51"/>
      <c r="I514" s="54"/>
      <c r="J514" s="54"/>
      <c r="K514" s="53"/>
      <c r="L514" s="52"/>
      <c r="M514" s="55"/>
      <c r="N514" s="52"/>
      <c r="O514" s="53"/>
      <c r="P514" s="54"/>
      <c r="Q514" s="54"/>
      <c r="R514" s="54"/>
      <c r="S514" s="54"/>
      <c r="T514" s="54"/>
      <c r="U514" s="82"/>
    </row>
    <row r="515" spans="2:21" x14ac:dyDescent="0.2">
      <c r="B515" s="51"/>
      <c r="C515" s="51"/>
      <c r="D515" s="51"/>
      <c r="E515" s="51"/>
      <c r="F515" s="51"/>
      <c r="G515" s="51"/>
      <c r="H515" s="51"/>
      <c r="I515" s="54"/>
      <c r="J515" s="54"/>
      <c r="K515" s="53"/>
      <c r="L515" s="52"/>
      <c r="M515" s="55"/>
      <c r="N515" s="52"/>
      <c r="O515" s="53"/>
      <c r="P515" s="54"/>
      <c r="Q515" s="54"/>
      <c r="R515" s="54"/>
      <c r="S515" s="54"/>
      <c r="T515" s="54"/>
      <c r="U515" s="82"/>
    </row>
    <row r="516" spans="2:21" x14ac:dyDescent="0.2">
      <c r="B516" s="51"/>
      <c r="C516" s="51"/>
      <c r="D516" s="51"/>
      <c r="E516" s="51"/>
      <c r="F516" s="51"/>
      <c r="G516" s="51"/>
      <c r="H516" s="51"/>
      <c r="I516" s="54"/>
      <c r="J516" s="54"/>
      <c r="K516" s="53"/>
      <c r="L516" s="52"/>
      <c r="M516" s="55"/>
      <c r="N516" s="52"/>
      <c r="O516" s="53"/>
      <c r="P516" s="54"/>
      <c r="Q516" s="54"/>
      <c r="R516" s="54"/>
      <c r="S516" s="54"/>
      <c r="T516" s="54"/>
      <c r="U516" s="82"/>
    </row>
    <row r="517" spans="2:21" x14ac:dyDescent="0.2">
      <c r="B517" s="51"/>
      <c r="C517" s="51"/>
      <c r="D517" s="51"/>
      <c r="E517" s="51"/>
      <c r="F517" s="51"/>
      <c r="G517" s="51"/>
      <c r="H517" s="51"/>
      <c r="I517" s="54"/>
      <c r="J517" s="54"/>
      <c r="K517" s="53"/>
      <c r="L517" s="52"/>
      <c r="M517" s="55"/>
      <c r="N517" s="52"/>
      <c r="O517" s="53"/>
      <c r="P517" s="54"/>
      <c r="Q517" s="54"/>
      <c r="R517" s="54"/>
      <c r="S517" s="54"/>
      <c r="T517" s="54"/>
      <c r="U517" s="82"/>
    </row>
    <row r="518" spans="2:21" x14ac:dyDescent="0.2">
      <c r="B518" s="51"/>
      <c r="C518" s="51"/>
      <c r="D518" s="51"/>
      <c r="E518" s="51"/>
      <c r="F518" s="51"/>
      <c r="G518" s="51"/>
      <c r="H518" s="51"/>
      <c r="I518" s="54"/>
      <c r="J518" s="54"/>
      <c r="K518" s="53"/>
      <c r="L518" s="52"/>
      <c r="M518" s="55"/>
      <c r="N518" s="52"/>
      <c r="O518" s="53"/>
      <c r="P518" s="54"/>
      <c r="Q518" s="54"/>
      <c r="R518" s="54"/>
      <c r="S518" s="54"/>
      <c r="T518" s="54"/>
      <c r="U518" s="82"/>
    </row>
    <row r="519" spans="2:21" x14ac:dyDescent="0.2">
      <c r="B519" s="51"/>
      <c r="C519" s="51"/>
      <c r="D519" s="51"/>
      <c r="E519" s="51"/>
      <c r="F519" s="51"/>
      <c r="G519" s="51"/>
      <c r="H519" s="51"/>
      <c r="I519" s="54"/>
      <c r="J519" s="54"/>
      <c r="K519" s="53"/>
      <c r="L519" s="52"/>
      <c r="M519" s="55"/>
      <c r="N519" s="52"/>
      <c r="O519" s="53"/>
      <c r="P519" s="54"/>
      <c r="Q519" s="54"/>
      <c r="R519" s="54"/>
      <c r="S519" s="54"/>
      <c r="T519" s="54"/>
      <c r="U519" s="82"/>
    </row>
    <row r="520" spans="2:21" x14ac:dyDescent="0.2">
      <c r="B520" s="51"/>
      <c r="C520" s="51"/>
      <c r="D520" s="51"/>
      <c r="E520" s="51"/>
      <c r="F520" s="51"/>
      <c r="G520" s="51"/>
      <c r="H520" s="51"/>
      <c r="I520" s="54"/>
      <c r="J520" s="54"/>
      <c r="K520" s="53"/>
      <c r="L520" s="52"/>
      <c r="M520" s="55"/>
      <c r="N520" s="52"/>
      <c r="O520" s="53"/>
      <c r="P520" s="54"/>
      <c r="Q520" s="54"/>
      <c r="R520" s="54"/>
      <c r="S520" s="54"/>
      <c r="T520" s="54"/>
      <c r="U520" s="82"/>
    </row>
    <row r="521" spans="2:21" x14ac:dyDescent="0.2">
      <c r="B521" s="51"/>
      <c r="C521" s="51"/>
      <c r="D521" s="51"/>
      <c r="E521" s="51"/>
      <c r="F521" s="51"/>
      <c r="G521" s="51"/>
      <c r="H521" s="51"/>
      <c r="I521" s="54"/>
      <c r="J521" s="54"/>
      <c r="K521" s="53"/>
      <c r="L521" s="52"/>
      <c r="M521" s="55"/>
      <c r="N521" s="52"/>
      <c r="O521" s="53"/>
      <c r="P521" s="54"/>
      <c r="Q521" s="54"/>
      <c r="R521" s="54"/>
      <c r="S521" s="54"/>
      <c r="T521" s="54"/>
      <c r="U521" s="82"/>
    </row>
    <row r="522" spans="2:21" x14ac:dyDescent="0.2">
      <c r="B522" s="51"/>
      <c r="C522" s="51"/>
      <c r="D522" s="51"/>
      <c r="E522" s="51"/>
      <c r="F522" s="51"/>
      <c r="G522" s="51"/>
      <c r="H522" s="51"/>
      <c r="I522" s="54"/>
      <c r="J522" s="54"/>
      <c r="K522" s="53"/>
      <c r="L522" s="52"/>
      <c r="M522" s="55"/>
      <c r="N522" s="52"/>
      <c r="O522" s="53"/>
      <c r="P522" s="54"/>
      <c r="Q522" s="54"/>
      <c r="R522" s="54"/>
      <c r="S522" s="54"/>
      <c r="T522" s="54"/>
      <c r="U522" s="82"/>
    </row>
    <row r="523" spans="2:21" x14ac:dyDescent="0.2">
      <c r="B523" s="51"/>
      <c r="C523" s="51"/>
      <c r="D523" s="51"/>
      <c r="E523" s="51"/>
      <c r="F523" s="51"/>
      <c r="G523" s="51"/>
      <c r="H523" s="51"/>
      <c r="I523" s="54"/>
      <c r="J523" s="54"/>
      <c r="K523" s="53"/>
      <c r="L523" s="52"/>
      <c r="M523" s="55"/>
      <c r="N523" s="52"/>
      <c r="O523" s="53"/>
      <c r="P523" s="54"/>
      <c r="Q523" s="54"/>
      <c r="R523" s="54"/>
      <c r="S523" s="54"/>
      <c r="T523" s="54"/>
      <c r="U523" s="82"/>
    </row>
    <row r="524" spans="2:21" x14ac:dyDescent="0.2">
      <c r="B524" s="51"/>
      <c r="C524" s="51"/>
      <c r="D524" s="51"/>
      <c r="E524" s="51"/>
      <c r="F524" s="51"/>
      <c r="G524" s="51"/>
      <c r="H524" s="51"/>
      <c r="I524" s="54"/>
      <c r="J524" s="54"/>
      <c r="K524" s="53"/>
      <c r="L524" s="52"/>
      <c r="M524" s="55"/>
      <c r="N524" s="52"/>
      <c r="O524" s="53"/>
      <c r="P524" s="54"/>
      <c r="Q524" s="54"/>
      <c r="R524" s="54"/>
      <c r="S524" s="54"/>
      <c r="T524" s="54"/>
      <c r="U524" s="82"/>
    </row>
    <row r="525" spans="2:21" x14ac:dyDescent="0.2">
      <c r="B525" s="51"/>
      <c r="C525" s="51"/>
      <c r="D525" s="51"/>
      <c r="E525" s="51"/>
      <c r="F525" s="51"/>
      <c r="G525" s="51"/>
      <c r="H525" s="51"/>
      <c r="I525" s="54"/>
      <c r="J525" s="54"/>
      <c r="K525" s="53"/>
      <c r="L525" s="52"/>
      <c r="M525" s="55"/>
      <c r="N525" s="52"/>
      <c r="O525" s="53"/>
      <c r="P525" s="54"/>
      <c r="Q525" s="54"/>
      <c r="R525" s="54"/>
      <c r="S525" s="54"/>
      <c r="T525" s="54"/>
      <c r="U525" s="82"/>
    </row>
    <row r="526" spans="2:21" x14ac:dyDescent="0.2">
      <c r="B526" s="51"/>
      <c r="C526" s="51"/>
      <c r="D526" s="51"/>
      <c r="E526" s="51"/>
      <c r="F526" s="51"/>
      <c r="G526" s="51"/>
      <c r="H526" s="51"/>
      <c r="I526" s="54"/>
      <c r="J526" s="54"/>
      <c r="K526" s="53"/>
      <c r="L526" s="52"/>
      <c r="M526" s="55"/>
      <c r="N526" s="52"/>
      <c r="O526" s="53"/>
      <c r="P526" s="54"/>
      <c r="Q526" s="54"/>
      <c r="R526" s="54"/>
      <c r="S526" s="54"/>
      <c r="T526" s="54"/>
      <c r="U526" s="82"/>
    </row>
    <row r="527" spans="2:21" x14ac:dyDescent="0.2">
      <c r="B527" s="51"/>
      <c r="C527" s="51"/>
      <c r="D527" s="51"/>
      <c r="E527" s="51"/>
      <c r="F527" s="51"/>
      <c r="G527" s="51"/>
      <c r="H527" s="51"/>
      <c r="I527" s="54"/>
      <c r="J527" s="54"/>
      <c r="K527" s="53"/>
      <c r="L527" s="52"/>
      <c r="M527" s="55"/>
      <c r="N527" s="52"/>
      <c r="O527" s="53"/>
      <c r="P527" s="54"/>
      <c r="Q527" s="54"/>
      <c r="R527" s="54"/>
      <c r="S527" s="54"/>
      <c r="T527" s="54"/>
      <c r="U527" s="82"/>
    </row>
    <row r="528" spans="2:21" x14ac:dyDescent="0.2">
      <c r="B528" s="51"/>
      <c r="C528" s="51"/>
      <c r="D528" s="51"/>
      <c r="E528" s="51"/>
      <c r="F528" s="51"/>
      <c r="G528" s="51"/>
      <c r="H528" s="51"/>
      <c r="I528" s="54"/>
      <c r="J528" s="54"/>
      <c r="K528" s="53"/>
      <c r="L528" s="52"/>
      <c r="M528" s="55"/>
      <c r="N528" s="52"/>
      <c r="O528" s="53"/>
      <c r="P528" s="54"/>
      <c r="Q528" s="54"/>
      <c r="R528" s="54"/>
      <c r="S528" s="54"/>
      <c r="T528" s="54"/>
      <c r="U528" s="82"/>
    </row>
    <row r="529" spans="2:21" x14ac:dyDescent="0.2">
      <c r="B529" s="51"/>
      <c r="C529" s="51"/>
      <c r="D529" s="51"/>
      <c r="E529" s="51"/>
      <c r="F529" s="51"/>
      <c r="G529" s="51"/>
      <c r="H529" s="51"/>
      <c r="I529" s="54"/>
      <c r="J529" s="54"/>
      <c r="K529" s="53"/>
      <c r="L529" s="52"/>
      <c r="M529" s="55"/>
      <c r="N529" s="52"/>
      <c r="O529" s="53"/>
      <c r="P529" s="54"/>
      <c r="Q529" s="54"/>
      <c r="R529" s="54"/>
      <c r="S529" s="54"/>
      <c r="T529" s="54"/>
      <c r="U529" s="82"/>
    </row>
    <row r="530" spans="2:21" x14ac:dyDescent="0.2">
      <c r="B530" s="51"/>
      <c r="C530" s="51"/>
      <c r="D530" s="51"/>
      <c r="E530" s="51"/>
      <c r="F530" s="51"/>
      <c r="G530" s="51"/>
      <c r="H530" s="51"/>
      <c r="I530" s="54"/>
      <c r="J530" s="54"/>
      <c r="K530" s="53"/>
      <c r="L530" s="52"/>
      <c r="M530" s="55"/>
      <c r="N530" s="52"/>
      <c r="O530" s="53"/>
      <c r="P530" s="54"/>
      <c r="Q530" s="54"/>
      <c r="R530" s="54"/>
      <c r="S530" s="54"/>
      <c r="T530" s="54"/>
      <c r="U530" s="82"/>
    </row>
    <row r="531" spans="2:21" x14ac:dyDescent="0.2">
      <c r="B531" s="51"/>
      <c r="C531" s="51"/>
      <c r="D531" s="51"/>
      <c r="E531" s="51"/>
      <c r="F531" s="51"/>
      <c r="G531" s="51"/>
      <c r="H531" s="51"/>
      <c r="I531" s="54"/>
      <c r="J531" s="54"/>
      <c r="K531" s="53"/>
      <c r="L531" s="52"/>
      <c r="M531" s="55"/>
      <c r="N531" s="52"/>
      <c r="O531" s="53"/>
      <c r="P531" s="54"/>
      <c r="Q531" s="54"/>
      <c r="R531" s="54"/>
      <c r="S531" s="54"/>
      <c r="T531" s="54"/>
      <c r="U531" s="82"/>
    </row>
    <row r="532" spans="2:21" x14ac:dyDescent="0.2">
      <c r="B532" s="51"/>
      <c r="C532" s="51"/>
      <c r="D532" s="51"/>
      <c r="E532" s="51"/>
      <c r="F532" s="51"/>
      <c r="G532" s="51"/>
      <c r="H532" s="51"/>
      <c r="I532" s="54"/>
      <c r="J532" s="54"/>
      <c r="K532" s="53"/>
      <c r="L532" s="52"/>
      <c r="M532" s="55"/>
      <c r="N532" s="52"/>
      <c r="O532" s="53"/>
      <c r="P532" s="54"/>
      <c r="Q532" s="54"/>
      <c r="R532" s="54"/>
      <c r="S532" s="54"/>
      <c r="T532" s="54"/>
      <c r="U532" s="82"/>
    </row>
    <row r="533" spans="2:21" x14ac:dyDescent="0.2">
      <c r="B533" s="51"/>
      <c r="C533" s="51"/>
      <c r="D533" s="51"/>
      <c r="E533" s="51"/>
      <c r="F533" s="51"/>
      <c r="G533" s="51"/>
      <c r="H533" s="51"/>
      <c r="I533" s="54"/>
      <c r="J533" s="54"/>
      <c r="K533" s="53"/>
      <c r="L533" s="52"/>
      <c r="M533" s="55"/>
      <c r="N533" s="52"/>
      <c r="O533" s="53"/>
      <c r="P533" s="54"/>
      <c r="Q533" s="54"/>
      <c r="R533" s="54"/>
      <c r="S533" s="54"/>
      <c r="T533" s="54"/>
      <c r="U533" s="82"/>
    </row>
    <row r="534" spans="2:21" x14ac:dyDescent="0.2">
      <c r="B534" s="51"/>
      <c r="C534" s="51"/>
      <c r="D534" s="51"/>
      <c r="E534" s="51"/>
      <c r="F534" s="51"/>
      <c r="G534" s="51"/>
      <c r="H534" s="51"/>
      <c r="I534" s="54"/>
      <c r="J534" s="54"/>
      <c r="K534" s="53"/>
      <c r="L534" s="52"/>
      <c r="M534" s="55"/>
      <c r="N534" s="52"/>
      <c r="O534" s="53"/>
      <c r="P534" s="54"/>
      <c r="Q534" s="54"/>
      <c r="R534" s="54"/>
      <c r="S534" s="54"/>
      <c r="T534" s="54"/>
      <c r="U534" s="82"/>
    </row>
    <row r="535" spans="2:21" x14ac:dyDescent="0.2">
      <c r="B535" s="51"/>
      <c r="C535" s="51"/>
      <c r="D535" s="51"/>
      <c r="E535" s="51"/>
      <c r="F535" s="51"/>
      <c r="G535" s="51"/>
      <c r="H535" s="51"/>
      <c r="I535" s="54"/>
      <c r="J535" s="54"/>
      <c r="K535" s="53"/>
      <c r="L535" s="52"/>
      <c r="M535" s="55"/>
      <c r="N535" s="52"/>
      <c r="O535" s="53"/>
      <c r="P535" s="54"/>
      <c r="Q535" s="54"/>
      <c r="R535" s="54"/>
      <c r="S535" s="54"/>
      <c r="T535" s="54"/>
      <c r="U535" s="82"/>
    </row>
    <row r="536" spans="2:21" x14ac:dyDescent="0.2">
      <c r="B536" s="51"/>
      <c r="C536" s="51"/>
      <c r="D536" s="51"/>
      <c r="E536" s="51"/>
      <c r="F536" s="51"/>
      <c r="G536" s="51"/>
      <c r="H536" s="51"/>
      <c r="I536" s="54"/>
      <c r="J536" s="54"/>
      <c r="K536" s="53"/>
      <c r="L536" s="52"/>
      <c r="M536" s="55"/>
      <c r="N536" s="52"/>
      <c r="O536" s="53"/>
      <c r="P536" s="54"/>
      <c r="Q536" s="54"/>
      <c r="R536" s="54"/>
      <c r="S536" s="54"/>
      <c r="T536" s="54"/>
      <c r="U536" s="82"/>
    </row>
    <row r="537" spans="2:21" x14ac:dyDescent="0.2">
      <c r="B537" s="51"/>
      <c r="C537" s="51"/>
      <c r="D537" s="51"/>
      <c r="E537" s="51"/>
      <c r="F537" s="51"/>
      <c r="G537" s="51"/>
      <c r="H537" s="51"/>
      <c r="I537" s="54"/>
      <c r="J537" s="54"/>
      <c r="K537" s="53"/>
      <c r="L537" s="52"/>
      <c r="M537" s="55"/>
      <c r="N537" s="52"/>
      <c r="O537" s="53"/>
      <c r="P537" s="54"/>
      <c r="Q537" s="54"/>
      <c r="R537" s="54"/>
      <c r="S537" s="54"/>
      <c r="T537" s="54"/>
      <c r="U537" s="82"/>
    </row>
    <row r="538" spans="2:21" x14ac:dyDescent="0.2">
      <c r="B538" s="51"/>
      <c r="C538" s="51"/>
      <c r="D538" s="51"/>
      <c r="E538" s="51"/>
      <c r="F538" s="51"/>
      <c r="G538" s="51"/>
      <c r="H538" s="51"/>
      <c r="I538" s="54"/>
      <c r="J538" s="54"/>
      <c r="K538" s="53"/>
      <c r="L538" s="52"/>
      <c r="M538" s="55"/>
      <c r="N538" s="52"/>
      <c r="O538" s="53"/>
      <c r="P538" s="54"/>
      <c r="Q538" s="54"/>
      <c r="R538" s="54"/>
      <c r="S538" s="54"/>
      <c r="T538" s="54"/>
      <c r="U538" s="82"/>
    </row>
    <row r="539" spans="2:21" x14ac:dyDescent="0.2">
      <c r="B539" s="51"/>
      <c r="C539" s="51"/>
      <c r="D539" s="51"/>
      <c r="E539" s="51"/>
      <c r="F539" s="51"/>
      <c r="G539" s="51"/>
      <c r="H539" s="51"/>
      <c r="I539" s="54"/>
      <c r="J539" s="54"/>
      <c r="K539" s="53"/>
      <c r="L539" s="52"/>
      <c r="M539" s="55"/>
      <c r="N539" s="52"/>
      <c r="O539" s="53"/>
      <c r="P539" s="54"/>
      <c r="Q539" s="54"/>
      <c r="R539" s="54"/>
      <c r="S539" s="54"/>
      <c r="T539" s="54"/>
      <c r="U539" s="82"/>
    </row>
    <row r="540" spans="2:21" x14ac:dyDescent="0.2">
      <c r="B540" s="51"/>
      <c r="C540" s="51"/>
      <c r="D540" s="51"/>
      <c r="E540" s="51"/>
      <c r="F540" s="51"/>
      <c r="G540" s="51"/>
      <c r="H540" s="51"/>
      <c r="I540" s="54"/>
      <c r="J540" s="54"/>
      <c r="K540" s="53"/>
      <c r="L540" s="52"/>
      <c r="M540" s="55"/>
      <c r="N540" s="52"/>
      <c r="O540" s="53"/>
      <c r="P540" s="54"/>
      <c r="Q540" s="54"/>
      <c r="R540" s="54"/>
      <c r="S540" s="54"/>
      <c r="T540" s="54"/>
      <c r="U540" s="82"/>
    </row>
    <row r="541" spans="2:21" x14ac:dyDescent="0.2">
      <c r="B541" s="51"/>
      <c r="C541" s="51"/>
      <c r="D541" s="51"/>
      <c r="E541" s="51"/>
      <c r="F541" s="51"/>
      <c r="G541" s="51"/>
      <c r="H541" s="51"/>
      <c r="I541" s="54"/>
      <c r="J541" s="54"/>
      <c r="K541" s="53"/>
      <c r="L541" s="52"/>
      <c r="M541" s="55"/>
      <c r="N541" s="52"/>
      <c r="O541" s="53"/>
      <c r="P541" s="54"/>
      <c r="Q541" s="54"/>
      <c r="R541" s="54"/>
      <c r="S541" s="54"/>
      <c r="T541" s="54"/>
      <c r="U541" s="82"/>
    </row>
    <row r="542" spans="2:21" x14ac:dyDescent="0.2">
      <c r="B542" s="51"/>
      <c r="C542" s="51"/>
      <c r="D542" s="51"/>
      <c r="E542" s="51"/>
      <c r="F542" s="51"/>
      <c r="G542" s="51"/>
      <c r="H542" s="51"/>
      <c r="I542" s="54"/>
      <c r="J542" s="54"/>
      <c r="K542" s="53"/>
      <c r="L542" s="52"/>
      <c r="M542" s="55"/>
      <c r="N542" s="52"/>
      <c r="O542" s="53"/>
      <c r="P542" s="54"/>
      <c r="Q542" s="54"/>
      <c r="R542" s="54"/>
      <c r="S542" s="54"/>
      <c r="T542" s="54"/>
      <c r="U542" s="82"/>
    </row>
    <row r="543" spans="2:21" x14ac:dyDescent="0.2">
      <c r="B543" s="51"/>
      <c r="C543" s="51"/>
      <c r="D543" s="51"/>
      <c r="E543" s="51"/>
      <c r="F543" s="51"/>
      <c r="G543" s="51"/>
      <c r="H543" s="51"/>
      <c r="I543" s="54"/>
      <c r="J543" s="54"/>
      <c r="K543" s="53"/>
      <c r="L543" s="52"/>
      <c r="M543" s="55"/>
      <c r="N543" s="52"/>
      <c r="O543" s="53"/>
      <c r="P543" s="54"/>
      <c r="Q543" s="54"/>
      <c r="R543" s="54"/>
      <c r="S543" s="54"/>
      <c r="T543" s="54"/>
      <c r="U543" s="82"/>
    </row>
    <row r="544" spans="2:21" x14ac:dyDescent="0.2">
      <c r="B544" s="51"/>
      <c r="C544" s="51"/>
      <c r="D544" s="51"/>
      <c r="E544" s="51"/>
      <c r="F544" s="51"/>
      <c r="G544" s="51"/>
      <c r="H544" s="51"/>
      <c r="I544" s="54"/>
      <c r="J544" s="54"/>
      <c r="K544" s="53"/>
      <c r="L544" s="52"/>
      <c r="M544" s="55"/>
      <c r="N544" s="52"/>
      <c r="O544" s="53"/>
      <c r="P544" s="54"/>
      <c r="Q544" s="54"/>
      <c r="R544" s="54"/>
      <c r="S544" s="54"/>
      <c r="T544" s="54"/>
      <c r="U544" s="82"/>
    </row>
    <row r="545" spans="2:21" x14ac:dyDescent="0.2">
      <c r="B545" s="51"/>
      <c r="C545" s="51"/>
      <c r="D545" s="51"/>
      <c r="E545" s="51"/>
      <c r="F545" s="51"/>
      <c r="G545" s="51"/>
      <c r="H545" s="51"/>
      <c r="I545" s="54"/>
      <c r="J545" s="54"/>
      <c r="K545" s="53"/>
      <c r="L545" s="52"/>
      <c r="M545" s="55"/>
      <c r="N545" s="52"/>
      <c r="O545" s="53"/>
      <c r="P545" s="54"/>
      <c r="Q545" s="54"/>
      <c r="R545" s="54"/>
      <c r="S545" s="54"/>
      <c r="T545" s="54"/>
      <c r="U545" s="82"/>
    </row>
    <row r="546" spans="2:21" x14ac:dyDescent="0.2">
      <c r="B546" s="51"/>
      <c r="C546" s="51"/>
      <c r="D546" s="51"/>
      <c r="E546" s="51"/>
      <c r="F546" s="51"/>
      <c r="G546" s="51"/>
      <c r="H546" s="51"/>
      <c r="I546" s="54"/>
      <c r="J546" s="54"/>
      <c r="K546" s="53"/>
      <c r="L546" s="52"/>
      <c r="M546" s="55"/>
      <c r="N546" s="52"/>
      <c r="O546" s="53"/>
      <c r="P546" s="54"/>
      <c r="Q546" s="54"/>
      <c r="R546" s="54"/>
      <c r="S546" s="54"/>
      <c r="T546" s="54"/>
      <c r="U546" s="82"/>
    </row>
    <row r="547" spans="2:21" x14ac:dyDescent="0.2">
      <c r="B547" s="51"/>
      <c r="C547" s="51"/>
      <c r="D547" s="51"/>
      <c r="E547" s="51"/>
      <c r="F547" s="51"/>
      <c r="G547" s="51"/>
      <c r="H547" s="51"/>
      <c r="I547" s="54"/>
      <c r="J547" s="54"/>
      <c r="K547" s="53"/>
      <c r="L547" s="52"/>
      <c r="M547" s="55"/>
      <c r="N547" s="52"/>
      <c r="O547" s="53"/>
      <c r="P547" s="54"/>
      <c r="Q547" s="54"/>
      <c r="R547" s="54"/>
      <c r="S547" s="54"/>
      <c r="T547" s="54"/>
      <c r="U547" s="82"/>
    </row>
    <row r="548" spans="2:21" x14ac:dyDescent="0.2">
      <c r="B548" s="51"/>
      <c r="C548" s="51"/>
      <c r="D548" s="51"/>
      <c r="E548" s="51"/>
      <c r="F548" s="51"/>
      <c r="G548" s="51"/>
      <c r="H548" s="51"/>
      <c r="I548" s="54"/>
      <c r="J548" s="54"/>
      <c r="K548" s="53"/>
      <c r="L548" s="52"/>
      <c r="M548" s="55"/>
      <c r="N548" s="52"/>
      <c r="O548" s="53"/>
      <c r="P548" s="54"/>
      <c r="Q548" s="54"/>
      <c r="R548" s="54"/>
      <c r="S548" s="54"/>
      <c r="T548" s="54"/>
      <c r="U548" s="82"/>
    </row>
    <row r="549" spans="2:21" x14ac:dyDescent="0.2">
      <c r="B549" s="51"/>
      <c r="C549" s="51"/>
      <c r="D549" s="51"/>
      <c r="E549" s="51"/>
      <c r="F549" s="51"/>
      <c r="G549" s="51"/>
      <c r="H549" s="51"/>
      <c r="I549" s="54"/>
      <c r="J549" s="54"/>
      <c r="K549" s="53"/>
      <c r="L549" s="52"/>
      <c r="M549" s="55"/>
      <c r="N549" s="52"/>
      <c r="O549" s="53"/>
      <c r="P549" s="54"/>
      <c r="Q549" s="54"/>
      <c r="R549" s="54"/>
      <c r="S549" s="54"/>
      <c r="T549" s="54"/>
      <c r="U549" s="82"/>
    </row>
    <row r="550" spans="2:21" x14ac:dyDescent="0.2">
      <c r="B550" s="51"/>
      <c r="C550" s="51"/>
      <c r="D550" s="51"/>
      <c r="E550" s="51"/>
      <c r="F550" s="51"/>
      <c r="G550" s="51"/>
      <c r="H550" s="51"/>
      <c r="I550" s="54"/>
      <c r="J550" s="54"/>
      <c r="K550" s="53"/>
      <c r="L550" s="52"/>
      <c r="M550" s="55"/>
      <c r="N550" s="52"/>
      <c r="O550" s="53"/>
      <c r="P550" s="54"/>
      <c r="Q550" s="54"/>
      <c r="R550" s="54"/>
      <c r="S550" s="54"/>
      <c r="T550" s="54"/>
      <c r="U550" s="82"/>
    </row>
    <row r="551" spans="2:21" x14ac:dyDescent="0.2">
      <c r="B551" s="51"/>
      <c r="C551" s="51"/>
      <c r="D551" s="51"/>
      <c r="E551" s="51"/>
      <c r="F551" s="51"/>
      <c r="G551" s="51"/>
      <c r="H551" s="51"/>
      <c r="I551" s="54"/>
      <c r="J551" s="54"/>
      <c r="K551" s="53"/>
      <c r="L551" s="52"/>
      <c r="M551" s="55"/>
      <c r="N551" s="52"/>
      <c r="O551" s="53"/>
      <c r="P551" s="54"/>
      <c r="Q551" s="54"/>
      <c r="R551" s="54"/>
      <c r="S551" s="54"/>
      <c r="T551" s="54"/>
      <c r="U551" s="82"/>
    </row>
    <row r="552" spans="2:21" x14ac:dyDescent="0.2">
      <c r="B552" s="51"/>
      <c r="C552" s="51"/>
      <c r="D552" s="51"/>
      <c r="E552" s="51"/>
      <c r="F552" s="51"/>
      <c r="G552" s="51"/>
      <c r="H552" s="51"/>
      <c r="I552" s="54"/>
      <c r="J552" s="54"/>
      <c r="K552" s="53"/>
      <c r="L552" s="52"/>
      <c r="M552" s="55"/>
      <c r="N552" s="52"/>
      <c r="O552" s="53"/>
      <c r="P552" s="54"/>
      <c r="Q552" s="54"/>
      <c r="R552" s="54"/>
      <c r="S552" s="54"/>
      <c r="T552" s="54"/>
      <c r="U552" s="82"/>
    </row>
    <row r="553" spans="2:21" x14ac:dyDescent="0.2">
      <c r="B553" s="51"/>
      <c r="C553" s="51"/>
      <c r="D553" s="51"/>
      <c r="E553" s="51"/>
      <c r="F553" s="51"/>
      <c r="G553" s="51"/>
      <c r="H553" s="51"/>
      <c r="I553" s="54"/>
      <c r="J553" s="54"/>
      <c r="K553" s="53"/>
      <c r="L553" s="52"/>
      <c r="M553" s="55"/>
      <c r="N553" s="52"/>
      <c r="O553" s="53"/>
      <c r="P553" s="54"/>
      <c r="Q553" s="54"/>
      <c r="R553" s="54"/>
      <c r="S553" s="54"/>
      <c r="T553" s="54"/>
      <c r="U553" s="82"/>
    </row>
    <row r="554" spans="2:21" x14ac:dyDescent="0.2">
      <c r="B554" s="51"/>
      <c r="C554" s="51"/>
      <c r="D554" s="51"/>
      <c r="E554" s="51"/>
      <c r="F554" s="51"/>
      <c r="G554" s="51"/>
      <c r="H554" s="51"/>
      <c r="I554" s="54"/>
      <c r="J554" s="54"/>
      <c r="K554" s="53"/>
      <c r="L554" s="52"/>
      <c r="M554" s="55"/>
      <c r="N554" s="52"/>
      <c r="O554" s="53"/>
      <c r="P554" s="54"/>
      <c r="Q554" s="54"/>
      <c r="R554" s="54"/>
      <c r="S554" s="54"/>
      <c r="T554" s="54"/>
      <c r="U554" s="82"/>
    </row>
    <row r="555" spans="2:21" x14ac:dyDescent="0.2">
      <c r="B555" s="51"/>
      <c r="C555" s="51"/>
      <c r="D555" s="51"/>
      <c r="E555" s="51"/>
      <c r="F555" s="51"/>
      <c r="G555" s="51"/>
      <c r="H555" s="51"/>
      <c r="I555" s="54"/>
      <c r="J555" s="54"/>
      <c r="K555" s="53"/>
      <c r="L555" s="52"/>
      <c r="M555" s="55"/>
      <c r="N555" s="52"/>
      <c r="O555" s="53"/>
      <c r="P555" s="54"/>
      <c r="Q555" s="54"/>
      <c r="R555" s="54"/>
      <c r="S555" s="54"/>
      <c r="T555" s="54"/>
      <c r="U555" s="82"/>
    </row>
    <row r="556" spans="2:21" x14ac:dyDescent="0.2">
      <c r="B556" s="51"/>
      <c r="C556" s="51"/>
      <c r="D556" s="51"/>
      <c r="E556" s="51"/>
      <c r="F556" s="51"/>
      <c r="G556" s="51"/>
      <c r="H556" s="51"/>
      <c r="I556" s="54"/>
      <c r="J556" s="54"/>
      <c r="K556" s="53"/>
      <c r="L556" s="52"/>
      <c r="M556" s="55"/>
      <c r="N556" s="52"/>
      <c r="O556" s="53"/>
      <c r="P556" s="54"/>
      <c r="Q556" s="54"/>
      <c r="R556" s="54"/>
      <c r="S556" s="54"/>
      <c r="T556" s="54"/>
      <c r="U556" s="82"/>
    </row>
    <row r="557" spans="2:21" x14ac:dyDescent="0.2">
      <c r="B557" s="51"/>
      <c r="C557" s="51"/>
      <c r="D557" s="51"/>
      <c r="E557" s="51"/>
      <c r="F557" s="51"/>
      <c r="G557" s="51"/>
      <c r="H557" s="51"/>
      <c r="I557" s="54"/>
      <c r="J557" s="54"/>
      <c r="K557" s="53"/>
      <c r="L557" s="52"/>
      <c r="M557" s="55"/>
      <c r="N557" s="52"/>
      <c r="O557" s="53"/>
      <c r="P557" s="54"/>
      <c r="Q557" s="54"/>
      <c r="R557" s="54"/>
      <c r="S557" s="54"/>
      <c r="T557" s="54"/>
      <c r="U557" s="82"/>
    </row>
    <row r="558" spans="2:21" x14ac:dyDescent="0.2">
      <c r="B558" s="51"/>
      <c r="C558" s="51"/>
      <c r="D558" s="51"/>
      <c r="E558" s="51"/>
      <c r="F558" s="51"/>
      <c r="G558" s="51"/>
      <c r="H558" s="51"/>
      <c r="I558" s="54"/>
      <c r="J558" s="54"/>
      <c r="K558" s="53"/>
      <c r="L558" s="52"/>
      <c r="M558" s="55"/>
      <c r="N558" s="52"/>
      <c r="O558" s="53"/>
      <c r="P558" s="54"/>
      <c r="Q558" s="54"/>
      <c r="R558" s="54"/>
      <c r="S558" s="54"/>
      <c r="T558" s="54"/>
      <c r="U558" s="82"/>
    </row>
    <row r="559" spans="2:21" x14ac:dyDescent="0.2">
      <c r="B559" s="51"/>
      <c r="C559" s="51"/>
      <c r="D559" s="51"/>
      <c r="E559" s="51"/>
      <c r="F559" s="51"/>
      <c r="G559" s="51"/>
      <c r="H559" s="51"/>
      <c r="I559" s="54"/>
      <c r="J559" s="54"/>
      <c r="K559" s="53"/>
      <c r="L559" s="52"/>
      <c r="M559" s="55"/>
      <c r="N559" s="52"/>
      <c r="O559" s="53"/>
      <c r="P559" s="54"/>
      <c r="Q559" s="54"/>
      <c r="R559" s="54"/>
      <c r="S559" s="54"/>
      <c r="T559" s="54"/>
      <c r="U559" s="82"/>
    </row>
    <row r="560" spans="2:21" x14ac:dyDescent="0.2">
      <c r="B560" s="51"/>
      <c r="C560" s="51"/>
      <c r="D560" s="51"/>
      <c r="E560" s="51"/>
      <c r="F560" s="51"/>
      <c r="G560" s="51"/>
      <c r="H560" s="51"/>
      <c r="I560" s="54"/>
      <c r="J560" s="54"/>
      <c r="K560" s="53"/>
      <c r="L560" s="52"/>
      <c r="M560" s="55"/>
      <c r="N560" s="52"/>
      <c r="O560" s="53"/>
      <c r="P560" s="54"/>
      <c r="Q560" s="54"/>
      <c r="R560" s="54"/>
      <c r="S560" s="54"/>
      <c r="T560" s="54"/>
      <c r="U560" s="82"/>
    </row>
    <row r="561" spans="2:21" x14ac:dyDescent="0.2">
      <c r="B561" s="51"/>
      <c r="C561" s="51"/>
      <c r="D561" s="51"/>
      <c r="E561" s="51"/>
      <c r="F561" s="51"/>
      <c r="G561" s="51"/>
      <c r="H561" s="51"/>
      <c r="I561" s="54"/>
      <c r="J561" s="54"/>
      <c r="K561" s="53"/>
      <c r="L561" s="52"/>
      <c r="M561" s="55"/>
      <c r="N561" s="52"/>
      <c r="O561" s="53"/>
      <c r="P561" s="54"/>
      <c r="Q561" s="54"/>
      <c r="R561" s="54"/>
      <c r="S561" s="54"/>
      <c r="T561" s="54"/>
      <c r="U561" s="82"/>
    </row>
    <row r="562" spans="2:21" x14ac:dyDescent="0.2">
      <c r="B562" s="51"/>
      <c r="C562" s="51"/>
      <c r="D562" s="51"/>
      <c r="E562" s="51"/>
      <c r="F562" s="51"/>
      <c r="G562" s="51"/>
      <c r="H562" s="51"/>
      <c r="I562" s="54"/>
      <c r="J562" s="54"/>
      <c r="K562" s="53"/>
      <c r="L562" s="52"/>
      <c r="M562" s="55"/>
      <c r="N562" s="52"/>
      <c r="O562" s="53"/>
      <c r="P562" s="54"/>
      <c r="Q562" s="54"/>
      <c r="R562" s="54"/>
      <c r="S562" s="54"/>
      <c r="T562" s="54"/>
      <c r="U562" s="82"/>
    </row>
    <row r="563" spans="2:21" x14ac:dyDescent="0.2">
      <c r="B563" s="51"/>
      <c r="C563" s="51"/>
      <c r="D563" s="51"/>
      <c r="E563" s="51"/>
      <c r="F563" s="51"/>
      <c r="G563" s="51"/>
      <c r="H563" s="51"/>
      <c r="I563" s="54"/>
      <c r="J563" s="54"/>
      <c r="K563" s="53"/>
      <c r="L563" s="52"/>
      <c r="M563" s="55"/>
      <c r="N563" s="52"/>
      <c r="O563" s="53"/>
      <c r="P563" s="54"/>
      <c r="Q563" s="54"/>
      <c r="R563" s="54"/>
      <c r="S563" s="54"/>
      <c r="T563" s="54"/>
      <c r="U563" s="82"/>
    </row>
    <row r="564" spans="2:21" x14ac:dyDescent="0.2">
      <c r="B564" s="51"/>
      <c r="C564" s="51"/>
      <c r="D564" s="51"/>
      <c r="E564" s="51"/>
      <c r="F564" s="51"/>
      <c r="G564" s="51"/>
      <c r="H564" s="51"/>
      <c r="I564" s="54"/>
      <c r="J564" s="54"/>
      <c r="K564" s="53"/>
      <c r="L564" s="52"/>
      <c r="M564" s="55"/>
      <c r="N564" s="52"/>
      <c r="O564" s="53"/>
      <c r="P564" s="54"/>
      <c r="Q564" s="54"/>
      <c r="R564" s="54"/>
      <c r="S564" s="54"/>
      <c r="T564" s="54"/>
      <c r="U564" s="82"/>
    </row>
    <row r="565" spans="2:21" x14ac:dyDescent="0.2">
      <c r="B565" s="51"/>
      <c r="C565" s="51"/>
      <c r="D565" s="51"/>
      <c r="E565" s="51"/>
      <c r="F565" s="51"/>
      <c r="G565" s="51"/>
      <c r="H565" s="51"/>
      <c r="I565" s="54"/>
      <c r="J565" s="54"/>
      <c r="K565" s="53"/>
      <c r="L565" s="52"/>
      <c r="M565" s="55"/>
      <c r="N565" s="52"/>
      <c r="O565" s="53"/>
      <c r="P565" s="54"/>
      <c r="Q565" s="54"/>
      <c r="R565" s="54"/>
      <c r="S565" s="54"/>
      <c r="T565" s="54"/>
      <c r="U565" s="82"/>
    </row>
    <row r="566" spans="2:21" x14ac:dyDescent="0.2">
      <c r="B566" s="51"/>
      <c r="C566" s="51"/>
      <c r="D566" s="51"/>
      <c r="E566" s="51"/>
      <c r="F566" s="51"/>
      <c r="G566" s="51"/>
      <c r="H566" s="51"/>
      <c r="I566" s="54"/>
      <c r="J566" s="54"/>
      <c r="K566" s="53"/>
      <c r="L566" s="52"/>
      <c r="M566" s="55"/>
      <c r="N566" s="52"/>
      <c r="O566" s="53"/>
      <c r="P566" s="54"/>
      <c r="Q566" s="54"/>
      <c r="R566" s="54"/>
      <c r="S566" s="54"/>
      <c r="T566" s="54"/>
      <c r="U566" s="82"/>
    </row>
    <row r="567" spans="2:21" x14ac:dyDescent="0.2">
      <c r="B567" s="51"/>
      <c r="C567" s="51"/>
      <c r="D567" s="51"/>
      <c r="E567" s="51"/>
      <c r="F567" s="51"/>
      <c r="G567" s="51"/>
      <c r="H567" s="51"/>
      <c r="I567" s="54"/>
      <c r="J567" s="54"/>
      <c r="K567" s="53"/>
      <c r="L567" s="52"/>
      <c r="M567" s="55"/>
      <c r="N567" s="52"/>
      <c r="O567" s="53"/>
      <c r="P567" s="54"/>
      <c r="Q567" s="54"/>
      <c r="R567" s="54"/>
      <c r="S567" s="54"/>
      <c r="T567" s="54"/>
      <c r="U567" s="82"/>
    </row>
    <row r="568" spans="2:21" x14ac:dyDescent="0.2">
      <c r="B568" s="51"/>
      <c r="C568" s="51"/>
      <c r="D568" s="51"/>
      <c r="E568" s="51"/>
      <c r="F568" s="51"/>
      <c r="G568" s="51"/>
      <c r="H568" s="51"/>
      <c r="I568" s="54"/>
      <c r="J568" s="54"/>
      <c r="K568" s="53"/>
      <c r="L568" s="52"/>
      <c r="M568" s="55"/>
      <c r="N568" s="52"/>
      <c r="O568" s="53"/>
      <c r="P568" s="54"/>
      <c r="Q568" s="54"/>
      <c r="R568" s="54"/>
      <c r="S568" s="54"/>
      <c r="T568" s="54"/>
      <c r="U568" s="82"/>
    </row>
    <row r="569" spans="2:21" x14ac:dyDescent="0.2">
      <c r="B569" s="51"/>
      <c r="C569" s="51"/>
      <c r="D569" s="51"/>
      <c r="E569" s="51"/>
      <c r="F569" s="51"/>
      <c r="G569" s="51"/>
      <c r="H569" s="51"/>
      <c r="I569" s="54"/>
      <c r="J569" s="54"/>
      <c r="K569" s="53"/>
      <c r="L569" s="52"/>
      <c r="M569" s="55"/>
      <c r="N569" s="52"/>
      <c r="O569" s="53"/>
      <c r="P569" s="54"/>
      <c r="Q569" s="54"/>
      <c r="R569" s="54"/>
      <c r="S569" s="54"/>
      <c r="T569" s="54"/>
      <c r="U569" s="82"/>
    </row>
    <row r="570" spans="2:21" x14ac:dyDescent="0.2">
      <c r="B570" s="51"/>
      <c r="C570" s="51"/>
      <c r="D570" s="51"/>
      <c r="E570" s="51"/>
      <c r="F570" s="51"/>
      <c r="G570" s="51"/>
      <c r="H570" s="51"/>
      <c r="I570" s="54"/>
      <c r="J570" s="54"/>
      <c r="K570" s="53"/>
      <c r="L570" s="52"/>
      <c r="M570" s="55"/>
      <c r="N570" s="52"/>
      <c r="O570" s="53"/>
      <c r="P570" s="54"/>
      <c r="Q570" s="54"/>
      <c r="R570" s="54"/>
      <c r="S570" s="54"/>
      <c r="T570" s="54"/>
      <c r="U570" s="82"/>
    </row>
    <row r="571" spans="2:21" x14ac:dyDescent="0.2">
      <c r="B571" s="51"/>
      <c r="C571" s="51"/>
      <c r="D571" s="51"/>
      <c r="E571" s="51"/>
      <c r="F571" s="51"/>
      <c r="G571" s="51"/>
      <c r="H571" s="51"/>
      <c r="I571" s="54"/>
      <c r="J571" s="54"/>
      <c r="K571" s="53"/>
      <c r="L571" s="52"/>
      <c r="M571" s="55"/>
      <c r="N571" s="52"/>
      <c r="O571" s="53"/>
      <c r="P571" s="54"/>
      <c r="Q571" s="54"/>
      <c r="R571" s="54"/>
      <c r="S571" s="54"/>
      <c r="T571" s="54"/>
      <c r="U571" s="82"/>
    </row>
    <row r="572" spans="2:21" x14ac:dyDescent="0.2">
      <c r="B572" s="51"/>
      <c r="C572" s="51"/>
      <c r="D572" s="51"/>
      <c r="E572" s="51"/>
      <c r="F572" s="51"/>
      <c r="G572" s="51"/>
      <c r="H572" s="51"/>
      <c r="I572" s="54"/>
      <c r="J572" s="54"/>
      <c r="K572" s="53"/>
      <c r="L572" s="52"/>
      <c r="M572" s="55"/>
      <c r="N572" s="52"/>
      <c r="O572" s="53"/>
      <c r="P572" s="54"/>
      <c r="Q572" s="54"/>
      <c r="R572" s="54"/>
      <c r="S572" s="54"/>
      <c r="T572" s="54"/>
      <c r="U572" s="82"/>
    </row>
    <row r="573" spans="2:21" x14ac:dyDescent="0.2">
      <c r="B573" s="51"/>
      <c r="C573" s="51"/>
      <c r="D573" s="51"/>
      <c r="E573" s="51"/>
      <c r="F573" s="51"/>
      <c r="G573" s="51"/>
      <c r="H573" s="51"/>
      <c r="I573" s="54"/>
      <c r="J573" s="54"/>
      <c r="K573" s="53"/>
      <c r="L573" s="52"/>
      <c r="M573" s="55"/>
      <c r="N573" s="52"/>
      <c r="O573" s="53"/>
      <c r="P573" s="54"/>
      <c r="Q573" s="54"/>
      <c r="R573" s="54"/>
      <c r="S573" s="54"/>
      <c r="T573" s="54"/>
      <c r="U573" s="82"/>
    </row>
    <row r="574" spans="2:21" x14ac:dyDescent="0.2">
      <c r="B574" s="51"/>
      <c r="C574" s="51"/>
      <c r="D574" s="51"/>
      <c r="E574" s="51"/>
      <c r="F574" s="51"/>
      <c r="G574" s="51"/>
      <c r="H574" s="51"/>
      <c r="I574" s="54"/>
      <c r="J574" s="54"/>
      <c r="K574" s="53"/>
      <c r="L574" s="52"/>
      <c r="M574" s="55"/>
      <c r="N574" s="52"/>
      <c r="O574" s="53"/>
      <c r="P574" s="54"/>
      <c r="Q574" s="54"/>
      <c r="R574" s="54"/>
      <c r="S574" s="54"/>
      <c r="T574" s="54"/>
      <c r="U574" s="82"/>
    </row>
    <row r="575" spans="2:21" x14ac:dyDescent="0.2">
      <c r="B575" s="51"/>
      <c r="C575" s="51"/>
      <c r="D575" s="51"/>
      <c r="E575" s="51"/>
      <c r="F575" s="51"/>
      <c r="G575" s="51"/>
      <c r="H575" s="51"/>
      <c r="I575" s="54"/>
      <c r="J575" s="54"/>
      <c r="K575" s="53"/>
      <c r="L575" s="52"/>
      <c r="M575" s="55"/>
      <c r="N575" s="52"/>
      <c r="O575" s="53"/>
      <c r="P575" s="54"/>
      <c r="Q575" s="54"/>
      <c r="R575" s="54"/>
      <c r="S575" s="54"/>
      <c r="T575" s="54"/>
      <c r="U575" s="82"/>
    </row>
    <row r="576" spans="2:21" x14ac:dyDescent="0.2">
      <c r="B576" s="51"/>
      <c r="C576" s="51"/>
      <c r="D576" s="51"/>
      <c r="E576" s="51"/>
      <c r="F576" s="51"/>
      <c r="G576" s="51"/>
      <c r="H576" s="51"/>
      <c r="I576" s="54"/>
      <c r="J576" s="54"/>
      <c r="K576" s="53"/>
      <c r="L576" s="52"/>
      <c r="M576" s="55"/>
      <c r="N576" s="52"/>
      <c r="O576" s="53"/>
      <c r="P576" s="54"/>
      <c r="Q576" s="54"/>
      <c r="R576" s="54"/>
      <c r="S576" s="54"/>
      <c r="T576" s="54"/>
      <c r="U576" s="82"/>
    </row>
    <row r="577" spans="2:21" x14ac:dyDescent="0.2">
      <c r="B577" s="51"/>
      <c r="C577" s="51"/>
      <c r="D577" s="51"/>
      <c r="E577" s="51"/>
      <c r="F577" s="51"/>
      <c r="G577" s="51"/>
      <c r="H577" s="51"/>
      <c r="I577" s="54"/>
      <c r="J577" s="54"/>
      <c r="K577" s="53"/>
      <c r="L577" s="52"/>
      <c r="M577" s="55"/>
      <c r="N577" s="52"/>
      <c r="O577" s="53"/>
      <c r="P577" s="54"/>
      <c r="Q577" s="54"/>
      <c r="R577" s="54"/>
      <c r="S577" s="54"/>
      <c r="T577" s="54"/>
      <c r="U577" s="82"/>
    </row>
    <row r="578" spans="2:21" x14ac:dyDescent="0.2">
      <c r="B578" s="51"/>
      <c r="C578" s="51"/>
      <c r="D578" s="51"/>
      <c r="E578" s="51"/>
      <c r="F578" s="51"/>
      <c r="G578" s="51"/>
      <c r="H578" s="51"/>
      <c r="I578" s="54"/>
      <c r="J578" s="54"/>
      <c r="K578" s="53"/>
      <c r="L578" s="52"/>
      <c r="M578" s="55"/>
      <c r="N578" s="52"/>
      <c r="O578" s="53"/>
      <c r="P578" s="54"/>
      <c r="Q578" s="54"/>
      <c r="R578" s="54"/>
      <c r="S578" s="54"/>
      <c r="T578" s="54"/>
      <c r="U578" s="82"/>
    </row>
    <row r="579" spans="2:21" x14ac:dyDescent="0.2">
      <c r="B579" s="51"/>
      <c r="C579" s="51"/>
      <c r="D579" s="51"/>
      <c r="E579" s="51"/>
      <c r="F579" s="51"/>
      <c r="G579" s="51"/>
      <c r="H579" s="51"/>
      <c r="I579" s="54"/>
      <c r="J579" s="54"/>
      <c r="K579" s="53"/>
      <c r="L579" s="52"/>
      <c r="M579" s="55"/>
      <c r="N579" s="52"/>
      <c r="O579" s="53"/>
      <c r="P579" s="54"/>
      <c r="Q579" s="54"/>
      <c r="R579" s="54"/>
      <c r="S579" s="54"/>
      <c r="T579" s="54"/>
      <c r="U579" s="82"/>
    </row>
    <row r="580" spans="2:21" x14ac:dyDescent="0.2">
      <c r="B580" s="51"/>
      <c r="C580" s="51"/>
      <c r="D580" s="51"/>
      <c r="E580" s="51"/>
      <c r="F580" s="51"/>
      <c r="G580" s="51"/>
      <c r="H580" s="51"/>
      <c r="I580" s="54"/>
      <c r="J580" s="54"/>
      <c r="K580" s="53"/>
      <c r="L580" s="52"/>
      <c r="M580" s="55"/>
      <c r="N580" s="52"/>
      <c r="O580" s="53"/>
      <c r="P580" s="54"/>
      <c r="Q580" s="54"/>
      <c r="R580" s="54"/>
      <c r="S580" s="54"/>
      <c r="T580" s="54"/>
      <c r="U580" s="82"/>
    </row>
    <row r="581" spans="2:21" x14ac:dyDescent="0.2">
      <c r="B581" s="51"/>
      <c r="C581" s="51"/>
      <c r="D581" s="51"/>
      <c r="E581" s="51"/>
      <c r="F581" s="51"/>
      <c r="G581" s="51"/>
      <c r="H581" s="51"/>
      <c r="I581" s="54"/>
      <c r="J581" s="54"/>
      <c r="K581" s="53"/>
      <c r="L581" s="52"/>
      <c r="M581" s="55"/>
      <c r="N581" s="52"/>
      <c r="O581" s="53"/>
      <c r="P581" s="54"/>
      <c r="Q581" s="54"/>
      <c r="R581" s="54"/>
      <c r="S581" s="54"/>
      <c r="T581" s="54"/>
      <c r="U581" s="82"/>
    </row>
    <row r="582" spans="2:21" x14ac:dyDescent="0.2">
      <c r="B582" s="51"/>
      <c r="C582" s="51"/>
      <c r="D582" s="51"/>
      <c r="E582" s="51"/>
      <c r="F582" s="51"/>
      <c r="G582" s="51"/>
      <c r="H582" s="51"/>
      <c r="I582" s="54"/>
      <c r="J582" s="54"/>
      <c r="K582" s="53"/>
      <c r="L582" s="52"/>
      <c r="M582" s="55"/>
      <c r="N582" s="52"/>
      <c r="O582" s="53"/>
      <c r="P582" s="54"/>
      <c r="Q582" s="54"/>
      <c r="R582" s="54"/>
      <c r="S582" s="54"/>
      <c r="T582" s="54"/>
      <c r="U582" s="82"/>
    </row>
    <row r="583" spans="2:21" x14ac:dyDescent="0.2">
      <c r="B583" s="51"/>
      <c r="C583" s="51"/>
      <c r="D583" s="51"/>
      <c r="E583" s="51"/>
      <c r="F583" s="51"/>
      <c r="G583" s="51"/>
      <c r="H583" s="51"/>
      <c r="I583" s="54"/>
      <c r="J583" s="54"/>
      <c r="K583" s="53"/>
      <c r="L583" s="52"/>
      <c r="M583" s="55"/>
      <c r="N583" s="52"/>
      <c r="O583" s="53"/>
      <c r="P583" s="54"/>
      <c r="Q583" s="54"/>
      <c r="R583" s="54"/>
      <c r="S583" s="54"/>
      <c r="T583" s="54"/>
      <c r="U583" s="82"/>
    </row>
    <row r="584" spans="2:21" x14ac:dyDescent="0.2">
      <c r="B584" s="51"/>
      <c r="C584" s="51"/>
      <c r="D584" s="51"/>
      <c r="E584" s="51"/>
      <c r="F584" s="51"/>
      <c r="G584" s="51"/>
      <c r="H584" s="51"/>
      <c r="I584" s="54"/>
      <c r="J584" s="54"/>
      <c r="K584" s="53"/>
      <c r="L584" s="52"/>
      <c r="M584" s="55"/>
      <c r="N584" s="52"/>
      <c r="O584" s="53"/>
      <c r="P584" s="54"/>
      <c r="Q584" s="54"/>
      <c r="R584" s="54"/>
      <c r="S584" s="54"/>
      <c r="T584" s="54"/>
      <c r="U584" s="82"/>
    </row>
    <row r="585" spans="2:21" x14ac:dyDescent="0.2">
      <c r="B585" s="51"/>
      <c r="C585" s="51"/>
      <c r="D585" s="51"/>
      <c r="E585" s="51"/>
      <c r="F585" s="51"/>
      <c r="G585" s="51"/>
      <c r="H585" s="51"/>
      <c r="I585" s="54"/>
      <c r="J585" s="54"/>
      <c r="K585" s="53"/>
      <c r="L585" s="52"/>
      <c r="M585" s="55"/>
      <c r="N585" s="52"/>
      <c r="O585" s="53"/>
      <c r="P585" s="54"/>
      <c r="Q585" s="54"/>
      <c r="R585" s="54"/>
      <c r="S585" s="54"/>
      <c r="T585" s="54"/>
      <c r="U585" s="82"/>
    </row>
    <row r="586" spans="2:21" x14ac:dyDescent="0.2">
      <c r="B586" s="51"/>
      <c r="C586" s="51"/>
      <c r="D586" s="51"/>
      <c r="E586" s="51"/>
      <c r="F586" s="51"/>
      <c r="G586" s="51"/>
      <c r="H586" s="51"/>
      <c r="I586" s="54"/>
      <c r="J586" s="54"/>
      <c r="K586" s="53"/>
      <c r="L586" s="52"/>
      <c r="M586" s="55"/>
      <c r="N586" s="52"/>
      <c r="O586" s="53"/>
      <c r="P586" s="54"/>
      <c r="Q586" s="54"/>
      <c r="R586" s="54"/>
      <c r="S586" s="54"/>
      <c r="T586" s="54"/>
      <c r="U586" s="82"/>
    </row>
    <row r="587" spans="2:21" x14ac:dyDescent="0.2">
      <c r="B587" s="51"/>
      <c r="C587" s="51"/>
      <c r="D587" s="51"/>
      <c r="E587" s="51"/>
      <c r="F587" s="51"/>
      <c r="G587" s="51"/>
      <c r="H587" s="51"/>
      <c r="I587" s="54"/>
      <c r="J587" s="54"/>
      <c r="K587" s="53"/>
      <c r="L587" s="52"/>
      <c r="M587" s="55"/>
      <c r="N587" s="52"/>
      <c r="O587" s="53"/>
      <c r="P587" s="54"/>
      <c r="Q587" s="54"/>
      <c r="R587" s="54"/>
      <c r="S587" s="54"/>
      <c r="T587" s="54"/>
      <c r="U587" s="82"/>
    </row>
    <row r="588" spans="2:21" x14ac:dyDescent="0.2">
      <c r="B588" s="51"/>
      <c r="C588" s="51"/>
      <c r="D588" s="51"/>
      <c r="E588" s="51"/>
      <c r="F588" s="51"/>
      <c r="G588" s="51"/>
      <c r="H588" s="51"/>
      <c r="I588" s="54"/>
      <c r="J588" s="54"/>
      <c r="K588" s="53"/>
      <c r="L588" s="52"/>
      <c r="M588" s="55"/>
      <c r="N588" s="52"/>
      <c r="O588" s="53"/>
      <c r="P588" s="54"/>
      <c r="Q588" s="54"/>
      <c r="R588" s="54"/>
      <c r="S588" s="54"/>
      <c r="T588" s="54"/>
      <c r="U588" s="82"/>
    </row>
    <row r="589" spans="2:21" x14ac:dyDescent="0.2">
      <c r="B589" s="51"/>
      <c r="C589" s="51"/>
      <c r="D589" s="51"/>
      <c r="E589" s="51"/>
      <c r="F589" s="51"/>
      <c r="G589" s="51"/>
      <c r="H589" s="51"/>
      <c r="I589" s="54"/>
      <c r="J589" s="54"/>
      <c r="K589" s="53"/>
      <c r="L589" s="52"/>
      <c r="M589" s="55"/>
      <c r="N589" s="52"/>
      <c r="O589" s="53"/>
      <c r="P589" s="54"/>
      <c r="Q589" s="54"/>
      <c r="R589" s="54"/>
      <c r="S589" s="54"/>
      <c r="T589" s="54"/>
      <c r="U589" s="82"/>
    </row>
    <row r="590" spans="2:21" x14ac:dyDescent="0.2">
      <c r="B590" s="51"/>
      <c r="C590" s="51"/>
      <c r="D590" s="51"/>
      <c r="E590" s="51"/>
      <c r="F590" s="51"/>
      <c r="G590" s="51"/>
      <c r="H590" s="51"/>
      <c r="I590" s="54"/>
      <c r="J590" s="54"/>
      <c r="K590" s="53"/>
      <c r="L590" s="52"/>
      <c r="M590" s="55"/>
      <c r="N590" s="52"/>
      <c r="O590" s="53"/>
      <c r="P590" s="54"/>
      <c r="Q590" s="54"/>
      <c r="R590" s="54"/>
      <c r="S590" s="54"/>
      <c r="T590" s="54"/>
      <c r="U590" s="82"/>
    </row>
    <row r="591" spans="2:21" x14ac:dyDescent="0.2">
      <c r="B591" s="51"/>
      <c r="C591" s="51"/>
      <c r="D591" s="51"/>
      <c r="E591" s="51"/>
      <c r="F591" s="51"/>
      <c r="G591" s="51"/>
      <c r="H591" s="51"/>
      <c r="I591" s="54"/>
      <c r="J591" s="54"/>
      <c r="K591" s="53"/>
      <c r="L591" s="52"/>
      <c r="M591" s="55"/>
      <c r="N591" s="52"/>
      <c r="O591" s="53"/>
      <c r="P591" s="54"/>
      <c r="Q591" s="54"/>
      <c r="R591" s="54"/>
      <c r="S591" s="54"/>
      <c r="T591" s="54"/>
      <c r="U591" s="82"/>
    </row>
    <row r="592" spans="2:21" x14ac:dyDescent="0.2">
      <c r="B592" s="51"/>
      <c r="C592" s="51"/>
      <c r="D592" s="51"/>
      <c r="E592" s="51"/>
      <c r="F592" s="51"/>
      <c r="G592" s="51"/>
      <c r="H592" s="51"/>
      <c r="I592" s="54"/>
      <c r="J592" s="54"/>
      <c r="K592" s="53"/>
      <c r="L592" s="52"/>
      <c r="M592" s="55"/>
      <c r="N592" s="52"/>
      <c r="O592" s="53"/>
      <c r="P592" s="54"/>
      <c r="Q592" s="54"/>
      <c r="R592" s="54"/>
      <c r="S592" s="54"/>
      <c r="T592" s="54"/>
      <c r="U592" s="82"/>
    </row>
    <row r="593" spans="2:21" x14ac:dyDescent="0.2">
      <c r="B593" s="51"/>
      <c r="C593" s="51"/>
      <c r="D593" s="51"/>
      <c r="E593" s="51"/>
      <c r="F593" s="51"/>
      <c r="G593" s="51"/>
      <c r="H593" s="51"/>
      <c r="I593" s="54"/>
      <c r="J593" s="54"/>
      <c r="K593" s="53"/>
      <c r="L593" s="52"/>
      <c r="M593" s="55"/>
      <c r="N593" s="52"/>
      <c r="O593" s="53"/>
      <c r="P593" s="54"/>
      <c r="Q593" s="54"/>
      <c r="R593" s="54"/>
      <c r="S593" s="54"/>
      <c r="T593" s="54"/>
      <c r="U593" s="82"/>
    </row>
    <row r="594" spans="2:21" x14ac:dyDescent="0.2">
      <c r="B594" s="51"/>
      <c r="C594" s="51"/>
      <c r="D594" s="51"/>
      <c r="E594" s="51"/>
      <c r="F594" s="51"/>
      <c r="G594" s="51"/>
      <c r="H594" s="51"/>
      <c r="I594" s="54"/>
      <c r="J594" s="54"/>
      <c r="K594" s="53"/>
      <c r="L594" s="52"/>
      <c r="M594" s="55"/>
      <c r="N594" s="52"/>
      <c r="O594" s="53"/>
      <c r="P594" s="54"/>
      <c r="Q594" s="54"/>
      <c r="R594" s="54"/>
      <c r="S594" s="54"/>
      <c r="T594" s="54"/>
      <c r="U594" s="82"/>
    </row>
    <row r="595" spans="2:21" x14ac:dyDescent="0.2">
      <c r="B595" s="51"/>
      <c r="C595" s="51"/>
      <c r="D595" s="51"/>
      <c r="E595" s="51"/>
      <c r="F595" s="51"/>
      <c r="G595" s="51"/>
      <c r="H595" s="51"/>
      <c r="I595" s="54"/>
      <c r="J595" s="54"/>
      <c r="K595" s="53"/>
      <c r="L595" s="52"/>
      <c r="M595" s="55"/>
      <c r="N595" s="52"/>
      <c r="O595" s="53"/>
      <c r="P595" s="54"/>
      <c r="Q595" s="54"/>
      <c r="R595" s="54"/>
      <c r="S595" s="54"/>
      <c r="T595" s="54"/>
      <c r="U595" s="82"/>
    </row>
    <row r="596" spans="2:21" x14ac:dyDescent="0.2">
      <c r="B596" s="51"/>
      <c r="C596" s="51"/>
      <c r="D596" s="51"/>
      <c r="E596" s="51"/>
      <c r="F596" s="51"/>
      <c r="G596" s="51"/>
      <c r="H596" s="51"/>
      <c r="I596" s="54"/>
      <c r="J596" s="54"/>
      <c r="K596" s="53"/>
      <c r="L596" s="52"/>
      <c r="M596" s="55"/>
      <c r="N596" s="52"/>
      <c r="O596" s="53"/>
      <c r="P596" s="54"/>
      <c r="Q596" s="54"/>
      <c r="R596" s="54"/>
      <c r="S596" s="54"/>
      <c r="T596" s="54"/>
      <c r="U596" s="82"/>
    </row>
    <row r="597" spans="2:21" x14ac:dyDescent="0.2">
      <c r="B597" s="51"/>
      <c r="C597" s="51"/>
      <c r="D597" s="51"/>
      <c r="E597" s="51"/>
      <c r="F597" s="51"/>
      <c r="G597" s="51"/>
      <c r="H597" s="51"/>
      <c r="I597" s="54"/>
      <c r="J597" s="54"/>
      <c r="K597" s="53"/>
      <c r="L597" s="52"/>
      <c r="M597" s="55"/>
      <c r="N597" s="52"/>
      <c r="O597" s="53"/>
      <c r="P597" s="54"/>
      <c r="Q597" s="54"/>
      <c r="R597" s="54"/>
      <c r="S597" s="54"/>
      <c r="T597" s="54"/>
      <c r="U597" s="82"/>
    </row>
    <row r="598" spans="2:21" x14ac:dyDescent="0.2">
      <c r="B598" s="51"/>
      <c r="C598" s="51"/>
      <c r="D598" s="51"/>
      <c r="E598" s="51"/>
      <c r="F598" s="51"/>
      <c r="G598" s="51"/>
      <c r="H598" s="51"/>
      <c r="I598" s="54"/>
      <c r="J598" s="54"/>
      <c r="K598" s="53"/>
      <c r="L598" s="52"/>
      <c r="M598" s="55"/>
      <c r="N598" s="52"/>
      <c r="O598" s="53"/>
      <c r="P598" s="54"/>
      <c r="Q598" s="54"/>
      <c r="R598" s="54"/>
      <c r="S598" s="54"/>
      <c r="T598" s="54"/>
      <c r="U598" s="82"/>
    </row>
    <row r="599" spans="2:21" x14ac:dyDescent="0.2">
      <c r="B599" s="51"/>
      <c r="C599" s="51"/>
      <c r="D599" s="51"/>
      <c r="E599" s="51"/>
      <c r="F599" s="51"/>
      <c r="G599" s="51"/>
      <c r="H599" s="51"/>
      <c r="I599" s="54"/>
      <c r="J599" s="54"/>
      <c r="K599" s="53"/>
      <c r="L599" s="52"/>
      <c r="M599" s="55"/>
      <c r="N599" s="52"/>
      <c r="O599" s="53"/>
      <c r="P599" s="54"/>
      <c r="Q599" s="54"/>
      <c r="R599" s="54"/>
      <c r="S599" s="54"/>
      <c r="T599" s="54"/>
      <c r="U599" s="82"/>
    </row>
    <row r="600" spans="2:21" x14ac:dyDescent="0.2">
      <c r="B600" s="51"/>
      <c r="C600" s="51"/>
      <c r="D600" s="51"/>
      <c r="E600" s="51"/>
      <c r="F600" s="51"/>
      <c r="G600" s="51"/>
      <c r="H600" s="51"/>
      <c r="I600" s="54"/>
      <c r="J600" s="54"/>
      <c r="K600" s="53"/>
      <c r="L600" s="52"/>
      <c r="M600" s="55"/>
      <c r="N600" s="52"/>
      <c r="O600" s="53"/>
      <c r="P600" s="54"/>
      <c r="Q600" s="54"/>
      <c r="R600" s="54"/>
      <c r="S600" s="54"/>
      <c r="T600" s="54"/>
      <c r="U600" s="82"/>
    </row>
    <row r="601" spans="2:21" x14ac:dyDescent="0.2">
      <c r="B601" s="51"/>
      <c r="C601" s="51"/>
      <c r="D601" s="51"/>
      <c r="E601" s="51"/>
      <c r="F601" s="51"/>
      <c r="G601" s="51"/>
      <c r="H601" s="51"/>
      <c r="I601" s="54"/>
      <c r="J601" s="54"/>
      <c r="K601" s="53"/>
      <c r="L601" s="52"/>
      <c r="M601" s="55"/>
      <c r="N601" s="52"/>
      <c r="O601" s="53"/>
      <c r="P601" s="54"/>
      <c r="Q601" s="54"/>
      <c r="R601" s="54"/>
      <c r="S601" s="54"/>
      <c r="T601" s="54"/>
      <c r="U601" s="82"/>
    </row>
    <row r="602" spans="2:21" x14ac:dyDescent="0.2">
      <c r="B602" s="51"/>
      <c r="C602" s="51"/>
      <c r="D602" s="51"/>
      <c r="E602" s="51"/>
      <c r="F602" s="51"/>
      <c r="G602" s="51"/>
      <c r="H602" s="51"/>
      <c r="I602" s="54"/>
      <c r="J602" s="54"/>
      <c r="K602" s="53"/>
      <c r="L602" s="52"/>
      <c r="M602" s="55"/>
      <c r="N602" s="52"/>
      <c r="O602" s="53"/>
      <c r="P602" s="54"/>
      <c r="Q602" s="54"/>
      <c r="R602" s="54"/>
      <c r="S602" s="54"/>
      <c r="T602" s="54"/>
      <c r="U602" s="82"/>
    </row>
    <row r="603" spans="2:21" x14ac:dyDescent="0.2">
      <c r="B603" s="51"/>
      <c r="C603" s="51"/>
      <c r="D603" s="51"/>
      <c r="E603" s="51"/>
      <c r="F603" s="51"/>
      <c r="G603" s="51"/>
      <c r="H603" s="51"/>
      <c r="I603" s="54"/>
      <c r="J603" s="54"/>
      <c r="K603" s="53"/>
      <c r="L603" s="52"/>
      <c r="M603" s="55"/>
      <c r="N603" s="52"/>
      <c r="O603" s="53"/>
      <c r="P603" s="54"/>
      <c r="Q603" s="54"/>
      <c r="R603" s="54"/>
      <c r="S603" s="54"/>
      <c r="T603" s="54"/>
      <c r="U603" s="82"/>
    </row>
    <row r="604" spans="2:21" x14ac:dyDescent="0.2">
      <c r="B604" s="51"/>
      <c r="C604" s="51"/>
      <c r="D604" s="51"/>
      <c r="E604" s="51"/>
      <c r="F604" s="51"/>
      <c r="G604" s="51"/>
      <c r="H604" s="51"/>
      <c r="I604" s="54"/>
      <c r="J604" s="54"/>
      <c r="K604" s="53"/>
      <c r="L604" s="52"/>
      <c r="M604" s="55"/>
      <c r="N604" s="52"/>
      <c r="O604" s="53"/>
      <c r="P604" s="54"/>
      <c r="Q604" s="54"/>
      <c r="R604" s="54"/>
      <c r="S604" s="54"/>
      <c r="T604" s="54"/>
      <c r="U604" s="82"/>
    </row>
    <row r="605" spans="2:21" x14ac:dyDescent="0.2">
      <c r="B605" s="51"/>
      <c r="C605" s="51"/>
      <c r="D605" s="51"/>
      <c r="E605" s="51"/>
      <c r="F605" s="51"/>
      <c r="G605" s="51"/>
      <c r="H605" s="51"/>
      <c r="I605" s="54"/>
      <c r="J605" s="54"/>
      <c r="K605" s="53"/>
      <c r="L605" s="52"/>
      <c r="M605" s="55"/>
      <c r="N605" s="52"/>
      <c r="O605" s="53"/>
      <c r="P605" s="54"/>
      <c r="Q605" s="54"/>
      <c r="R605" s="54"/>
      <c r="S605" s="54"/>
      <c r="T605" s="54"/>
      <c r="U605" s="82"/>
    </row>
    <row r="606" spans="2:21" x14ac:dyDescent="0.2">
      <c r="B606" s="51"/>
      <c r="C606" s="51"/>
      <c r="D606" s="51"/>
      <c r="E606" s="51"/>
      <c r="F606" s="51"/>
      <c r="G606" s="51"/>
      <c r="H606" s="51"/>
      <c r="I606" s="54"/>
      <c r="J606" s="54"/>
      <c r="K606" s="53"/>
      <c r="L606" s="52"/>
      <c r="M606" s="55"/>
      <c r="N606" s="52"/>
      <c r="O606" s="53"/>
      <c r="P606" s="54"/>
      <c r="Q606" s="54"/>
      <c r="R606" s="54"/>
      <c r="S606" s="54"/>
      <c r="T606" s="54"/>
      <c r="U606" s="82"/>
    </row>
    <row r="607" spans="2:21" x14ac:dyDescent="0.2">
      <c r="B607" s="51"/>
      <c r="C607" s="51"/>
      <c r="D607" s="51"/>
      <c r="E607" s="51"/>
      <c r="F607" s="51"/>
      <c r="G607" s="51"/>
      <c r="H607" s="51"/>
      <c r="I607" s="54"/>
      <c r="J607" s="54"/>
      <c r="K607" s="53"/>
      <c r="L607" s="52"/>
      <c r="M607" s="55"/>
      <c r="N607" s="52"/>
      <c r="O607" s="53"/>
      <c r="P607" s="54"/>
      <c r="Q607" s="54"/>
      <c r="R607" s="54"/>
      <c r="S607" s="54"/>
      <c r="T607" s="54"/>
      <c r="U607" s="82"/>
    </row>
    <row r="608" spans="2:21" x14ac:dyDescent="0.2">
      <c r="B608" s="51"/>
      <c r="C608" s="51"/>
      <c r="D608" s="51"/>
      <c r="E608" s="51"/>
      <c r="F608" s="51"/>
      <c r="G608" s="51"/>
      <c r="H608" s="51"/>
      <c r="I608" s="54"/>
      <c r="J608" s="54"/>
      <c r="K608" s="53"/>
      <c r="L608" s="52"/>
      <c r="M608" s="55"/>
      <c r="N608" s="52"/>
      <c r="O608" s="53"/>
      <c r="P608" s="54"/>
      <c r="Q608" s="54"/>
      <c r="R608" s="54"/>
      <c r="S608" s="54"/>
      <c r="T608" s="54"/>
      <c r="U608" s="82"/>
    </row>
    <row r="609" spans="2:21" x14ac:dyDescent="0.2">
      <c r="B609" s="51"/>
      <c r="C609" s="51"/>
      <c r="D609" s="51"/>
      <c r="E609" s="51"/>
      <c r="F609" s="51"/>
      <c r="G609" s="51"/>
      <c r="H609" s="51"/>
      <c r="I609" s="54"/>
      <c r="J609" s="54"/>
      <c r="K609" s="53"/>
      <c r="L609" s="52"/>
      <c r="M609" s="55"/>
      <c r="N609" s="52"/>
      <c r="O609" s="53"/>
      <c r="P609" s="54"/>
      <c r="Q609" s="54"/>
      <c r="R609" s="54"/>
      <c r="S609" s="54"/>
      <c r="T609" s="54"/>
      <c r="U609" s="82"/>
    </row>
    <row r="610" spans="2:21" x14ac:dyDescent="0.2">
      <c r="B610" s="51"/>
      <c r="C610" s="51"/>
      <c r="D610" s="51"/>
      <c r="E610" s="51"/>
      <c r="F610" s="51"/>
      <c r="G610" s="51"/>
      <c r="H610" s="51"/>
      <c r="I610" s="54"/>
      <c r="J610" s="54"/>
      <c r="K610" s="53"/>
      <c r="L610" s="52"/>
      <c r="M610" s="55"/>
      <c r="N610" s="52"/>
      <c r="O610" s="53"/>
      <c r="P610" s="54"/>
      <c r="Q610" s="54"/>
      <c r="R610" s="54"/>
      <c r="S610" s="54"/>
      <c r="T610" s="54"/>
      <c r="U610" s="82"/>
    </row>
    <row r="611" spans="2:21" x14ac:dyDescent="0.2">
      <c r="B611" s="51"/>
      <c r="C611" s="51"/>
      <c r="D611" s="51"/>
      <c r="E611" s="51"/>
      <c r="F611" s="51"/>
      <c r="G611" s="51"/>
      <c r="H611" s="51"/>
      <c r="I611" s="54"/>
      <c r="J611" s="54"/>
      <c r="K611" s="53"/>
      <c r="L611" s="52"/>
      <c r="M611" s="55"/>
      <c r="N611" s="52"/>
      <c r="O611" s="53"/>
      <c r="P611" s="54"/>
      <c r="Q611" s="54"/>
      <c r="R611" s="54"/>
      <c r="S611" s="54"/>
      <c r="T611" s="54"/>
      <c r="U611" s="82"/>
    </row>
    <row r="612" spans="2:21" x14ac:dyDescent="0.2">
      <c r="B612" s="51"/>
      <c r="C612" s="51"/>
      <c r="D612" s="51"/>
      <c r="E612" s="51"/>
      <c r="F612" s="51"/>
      <c r="G612" s="51"/>
      <c r="H612" s="51"/>
      <c r="I612" s="54"/>
      <c r="J612" s="54"/>
      <c r="K612" s="53"/>
      <c r="L612" s="52"/>
      <c r="M612" s="55"/>
      <c r="N612" s="52"/>
      <c r="O612" s="53"/>
      <c r="P612" s="54"/>
      <c r="Q612" s="54"/>
      <c r="R612" s="54"/>
      <c r="S612" s="54"/>
      <c r="T612" s="54"/>
      <c r="U612" s="82"/>
    </row>
    <row r="613" spans="2:21" x14ac:dyDescent="0.2">
      <c r="B613" s="51"/>
      <c r="C613" s="51"/>
      <c r="D613" s="51"/>
      <c r="E613" s="51"/>
      <c r="F613" s="51"/>
      <c r="G613" s="51"/>
      <c r="H613" s="51"/>
      <c r="I613" s="54"/>
      <c r="J613" s="54"/>
      <c r="K613" s="53"/>
      <c r="L613" s="52"/>
      <c r="M613" s="55"/>
      <c r="N613" s="52"/>
      <c r="O613" s="53"/>
      <c r="P613" s="54"/>
      <c r="Q613" s="54"/>
      <c r="R613" s="54"/>
      <c r="S613" s="54"/>
      <c r="T613" s="54"/>
      <c r="U613" s="82"/>
    </row>
    <row r="614" spans="2:21" x14ac:dyDescent="0.2">
      <c r="B614" s="51"/>
      <c r="C614" s="51"/>
      <c r="D614" s="51"/>
      <c r="E614" s="51"/>
      <c r="F614" s="51"/>
      <c r="G614" s="51"/>
      <c r="H614" s="51"/>
      <c r="I614" s="54"/>
      <c r="J614" s="54"/>
      <c r="K614" s="53"/>
      <c r="L614" s="52"/>
      <c r="M614" s="55"/>
      <c r="N614" s="52"/>
      <c r="O614" s="53"/>
      <c r="P614" s="54"/>
      <c r="Q614" s="54"/>
      <c r="R614" s="54"/>
      <c r="S614" s="54"/>
      <c r="T614" s="54"/>
      <c r="U614" s="82"/>
    </row>
    <row r="615" spans="2:21" x14ac:dyDescent="0.2">
      <c r="B615" s="51"/>
      <c r="C615" s="51"/>
      <c r="D615" s="51"/>
      <c r="E615" s="51"/>
      <c r="F615" s="51"/>
      <c r="G615" s="51"/>
      <c r="H615" s="51"/>
      <c r="I615" s="54"/>
      <c r="J615" s="54"/>
      <c r="K615" s="53"/>
      <c r="L615" s="52"/>
      <c r="M615" s="55"/>
      <c r="N615" s="52"/>
      <c r="O615" s="53"/>
      <c r="P615" s="54"/>
      <c r="Q615" s="54"/>
      <c r="R615" s="54"/>
      <c r="S615" s="54"/>
      <c r="T615" s="54"/>
      <c r="U615" s="82"/>
    </row>
    <row r="616" spans="2:21" x14ac:dyDescent="0.2">
      <c r="B616" s="51"/>
      <c r="C616" s="51"/>
      <c r="D616" s="51"/>
      <c r="E616" s="51"/>
      <c r="F616" s="51"/>
      <c r="G616" s="51"/>
      <c r="H616" s="51"/>
      <c r="I616" s="54"/>
      <c r="J616" s="54"/>
      <c r="K616" s="53"/>
      <c r="L616" s="52"/>
      <c r="M616" s="55"/>
      <c r="N616" s="52"/>
      <c r="O616" s="53"/>
      <c r="P616" s="54"/>
      <c r="Q616" s="54"/>
      <c r="R616" s="54"/>
      <c r="S616" s="54"/>
      <c r="T616" s="54"/>
      <c r="U616" s="82"/>
    </row>
    <row r="617" spans="2:21" x14ac:dyDescent="0.2">
      <c r="B617" s="51"/>
      <c r="C617" s="51"/>
      <c r="D617" s="51"/>
      <c r="E617" s="51"/>
      <c r="F617" s="51"/>
      <c r="G617" s="51"/>
      <c r="H617" s="51"/>
      <c r="I617" s="54"/>
      <c r="J617" s="54"/>
      <c r="K617" s="53"/>
      <c r="L617" s="52"/>
      <c r="M617" s="55"/>
      <c r="N617" s="52"/>
      <c r="O617" s="53"/>
      <c r="P617" s="54"/>
      <c r="Q617" s="54"/>
      <c r="R617" s="54"/>
      <c r="S617" s="54"/>
      <c r="T617" s="54"/>
      <c r="U617" s="82"/>
    </row>
    <row r="618" spans="2:21" x14ac:dyDescent="0.2">
      <c r="B618" s="51"/>
      <c r="C618" s="51"/>
      <c r="D618" s="51"/>
      <c r="E618" s="51"/>
      <c r="F618" s="51"/>
      <c r="G618" s="51"/>
      <c r="H618" s="51"/>
      <c r="I618" s="54"/>
      <c r="J618" s="54"/>
      <c r="K618" s="53"/>
      <c r="L618" s="52"/>
      <c r="M618" s="55"/>
      <c r="N618" s="52"/>
      <c r="O618" s="53"/>
      <c r="P618" s="54"/>
      <c r="Q618" s="54"/>
      <c r="R618" s="54"/>
      <c r="S618" s="54"/>
      <c r="T618" s="54"/>
      <c r="U618" s="82"/>
    </row>
    <row r="619" spans="2:21" x14ac:dyDescent="0.2">
      <c r="B619" s="51"/>
      <c r="C619" s="51"/>
      <c r="D619" s="51"/>
      <c r="E619" s="51"/>
      <c r="F619" s="51"/>
      <c r="G619" s="51"/>
      <c r="H619" s="51"/>
      <c r="I619" s="54"/>
      <c r="J619" s="54"/>
      <c r="K619" s="53"/>
      <c r="L619" s="52"/>
      <c r="M619" s="55"/>
      <c r="N619" s="52"/>
      <c r="O619" s="53"/>
      <c r="P619" s="54"/>
      <c r="Q619" s="54"/>
      <c r="R619" s="54"/>
      <c r="S619" s="54"/>
      <c r="T619" s="54"/>
      <c r="U619" s="82"/>
    </row>
    <row r="620" spans="2:21" x14ac:dyDescent="0.2">
      <c r="B620" s="51"/>
      <c r="C620" s="51"/>
      <c r="D620" s="51"/>
      <c r="E620" s="51"/>
      <c r="F620" s="51"/>
      <c r="G620" s="51"/>
      <c r="H620" s="51"/>
      <c r="I620" s="54"/>
      <c r="J620" s="54"/>
      <c r="K620" s="53"/>
      <c r="L620" s="52"/>
      <c r="M620" s="55"/>
      <c r="N620" s="52"/>
      <c r="O620" s="53"/>
      <c r="P620" s="54"/>
      <c r="Q620" s="54"/>
      <c r="R620" s="54"/>
      <c r="S620" s="54"/>
      <c r="T620" s="54"/>
      <c r="U620" s="82"/>
    </row>
    <row r="621" spans="2:21" x14ac:dyDescent="0.2">
      <c r="B621" s="51"/>
      <c r="C621" s="51"/>
      <c r="D621" s="51"/>
      <c r="E621" s="51"/>
      <c r="F621" s="51"/>
      <c r="G621" s="51"/>
      <c r="H621" s="51"/>
      <c r="I621" s="54"/>
      <c r="J621" s="54"/>
      <c r="K621" s="53"/>
      <c r="L621" s="52"/>
      <c r="M621" s="55"/>
      <c r="N621" s="52"/>
      <c r="O621" s="53"/>
      <c r="P621" s="54"/>
      <c r="Q621" s="54"/>
      <c r="R621" s="54"/>
      <c r="S621" s="54"/>
      <c r="T621" s="54"/>
      <c r="U621" s="82"/>
    </row>
    <row r="622" spans="2:21" x14ac:dyDescent="0.2">
      <c r="B622" s="51"/>
      <c r="C622" s="51"/>
      <c r="D622" s="51"/>
      <c r="E622" s="51"/>
      <c r="F622" s="51"/>
      <c r="G622" s="51"/>
      <c r="H622" s="51"/>
      <c r="I622" s="54"/>
      <c r="J622" s="54"/>
      <c r="K622" s="53"/>
      <c r="L622" s="52"/>
      <c r="M622" s="55"/>
      <c r="N622" s="52"/>
      <c r="O622" s="53"/>
      <c r="P622" s="54"/>
      <c r="Q622" s="54"/>
      <c r="R622" s="54"/>
      <c r="S622" s="54"/>
      <c r="T622" s="54"/>
      <c r="U622" s="82"/>
    </row>
    <row r="623" spans="2:21" x14ac:dyDescent="0.2">
      <c r="B623" s="51"/>
      <c r="C623" s="51"/>
      <c r="D623" s="51"/>
      <c r="E623" s="51"/>
      <c r="F623" s="51"/>
      <c r="G623" s="51"/>
      <c r="H623" s="51"/>
      <c r="I623" s="54"/>
      <c r="J623" s="54"/>
      <c r="K623" s="53"/>
      <c r="L623" s="52"/>
      <c r="M623" s="55"/>
      <c r="N623" s="52"/>
      <c r="O623" s="53"/>
      <c r="P623" s="54"/>
      <c r="Q623" s="54"/>
      <c r="R623" s="54"/>
      <c r="S623" s="54"/>
      <c r="T623" s="54"/>
      <c r="U623" s="82"/>
    </row>
    <row r="624" spans="2:21" x14ac:dyDescent="0.2">
      <c r="B624" s="51"/>
      <c r="C624" s="51"/>
      <c r="D624" s="51"/>
      <c r="E624" s="51"/>
      <c r="F624" s="51"/>
      <c r="G624" s="51"/>
      <c r="H624" s="51"/>
      <c r="I624" s="54"/>
      <c r="J624" s="54"/>
      <c r="K624" s="53"/>
      <c r="L624" s="52"/>
      <c r="M624" s="55"/>
      <c r="N624" s="52"/>
      <c r="O624" s="53"/>
      <c r="P624" s="54"/>
      <c r="Q624" s="54"/>
      <c r="R624" s="54"/>
      <c r="S624" s="54"/>
      <c r="T624" s="54"/>
      <c r="U624" s="82"/>
    </row>
    <row r="625" spans="2:21" x14ac:dyDescent="0.2">
      <c r="B625" s="51"/>
      <c r="C625" s="51"/>
      <c r="D625" s="51"/>
      <c r="E625" s="51"/>
      <c r="F625" s="51"/>
      <c r="G625" s="51"/>
      <c r="H625" s="51"/>
      <c r="I625" s="54"/>
      <c r="J625" s="54"/>
      <c r="K625" s="53"/>
      <c r="L625" s="52"/>
      <c r="M625" s="55"/>
      <c r="N625" s="52"/>
      <c r="O625" s="53"/>
      <c r="P625" s="54"/>
      <c r="Q625" s="54"/>
      <c r="R625" s="54"/>
      <c r="S625" s="54"/>
      <c r="T625" s="54"/>
      <c r="U625" s="82"/>
    </row>
    <row r="626" spans="2:21" x14ac:dyDescent="0.2">
      <c r="B626" s="51"/>
      <c r="C626" s="51"/>
      <c r="D626" s="51"/>
      <c r="E626" s="51"/>
      <c r="F626" s="51"/>
      <c r="G626" s="51"/>
      <c r="H626" s="51"/>
      <c r="I626" s="54"/>
      <c r="J626" s="54"/>
      <c r="K626" s="53"/>
      <c r="L626" s="52"/>
      <c r="M626" s="55"/>
      <c r="N626" s="52"/>
      <c r="O626" s="53"/>
      <c r="P626" s="54"/>
      <c r="Q626" s="54"/>
      <c r="R626" s="54"/>
      <c r="S626" s="54"/>
      <c r="T626" s="54"/>
      <c r="U626" s="82"/>
    </row>
    <row r="627" spans="2:21" x14ac:dyDescent="0.2">
      <c r="B627" s="51"/>
      <c r="C627" s="51"/>
      <c r="D627" s="51"/>
      <c r="E627" s="51"/>
      <c r="F627" s="51"/>
      <c r="G627" s="51"/>
      <c r="H627" s="51"/>
      <c r="I627" s="54"/>
      <c r="J627" s="54"/>
      <c r="K627" s="53"/>
      <c r="L627" s="52"/>
      <c r="M627" s="55"/>
      <c r="N627" s="52"/>
      <c r="O627" s="53"/>
      <c r="P627" s="54"/>
      <c r="Q627" s="54"/>
      <c r="R627" s="54"/>
      <c r="S627" s="54"/>
      <c r="T627" s="54"/>
      <c r="U627" s="82"/>
    </row>
    <row r="628" spans="2:21" x14ac:dyDescent="0.2">
      <c r="B628" s="51"/>
      <c r="C628" s="51"/>
      <c r="D628" s="51"/>
      <c r="E628" s="51"/>
      <c r="F628" s="51"/>
      <c r="G628" s="51"/>
      <c r="H628" s="51"/>
      <c r="I628" s="54"/>
      <c r="J628" s="54"/>
      <c r="K628" s="53"/>
      <c r="L628" s="52"/>
      <c r="M628" s="55"/>
      <c r="N628" s="52"/>
      <c r="O628" s="53"/>
      <c r="P628" s="54"/>
      <c r="Q628" s="54"/>
      <c r="R628" s="54"/>
      <c r="S628" s="54"/>
      <c r="T628" s="54"/>
      <c r="U628" s="82"/>
    </row>
    <row r="629" spans="2:21" x14ac:dyDescent="0.2">
      <c r="B629" s="51"/>
      <c r="C629" s="51"/>
      <c r="D629" s="51"/>
      <c r="E629" s="51"/>
      <c r="F629" s="51"/>
      <c r="G629" s="51"/>
      <c r="H629" s="51"/>
      <c r="I629" s="54"/>
      <c r="J629" s="54"/>
      <c r="K629" s="53"/>
      <c r="L629" s="52"/>
      <c r="M629" s="55"/>
      <c r="N629" s="52"/>
      <c r="O629" s="53"/>
      <c r="P629" s="54"/>
      <c r="Q629" s="54"/>
      <c r="R629" s="54"/>
      <c r="S629" s="54"/>
      <c r="T629" s="54"/>
      <c r="U629" s="82"/>
    </row>
    <row r="630" spans="2:21" x14ac:dyDescent="0.2">
      <c r="B630" s="51"/>
      <c r="C630" s="51"/>
      <c r="D630" s="51"/>
      <c r="E630" s="51"/>
      <c r="F630" s="51"/>
      <c r="G630" s="51"/>
      <c r="H630" s="51"/>
      <c r="I630" s="54"/>
      <c r="J630" s="54"/>
      <c r="K630" s="53"/>
      <c r="L630" s="52"/>
      <c r="M630" s="55"/>
      <c r="N630" s="52"/>
      <c r="O630" s="53"/>
      <c r="P630" s="54"/>
      <c r="Q630" s="54"/>
      <c r="R630" s="54"/>
      <c r="S630" s="54"/>
      <c r="T630" s="54"/>
      <c r="U630" s="82"/>
    </row>
    <row r="631" spans="2:21" x14ac:dyDescent="0.2">
      <c r="B631" s="51"/>
      <c r="C631" s="51"/>
      <c r="D631" s="51"/>
      <c r="E631" s="51"/>
      <c r="F631" s="51"/>
      <c r="G631" s="51"/>
      <c r="H631" s="51"/>
      <c r="I631" s="54"/>
      <c r="J631" s="54"/>
      <c r="K631" s="53"/>
      <c r="L631" s="52"/>
      <c r="M631" s="55"/>
      <c r="N631" s="52"/>
      <c r="O631" s="53"/>
      <c r="P631" s="54"/>
      <c r="Q631" s="54"/>
      <c r="R631" s="54"/>
      <c r="S631" s="54"/>
      <c r="T631" s="54"/>
      <c r="U631" s="82"/>
    </row>
    <row r="632" spans="2:21" x14ac:dyDescent="0.2">
      <c r="B632" s="51"/>
      <c r="C632" s="51"/>
      <c r="D632" s="51"/>
      <c r="E632" s="51"/>
      <c r="F632" s="51"/>
      <c r="G632" s="51"/>
      <c r="H632" s="51"/>
      <c r="I632" s="54"/>
      <c r="J632" s="54"/>
      <c r="K632" s="53"/>
      <c r="L632" s="52"/>
      <c r="M632" s="55"/>
      <c r="N632" s="52"/>
      <c r="O632" s="53"/>
      <c r="P632" s="54"/>
      <c r="Q632" s="54"/>
      <c r="R632" s="54"/>
      <c r="S632" s="54"/>
      <c r="T632" s="54"/>
      <c r="U632" s="82"/>
    </row>
    <row r="633" spans="2:21" x14ac:dyDescent="0.2">
      <c r="B633" s="51"/>
      <c r="C633" s="51"/>
      <c r="D633" s="51"/>
      <c r="E633" s="51"/>
      <c r="F633" s="51"/>
      <c r="G633" s="51"/>
      <c r="H633" s="51"/>
      <c r="I633" s="54"/>
      <c r="J633" s="54"/>
      <c r="K633" s="53"/>
      <c r="L633" s="52"/>
      <c r="M633" s="55"/>
      <c r="N633" s="52"/>
      <c r="O633" s="53"/>
      <c r="P633" s="54"/>
      <c r="Q633" s="54"/>
      <c r="R633" s="54"/>
      <c r="S633" s="54"/>
      <c r="T633" s="54"/>
      <c r="U633" s="82"/>
    </row>
    <row r="634" spans="2:21" x14ac:dyDescent="0.2">
      <c r="B634" s="51"/>
      <c r="C634" s="51"/>
      <c r="D634" s="51"/>
      <c r="E634" s="51"/>
      <c r="F634" s="51"/>
      <c r="G634" s="51"/>
      <c r="H634" s="51"/>
      <c r="I634" s="54"/>
      <c r="J634" s="54"/>
      <c r="K634" s="53"/>
      <c r="L634" s="52"/>
      <c r="M634" s="55"/>
      <c r="N634" s="52"/>
      <c r="O634" s="53"/>
      <c r="P634" s="54"/>
      <c r="Q634" s="54"/>
      <c r="R634" s="54"/>
      <c r="S634" s="54"/>
      <c r="T634" s="54"/>
      <c r="U634" s="82"/>
    </row>
    <row r="635" spans="2:21" x14ac:dyDescent="0.2">
      <c r="B635" s="51"/>
      <c r="C635" s="51"/>
      <c r="D635" s="51"/>
      <c r="E635" s="51"/>
      <c r="F635" s="51"/>
      <c r="G635" s="51"/>
      <c r="H635" s="51"/>
      <c r="I635" s="54"/>
      <c r="J635" s="54"/>
      <c r="K635" s="53"/>
      <c r="L635" s="52"/>
      <c r="M635" s="55"/>
      <c r="N635" s="52"/>
      <c r="O635" s="53"/>
      <c r="P635" s="54"/>
      <c r="Q635" s="54"/>
      <c r="R635" s="54"/>
      <c r="S635" s="54"/>
      <c r="T635" s="54"/>
      <c r="U635" s="82"/>
    </row>
    <row r="636" spans="2:21" x14ac:dyDescent="0.2">
      <c r="B636" s="51"/>
      <c r="C636" s="51"/>
      <c r="D636" s="51"/>
      <c r="E636" s="51"/>
      <c r="F636" s="51"/>
      <c r="G636" s="51"/>
      <c r="H636" s="51"/>
      <c r="I636" s="54"/>
      <c r="J636" s="54"/>
      <c r="K636" s="53"/>
      <c r="L636" s="52"/>
      <c r="M636" s="55"/>
      <c r="N636" s="52"/>
      <c r="O636" s="53"/>
      <c r="P636" s="54"/>
      <c r="Q636" s="54"/>
      <c r="R636" s="54"/>
      <c r="S636" s="54"/>
      <c r="T636" s="54"/>
      <c r="U636" s="82"/>
    </row>
    <row r="637" spans="2:21" x14ac:dyDescent="0.2">
      <c r="B637" s="51"/>
      <c r="C637" s="51"/>
      <c r="D637" s="51"/>
      <c r="E637" s="51"/>
      <c r="F637" s="51"/>
      <c r="G637" s="51"/>
      <c r="H637" s="51"/>
      <c r="I637" s="54"/>
      <c r="J637" s="54"/>
      <c r="K637" s="53"/>
      <c r="L637" s="52"/>
      <c r="M637" s="55"/>
      <c r="N637" s="52"/>
      <c r="O637" s="53"/>
      <c r="P637" s="54"/>
      <c r="Q637" s="54"/>
      <c r="R637" s="54"/>
      <c r="S637" s="54"/>
      <c r="T637" s="54"/>
      <c r="U637" s="82"/>
    </row>
    <row r="638" spans="2:21" x14ac:dyDescent="0.2">
      <c r="B638" s="51"/>
      <c r="C638" s="51"/>
      <c r="D638" s="51"/>
      <c r="E638" s="51"/>
      <c r="F638" s="51"/>
      <c r="G638" s="51"/>
      <c r="H638" s="51"/>
      <c r="I638" s="54"/>
      <c r="J638" s="54"/>
      <c r="K638" s="53"/>
      <c r="L638" s="52"/>
      <c r="M638" s="55"/>
      <c r="N638" s="52"/>
      <c r="O638" s="53"/>
      <c r="P638" s="54"/>
      <c r="Q638" s="54"/>
      <c r="R638" s="54"/>
      <c r="S638" s="54"/>
      <c r="T638" s="54"/>
      <c r="U638" s="82"/>
    </row>
    <row r="639" spans="2:21" x14ac:dyDescent="0.2">
      <c r="B639" s="51"/>
      <c r="C639" s="51"/>
      <c r="D639" s="51"/>
      <c r="E639" s="51"/>
      <c r="F639" s="51"/>
      <c r="G639" s="51"/>
      <c r="H639" s="51"/>
      <c r="I639" s="54"/>
      <c r="J639" s="54"/>
      <c r="K639" s="53"/>
      <c r="L639" s="52"/>
      <c r="M639" s="55"/>
      <c r="N639" s="52"/>
      <c r="O639" s="53"/>
      <c r="P639" s="54"/>
      <c r="Q639" s="54"/>
      <c r="R639" s="54"/>
      <c r="S639" s="54"/>
      <c r="T639" s="54"/>
      <c r="U639" s="82"/>
    </row>
    <row r="640" spans="2:21" x14ac:dyDescent="0.2">
      <c r="B640" s="51"/>
      <c r="C640" s="51"/>
      <c r="D640" s="51"/>
      <c r="E640" s="51"/>
      <c r="F640" s="51"/>
      <c r="G640" s="51"/>
      <c r="H640" s="51"/>
      <c r="I640" s="54"/>
      <c r="J640" s="54"/>
      <c r="K640" s="53"/>
      <c r="L640" s="52"/>
      <c r="M640" s="55"/>
      <c r="N640" s="52"/>
      <c r="O640" s="53"/>
      <c r="P640" s="54"/>
      <c r="Q640" s="54"/>
      <c r="R640" s="54"/>
      <c r="S640" s="54"/>
      <c r="T640" s="54"/>
      <c r="U640" s="82"/>
    </row>
    <row r="641" spans="2:21" x14ac:dyDescent="0.2">
      <c r="B641" s="51"/>
      <c r="C641" s="51"/>
      <c r="D641" s="51"/>
      <c r="E641" s="51"/>
      <c r="F641" s="51"/>
      <c r="G641" s="51"/>
      <c r="H641" s="51"/>
      <c r="I641" s="54"/>
      <c r="J641" s="54"/>
      <c r="K641" s="53"/>
      <c r="L641" s="52"/>
      <c r="M641" s="55"/>
      <c r="N641" s="52"/>
      <c r="O641" s="53"/>
      <c r="P641" s="54"/>
      <c r="Q641" s="54"/>
      <c r="R641" s="54"/>
      <c r="S641" s="54"/>
      <c r="T641" s="54"/>
      <c r="U641" s="82"/>
    </row>
    <row r="642" spans="2:21" x14ac:dyDescent="0.2">
      <c r="B642" s="51"/>
      <c r="C642" s="51"/>
      <c r="D642" s="51"/>
      <c r="E642" s="51"/>
      <c r="F642" s="51"/>
      <c r="G642" s="51"/>
      <c r="H642" s="51"/>
      <c r="I642" s="54"/>
      <c r="J642" s="54"/>
      <c r="K642" s="53"/>
      <c r="L642" s="52"/>
      <c r="M642" s="55"/>
      <c r="N642" s="52"/>
      <c r="O642" s="53"/>
      <c r="P642" s="54"/>
      <c r="Q642" s="54"/>
      <c r="R642" s="54"/>
      <c r="S642" s="54"/>
      <c r="T642" s="54"/>
      <c r="U642" s="82"/>
    </row>
    <row r="643" spans="2:21" x14ac:dyDescent="0.2">
      <c r="B643" s="51"/>
      <c r="C643" s="51"/>
      <c r="D643" s="51"/>
      <c r="E643" s="51"/>
      <c r="F643" s="51"/>
      <c r="G643" s="51"/>
      <c r="H643" s="51"/>
      <c r="I643" s="54"/>
      <c r="J643" s="54"/>
      <c r="K643" s="53"/>
      <c r="L643" s="52"/>
      <c r="M643" s="55"/>
      <c r="N643" s="52"/>
      <c r="O643" s="53"/>
      <c r="P643" s="54"/>
      <c r="Q643" s="54"/>
      <c r="R643" s="54"/>
      <c r="S643" s="54"/>
      <c r="T643" s="54"/>
      <c r="U643" s="82"/>
    </row>
    <row r="644" spans="2:21" x14ac:dyDescent="0.2">
      <c r="B644" s="51"/>
      <c r="C644" s="51"/>
      <c r="D644" s="51"/>
      <c r="E644" s="51"/>
      <c r="F644" s="51"/>
      <c r="G644" s="51"/>
      <c r="H644" s="51"/>
      <c r="I644" s="54"/>
      <c r="J644" s="54"/>
      <c r="K644" s="53"/>
      <c r="L644" s="52"/>
      <c r="M644" s="55"/>
      <c r="N644" s="52"/>
      <c r="O644" s="53"/>
      <c r="P644" s="54"/>
      <c r="Q644" s="54"/>
      <c r="R644" s="54"/>
      <c r="S644" s="54"/>
      <c r="T644" s="54"/>
      <c r="U644" s="82"/>
    </row>
    <row r="645" spans="2:21" x14ac:dyDescent="0.2">
      <c r="B645" s="51"/>
      <c r="C645" s="51"/>
      <c r="D645" s="51"/>
      <c r="E645" s="51"/>
      <c r="F645" s="51"/>
      <c r="G645" s="51"/>
      <c r="H645" s="51"/>
      <c r="I645" s="54"/>
      <c r="J645" s="54"/>
      <c r="K645" s="53"/>
      <c r="L645" s="52"/>
      <c r="M645" s="55"/>
      <c r="N645" s="52"/>
      <c r="O645" s="53"/>
      <c r="P645" s="54"/>
      <c r="Q645" s="54"/>
      <c r="R645" s="54"/>
      <c r="S645" s="54"/>
      <c r="T645" s="54"/>
      <c r="U645" s="82"/>
    </row>
    <row r="646" spans="2:21" x14ac:dyDescent="0.2">
      <c r="B646" s="51"/>
      <c r="C646" s="51"/>
      <c r="D646" s="51"/>
      <c r="E646" s="51"/>
      <c r="F646" s="51"/>
      <c r="G646" s="51"/>
      <c r="H646" s="51"/>
      <c r="I646" s="54"/>
      <c r="J646" s="54"/>
      <c r="K646" s="53"/>
      <c r="L646" s="52"/>
      <c r="M646" s="55"/>
      <c r="N646" s="52"/>
      <c r="O646" s="53"/>
      <c r="P646" s="54"/>
      <c r="Q646" s="54"/>
      <c r="R646" s="54"/>
      <c r="S646" s="54"/>
      <c r="T646" s="54"/>
      <c r="U646" s="82"/>
    </row>
    <row r="647" spans="2:21" x14ac:dyDescent="0.2">
      <c r="B647" s="51"/>
      <c r="C647" s="51"/>
      <c r="D647" s="51"/>
      <c r="E647" s="51"/>
      <c r="F647" s="51"/>
      <c r="G647" s="51"/>
      <c r="H647" s="51"/>
      <c r="I647" s="54"/>
      <c r="J647" s="54"/>
      <c r="K647" s="53"/>
      <c r="L647" s="52"/>
      <c r="M647" s="55"/>
      <c r="N647" s="52"/>
      <c r="O647" s="53"/>
      <c r="P647" s="54"/>
      <c r="Q647" s="54"/>
      <c r="R647" s="54"/>
      <c r="S647" s="54"/>
      <c r="T647" s="54"/>
      <c r="U647" s="82"/>
    </row>
    <row r="648" spans="2:21" x14ac:dyDescent="0.2">
      <c r="B648" s="51"/>
      <c r="C648" s="51"/>
      <c r="D648" s="51"/>
      <c r="E648" s="51"/>
      <c r="F648" s="51"/>
      <c r="G648" s="51"/>
      <c r="H648" s="51"/>
      <c r="I648" s="54"/>
      <c r="J648" s="54"/>
      <c r="K648" s="53"/>
      <c r="L648" s="52"/>
      <c r="M648" s="55"/>
      <c r="N648" s="52"/>
      <c r="O648" s="53"/>
      <c r="P648" s="54"/>
      <c r="Q648" s="54"/>
      <c r="R648" s="54"/>
      <c r="S648" s="54"/>
      <c r="T648" s="54"/>
      <c r="U648" s="82"/>
    </row>
    <row r="649" spans="2:21" x14ac:dyDescent="0.2">
      <c r="B649" s="51"/>
      <c r="C649" s="51"/>
      <c r="D649" s="51"/>
      <c r="E649" s="51"/>
      <c r="F649" s="51"/>
      <c r="G649" s="51"/>
      <c r="H649" s="51"/>
      <c r="I649" s="54"/>
      <c r="J649" s="54"/>
      <c r="K649" s="53"/>
      <c r="L649" s="52"/>
      <c r="M649" s="55"/>
      <c r="N649" s="52"/>
      <c r="O649" s="53"/>
      <c r="P649" s="54"/>
      <c r="Q649" s="54"/>
      <c r="R649" s="54"/>
      <c r="S649" s="54"/>
      <c r="T649" s="54"/>
      <c r="U649" s="82"/>
    </row>
    <row r="650" spans="2:21" x14ac:dyDescent="0.2">
      <c r="B650" s="51"/>
      <c r="C650" s="51"/>
      <c r="D650" s="51"/>
      <c r="E650" s="51"/>
      <c r="F650" s="51"/>
      <c r="G650" s="51"/>
      <c r="H650" s="51"/>
      <c r="I650" s="54"/>
      <c r="J650" s="54"/>
      <c r="K650" s="53"/>
      <c r="L650" s="52"/>
      <c r="M650" s="55"/>
      <c r="N650" s="52"/>
      <c r="O650" s="53"/>
      <c r="P650" s="54"/>
      <c r="Q650" s="54"/>
      <c r="R650" s="54"/>
      <c r="S650" s="54"/>
      <c r="T650" s="54"/>
      <c r="U650" s="82"/>
    </row>
    <row r="651" spans="2:21" x14ac:dyDescent="0.2">
      <c r="B651" s="51"/>
      <c r="C651" s="51"/>
      <c r="D651" s="51"/>
      <c r="E651" s="51"/>
      <c r="F651" s="51"/>
      <c r="G651" s="51"/>
      <c r="H651" s="51"/>
      <c r="I651" s="54"/>
      <c r="J651" s="54"/>
      <c r="K651" s="53"/>
      <c r="L651" s="52"/>
      <c r="M651" s="55"/>
      <c r="N651" s="52"/>
      <c r="O651" s="53"/>
      <c r="P651" s="54"/>
      <c r="Q651" s="54"/>
      <c r="R651" s="54"/>
      <c r="S651" s="54"/>
      <c r="T651" s="54"/>
      <c r="U651" s="82"/>
    </row>
    <row r="652" spans="2:21" x14ac:dyDescent="0.2">
      <c r="B652" s="51"/>
      <c r="C652" s="51"/>
      <c r="D652" s="51"/>
      <c r="E652" s="51"/>
      <c r="F652" s="51"/>
      <c r="G652" s="51"/>
      <c r="H652" s="51"/>
      <c r="I652" s="54"/>
      <c r="J652" s="54"/>
      <c r="K652" s="53"/>
      <c r="L652" s="52"/>
      <c r="M652" s="55"/>
      <c r="N652" s="52"/>
      <c r="O652" s="53"/>
      <c r="P652" s="54"/>
      <c r="Q652" s="54"/>
      <c r="R652" s="54"/>
      <c r="S652" s="54"/>
      <c r="T652" s="54"/>
      <c r="U652" s="82"/>
    </row>
    <row r="653" spans="2:21" x14ac:dyDescent="0.2">
      <c r="B653" s="51"/>
      <c r="C653" s="51"/>
      <c r="D653" s="51"/>
      <c r="E653" s="51"/>
      <c r="F653" s="51"/>
      <c r="G653" s="51"/>
      <c r="H653" s="51"/>
      <c r="I653" s="54"/>
      <c r="J653" s="54"/>
      <c r="K653" s="53"/>
      <c r="L653" s="52"/>
      <c r="M653" s="55"/>
      <c r="N653" s="52"/>
      <c r="O653" s="53"/>
      <c r="P653" s="54"/>
      <c r="Q653" s="54"/>
      <c r="R653" s="54"/>
      <c r="S653" s="54"/>
      <c r="T653" s="54"/>
      <c r="U653" s="82"/>
    </row>
    <row r="654" spans="2:21" x14ac:dyDescent="0.2">
      <c r="B654" s="51"/>
      <c r="C654" s="51"/>
      <c r="D654" s="51"/>
      <c r="E654" s="51"/>
      <c r="F654" s="51"/>
      <c r="G654" s="51"/>
      <c r="H654" s="51"/>
      <c r="I654" s="54"/>
      <c r="J654" s="54"/>
      <c r="K654" s="53"/>
      <c r="L654" s="52"/>
      <c r="M654" s="55"/>
      <c r="N654" s="52"/>
      <c r="O654" s="53"/>
      <c r="P654" s="54"/>
      <c r="Q654" s="54"/>
      <c r="R654" s="54"/>
      <c r="S654" s="54"/>
      <c r="T654" s="54"/>
      <c r="U654" s="82"/>
    </row>
    <row r="655" spans="2:21" x14ac:dyDescent="0.2">
      <c r="B655" s="51"/>
      <c r="C655" s="51"/>
      <c r="D655" s="51"/>
      <c r="E655" s="51"/>
      <c r="F655" s="51"/>
      <c r="G655" s="51"/>
      <c r="H655" s="51"/>
      <c r="I655" s="54"/>
      <c r="J655" s="54"/>
      <c r="K655" s="53"/>
      <c r="L655" s="52"/>
      <c r="M655" s="55"/>
      <c r="N655" s="52"/>
      <c r="O655" s="53"/>
      <c r="P655" s="54"/>
      <c r="Q655" s="54"/>
      <c r="R655" s="54"/>
      <c r="S655" s="54"/>
      <c r="T655" s="54"/>
      <c r="U655" s="82"/>
    </row>
    <row r="656" spans="2:21" x14ac:dyDescent="0.2">
      <c r="B656" s="51"/>
      <c r="C656" s="51"/>
      <c r="D656" s="51"/>
      <c r="E656" s="51"/>
      <c r="F656" s="51"/>
      <c r="G656" s="51"/>
      <c r="H656" s="51"/>
      <c r="I656" s="54"/>
      <c r="J656" s="54"/>
      <c r="K656" s="53"/>
      <c r="L656" s="52"/>
      <c r="M656" s="55"/>
      <c r="N656" s="52"/>
      <c r="O656" s="53"/>
      <c r="P656" s="54"/>
      <c r="Q656" s="54"/>
      <c r="R656" s="54"/>
      <c r="S656" s="54"/>
      <c r="T656" s="54"/>
      <c r="U656" s="82"/>
    </row>
    <row r="657" spans="2:21" x14ac:dyDescent="0.2">
      <c r="B657" s="51"/>
      <c r="C657" s="51"/>
      <c r="D657" s="51"/>
      <c r="E657" s="51"/>
      <c r="F657" s="51"/>
      <c r="G657" s="51"/>
      <c r="H657" s="51"/>
      <c r="I657" s="54"/>
      <c r="J657" s="54"/>
      <c r="K657" s="53"/>
      <c r="L657" s="52"/>
      <c r="M657" s="55"/>
      <c r="N657" s="52"/>
      <c r="O657" s="53"/>
      <c r="P657" s="54"/>
      <c r="Q657" s="54"/>
      <c r="R657" s="54"/>
      <c r="S657" s="54"/>
      <c r="T657" s="54"/>
      <c r="U657" s="82"/>
    </row>
    <row r="658" spans="2:21" x14ac:dyDescent="0.2">
      <c r="B658" s="51"/>
      <c r="C658" s="51"/>
      <c r="D658" s="51"/>
      <c r="E658" s="51"/>
      <c r="F658" s="51"/>
      <c r="G658" s="51"/>
      <c r="H658" s="51"/>
      <c r="I658" s="54"/>
      <c r="J658" s="54"/>
      <c r="K658" s="53"/>
      <c r="L658" s="52"/>
      <c r="M658" s="55"/>
      <c r="N658" s="52"/>
      <c r="O658" s="53"/>
      <c r="P658" s="54"/>
      <c r="Q658" s="54"/>
      <c r="R658" s="54"/>
      <c r="S658" s="54"/>
      <c r="T658" s="54"/>
      <c r="U658" s="82"/>
    </row>
    <row r="659" spans="2:21" x14ac:dyDescent="0.2">
      <c r="B659" s="51"/>
      <c r="C659" s="51"/>
      <c r="D659" s="51"/>
      <c r="E659" s="51"/>
      <c r="F659" s="51"/>
      <c r="G659" s="51"/>
      <c r="H659" s="51"/>
      <c r="I659" s="54"/>
      <c r="J659" s="54"/>
      <c r="K659" s="53"/>
      <c r="L659" s="52"/>
      <c r="M659" s="55"/>
      <c r="N659" s="52"/>
      <c r="O659" s="53"/>
      <c r="P659" s="54"/>
      <c r="Q659" s="54"/>
      <c r="R659" s="54"/>
      <c r="S659" s="54"/>
      <c r="T659" s="54"/>
      <c r="U659" s="82"/>
    </row>
    <row r="660" spans="2:21" x14ac:dyDescent="0.2">
      <c r="B660" s="51"/>
      <c r="C660" s="51"/>
      <c r="D660" s="51"/>
      <c r="E660" s="51"/>
      <c r="F660" s="51"/>
      <c r="G660" s="51"/>
      <c r="H660" s="51"/>
      <c r="I660" s="54"/>
      <c r="J660" s="54"/>
      <c r="K660" s="53"/>
      <c r="L660" s="52"/>
      <c r="M660" s="55"/>
      <c r="N660" s="52"/>
      <c r="O660" s="53"/>
      <c r="P660" s="54"/>
      <c r="Q660" s="54"/>
      <c r="R660" s="54"/>
      <c r="S660" s="54"/>
      <c r="T660" s="54"/>
      <c r="U660" s="82"/>
    </row>
    <row r="661" spans="2:21" x14ac:dyDescent="0.2">
      <c r="B661" s="51"/>
      <c r="C661" s="51"/>
      <c r="D661" s="51"/>
      <c r="E661" s="51"/>
      <c r="F661" s="51"/>
      <c r="G661" s="51"/>
      <c r="H661" s="51"/>
      <c r="I661" s="54"/>
      <c r="J661" s="54"/>
      <c r="K661" s="53"/>
      <c r="L661" s="52"/>
      <c r="M661" s="55"/>
      <c r="N661" s="52"/>
      <c r="O661" s="53"/>
      <c r="P661" s="54"/>
      <c r="Q661" s="54"/>
      <c r="R661" s="54"/>
      <c r="S661" s="54"/>
      <c r="T661" s="54"/>
      <c r="U661" s="82"/>
    </row>
    <row r="662" spans="2:21" x14ac:dyDescent="0.2">
      <c r="B662" s="51"/>
      <c r="C662" s="51"/>
      <c r="D662" s="51"/>
      <c r="E662" s="51"/>
      <c r="F662" s="51"/>
      <c r="G662" s="51"/>
      <c r="H662" s="51"/>
      <c r="I662" s="54"/>
      <c r="J662" s="54"/>
      <c r="K662" s="53"/>
      <c r="L662" s="52"/>
      <c r="M662" s="55"/>
      <c r="N662" s="52"/>
      <c r="O662" s="53"/>
      <c r="P662" s="54"/>
      <c r="Q662" s="54"/>
      <c r="R662" s="54"/>
      <c r="S662" s="54"/>
      <c r="T662" s="54"/>
      <c r="U662" s="82"/>
    </row>
    <row r="663" spans="2:21" x14ac:dyDescent="0.2">
      <c r="B663" s="51"/>
      <c r="C663" s="51"/>
      <c r="D663" s="51"/>
      <c r="E663" s="51"/>
      <c r="F663" s="51"/>
      <c r="G663" s="51"/>
      <c r="H663" s="51"/>
      <c r="I663" s="54"/>
      <c r="J663" s="54"/>
      <c r="K663" s="53"/>
      <c r="L663" s="52"/>
      <c r="M663" s="55"/>
      <c r="N663" s="52"/>
      <c r="O663" s="53"/>
      <c r="P663" s="54"/>
      <c r="Q663" s="54"/>
      <c r="R663" s="54"/>
      <c r="S663" s="54"/>
      <c r="T663" s="54"/>
      <c r="U663" s="82"/>
    </row>
    <row r="664" spans="2:21" x14ac:dyDescent="0.2">
      <c r="B664" s="51"/>
      <c r="C664" s="51"/>
      <c r="D664" s="51"/>
      <c r="E664" s="51"/>
      <c r="F664" s="51"/>
      <c r="G664" s="51"/>
      <c r="H664" s="51"/>
      <c r="I664" s="54"/>
      <c r="J664" s="54"/>
      <c r="K664" s="53"/>
      <c r="L664" s="52"/>
      <c r="M664" s="55"/>
      <c r="N664" s="52"/>
      <c r="O664" s="53"/>
      <c r="P664" s="54"/>
      <c r="Q664" s="54"/>
      <c r="R664" s="54"/>
      <c r="S664" s="54"/>
      <c r="T664" s="54"/>
      <c r="U664" s="82"/>
    </row>
    <row r="665" spans="2:21" x14ac:dyDescent="0.2">
      <c r="B665" s="51"/>
      <c r="C665" s="51"/>
      <c r="D665" s="51"/>
      <c r="E665" s="51"/>
      <c r="F665" s="51"/>
      <c r="G665" s="51"/>
      <c r="H665" s="51"/>
      <c r="I665" s="54"/>
      <c r="J665" s="54"/>
      <c r="K665" s="53"/>
      <c r="L665" s="52"/>
      <c r="M665" s="55"/>
      <c r="N665" s="52"/>
      <c r="O665" s="53"/>
      <c r="P665" s="54"/>
      <c r="Q665" s="54"/>
      <c r="R665" s="54"/>
      <c r="S665" s="54"/>
      <c r="T665" s="54"/>
      <c r="U665" s="82"/>
    </row>
    <row r="666" spans="2:21" x14ac:dyDescent="0.2">
      <c r="B666" s="51"/>
      <c r="C666" s="51"/>
      <c r="D666" s="51"/>
      <c r="E666" s="51"/>
      <c r="F666" s="51"/>
      <c r="G666" s="51"/>
      <c r="H666" s="51"/>
      <c r="I666" s="54"/>
      <c r="J666" s="54"/>
      <c r="K666" s="53"/>
      <c r="L666" s="52"/>
      <c r="M666" s="55"/>
      <c r="N666" s="52"/>
      <c r="O666" s="53"/>
      <c r="P666" s="54"/>
      <c r="Q666" s="54"/>
      <c r="R666" s="54"/>
      <c r="S666" s="54"/>
      <c r="T666" s="54"/>
      <c r="U666" s="82"/>
    </row>
    <row r="667" spans="2:21" x14ac:dyDescent="0.2">
      <c r="B667" s="51"/>
      <c r="C667" s="51"/>
      <c r="D667" s="51"/>
      <c r="E667" s="51"/>
      <c r="F667" s="51"/>
      <c r="G667" s="51"/>
      <c r="H667" s="51"/>
      <c r="I667" s="54"/>
      <c r="J667" s="54"/>
      <c r="K667" s="53"/>
      <c r="L667" s="52"/>
      <c r="M667" s="55"/>
      <c r="N667" s="52"/>
      <c r="O667" s="53"/>
      <c r="P667" s="54"/>
      <c r="Q667" s="54"/>
      <c r="R667" s="54"/>
      <c r="S667" s="54"/>
      <c r="T667" s="54"/>
      <c r="U667" s="82"/>
    </row>
    <row r="668" spans="2:21" x14ac:dyDescent="0.2">
      <c r="B668" s="51"/>
      <c r="C668" s="51"/>
      <c r="D668" s="51"/>
      <c r="E668" s="51"/>
      <c r="F668" s="51"/>
      <c r="G668" s="51"/>
      <c r="H668" s="51"/>
      <c r="I668" s="54"/>
      <c r="J668" s="54"/>
      <c r="K668" s="53"/>
      <c r="L668" s="52"/>
      <c r="M668" s="55"/>
      <c r="N668" s="52"/>
      <c r="O668" s="53"/>
      <c r="P668" s="54"/>
      <c r="Q668" s="54"/>
      <c r="R668" s="54"/>
      <c r="S668" s="54"/>
      <c r="T668" s="54"/>
      <c r="U668" s="82"/>
    </row>
    <row r="669" spans="2:21" x14ac:dyDescent="0.2">
      <c r="B669" s="51"/>
      <c r="C669" s="51"/>
      <c r="D669" s="51"/>
      <c r="E669" s="51"/>
      <c r="F669" s="51"/>
      <c r="G669" s="51"/>
      <c r="H669" s="51"/>
      <c r="I669" s="54"/>
      <c r="J669" s="54"/>
      <c r="K669" s="53"/>
      <c r="L669" s="52"/>
      <c r="M669" s="55"/>
      <c r="N669" s="52"/>
      <c r="O669" s="53"/>
      <c r="P669" s="54"/>
      <c r="Q669" s="54"/>
      <c r="R669" s="54"/>
      <c r="S669" s="54"/>
      <c r="T669" s="54"/>
      <c r="U669" s="82"/>
    </row>
    <row r="670" spans="2:21" x14ac:dyDescent="0.2">
      <c r="B670" s="51"/>
      <c r="C670" s="51"/>
      <c r="D670" s="51"/>
      <c r="E670" s="51"/>
      <c r="F670" s="51"/>
      <c r="G670" s="51"/>
      <c r="H670" s="51"/>
      <c r="I670" s="54"/>
      <c r="J670" s="54"/>
      <c r="K670" s="53"/>
      <c r="L670" s="52"/>
      <c r="M670" s="55"/>
      <c r="N670" s="52"/>
      <c r="O670" s="53"/>
      <c r="P670" s="54"/>
      <c r="Q670" s="54"/>
      <c r="R670" s="54"/>
      <c r="S670" s="54"/>
      <c r="T670" s="54"/>
      <c r="U670" s="82"/>
    </row>
    <row r="671" spans="2:21" x14ac:dyDescent="0.2">
      <c r="B671" s="51"/>
      <c r="C671" s="51"/>
      <c r="D671" s="51"/>
      <c r="E671" s="51"/>
      <c r="F671" s="51"/>
      <c r="G671" s="51"/>
      <c r="H671" s="51"/>
      <c r="I671" s="54"/>
      <c r="J671" s="54"/>
      <c r="K671" s="53"/>
      <c r="L671" s="52"/>
      <c r="M671" s="55"/>
      <c r="N671" s="52"/>
      <c r="O671" s="53"/>
      <c r="P671" s="54"/>
      <c r="Q671" s="54"/>
      <c r="R671" s="54"/>
      <c r="S671" s="54"/>
      <c r="T671" s="54"/>
      <c r="U671" s="82"/>
    </row>
    <row r="672" spans="2:21" x14ac:dyDescent="0.2">
      <c r="B672" s="51"/>
      <c r="C672" s="51"/>
      <c r="D672" s="51"/>
      <c r="E672" s="51"/>
      <c r="F672" s="51"/>
      <c r="G672" s="51"/>
      <c r="H672" s="51"/>
      <c r="I672" s="54"/>
      <c r="J672" s="54"/>
      <c r="K672" s="53"/>
      <c r="L672" s="52"/>
      <c r="M672" s="55"/>
      <c r="N672" s="52"/>
      <c r="O672" s="53"/>
      <c r="P672" s="54"/>
      <c r="Q672" s="54"/>
      <c r="R672" s="54"/>
      <c r="S672" s="54"/>
      <c r="T672" s="54"/>
      <c r="U672" s="82"/>
    </row>
    <row r="673" spans="2:21" x14ac:dyDescent="0.2">
      <c r="B673" s="51"/>
      <c r="C673" s="51"/>
      <c r="D673" s="51"/>
      <c r="E673" s="51"/>
      <c r="F673" s="51"/>
      <c r="G673" s="51"/>
      <c r="H673" s="51"/>
      <c r="I673" s="54"/>
      <c r="J673" s="54"/>
      <c r="K673" s="53"/>
      <c r="L673" s="52"/>
      <c r="M673" s="55"/>
      <c r="N673" s="52"/>
      <c r="O673" s="53"/>
      <c r="P673" s="54"/>
      <c r="Q673" s="54"/>
      <c r="R673" s="54"/>
      <c r="S673" s="54"/>
      <c r="T673" s="54"/>
      <c r="U673" s="82"/>
    </row>
    <row r="674" spans="2:21" x14ac:dyDescent="0.2">
      <c r="B674" s="51"/>
      <c r="C674" s="51"/>
      <c r="D674" s="51"/>
      <c r="E674" s="51"/>
      <c r="F674" s="51"/>
      <c r="G674" s="51"/>
      <c r="H674" s="51"/>
      <c r="I674" s="54"/>
      <c r="J674" s="54"/>
      <c r="K674" s="53"/>
      <c r="L674" s="52"/>
      <c r="M674" s="55"/>
      <c r="N674" s="52"/>
      <c r="O674" s="53"/>
      <c r="P674" s="54"/>
      <c r="Q674" s="54"/>
      <c r="R674" s="54"/>
      <c r="S674" s="54"/>
      <c r="T674" s="54"/>
      <c r="U674" s="82"/>
    </row>
    <row r="675" spans="2:21" x14ac:dyDescent="0.2">
      <c r="B675" s="51"/>
      <c r="C675" s="51"/>
      <c r="D675" s="51"/>
      <c r="E675" s="51"/>
      <c r="F675" s="51"/>
      <c r="G675" s="51"/>
      <c r="H675" s="51"/>
      <c r="I675" s="54"/>
      <c r="J675" s="54"/>
      <c r="K675" s="53"/>
      <c r="L675" s="52"/>
      <c r="M675" s="55"/>
      <c r="N675" s="52"/>
      <c r="O675" s="53"/>
      <c r="P675" s="54"/>
      <c r="Q675" s="54"/>
      <c r="R675" s="54"/>
      <c r="S675" s="54"/>
      <c r="T675" s="54"/>
      <c r="U675" s="82"/>
    </row>
    <row r="676" spans="2:21" x14ac:dyDescent="0.2">
      <c r="B676" s="51"/>
      <c r="C676" s="51"/>
      <c r="D676" s="51"/>
      <c r="E676" s="51"/>
      <c r="F676" s="51"/>
      <c r="G676" s="51"/>
      <c r="H676" s="51"/>
      <c r="I676" s="54"/>
      <c r="J676" s="54"/>
      <c r="K676" s="53"/>
      <c r="L676" s="52"/>
      <c r="M676" s="55"/>
      <c r="N676" s="52"/>
      <c r="O676" s="53"/>
      <c r="P676" s="54"/>
      <c r="Q676" s="54"/>
      <c r="R676" s="54"/>
      <c r="S676" s="54"/>
      <c r="T676" s="54"/>
      <c r="U676" s="82"/>
    </row>
    <row r="677" spans="2:21" x14ac:dyDescent="0.2">
      <c r="B677" s="51"/>
      <c r="C677" s="51"/>
      <c r="D677" s="51"/>
      <c r="E677" s="51"/>
      <c r="F677" s="51"/>
      <c r="G677" s="51"/>
      <c r="H677" s="51"/>
      <c r="I677" s="54"/>
      <c r="J677" s="54"/>
      <c r="K677" s="53"/>
      <c r="L677" s="52"/>
      <c r="M677" s="55"/>
      <c r="N677" s="52"/>
      <c r="O677" s="53"/>
      <c r="P677" s="54"/>
      <c r="Q677" s="54"/>
      <c r="R677" s="54"/>
      <c r="S677" s="54"/>
      <c r="T677" s="54"/>
      <c r="U677" s="82"/>
    </row>
    <row r="678" spans="2:21" x14ac:dyDescent="0.2">
      <c r="B678" s="51"/>
      <c r="C678" s="51"/>
      <c r="D678" s="51"/>
      <c r="E678" s="51"/>
      <c r="F678" s="51"/>
      <c r="G678" s="51"/>
      <c r="H678" s="51"/>
      <c r="I678" s="54"/>
      <c r="J678" s="54"/>
      <c r="K678" s="53"/>
      <c r="L678" s="52"/>
      <c r="M678" s="55"/>
      <c r="N678" s="52"/>
      <c r="O678" s="53"/>
      <c r="P678" s="54"/>
      <c r="Q678" s="54"/>
      <c r="R678" s="54"/>
      <c r="S678" s="54"/>
      <c r="T678" s="54"/>
      <c r="U678" s="82"/>
    </row>
    <row r="679" spans="2:21" x14ac:dyDescent="0.2">
      <c r="B679" s="51"/>
      <c r="C679" s="51"/>
      <c r="D679" s="51"/>
      <c r="E679" s="51"/>
      <c r="F679" s="51"/>
      <c r="G679" s="51"/>
      <c r="H679" s="51"/>
      <c r="I679" s="54"/>
      <c r="J679" s="54"/>
      <c r="K679" s="53"/>
      <c r="L679" s="52"/>
      <c r="M679" s="55"/>
      <c r="N679" s="52"/>
      <c r="O679" s="53"/>
      <c r="P679" s="54"/>
      <c r="Q679" s="54"/>
      <c r="R679" s="54"/>
      <c r="S679" s="54"/>
      <c r="T679" s="54"/>
      <c r="U679" s="82"/>
    </row>
    <row r="680" spans="2:21" x14ac:dyDescent="0.2">
      <c r="B680" s="51"/>
      <c r="C680" s="51"/>
      <c r="D680" s="51"/>
      <c r="E680" s="51"/>
      <c r="F680" s="51"/>
      <c r="G680" s="51"/>
      <c r="H680" s="51"/>
      <c r="I680" s="54"/>
      <c r="J680" s="54"/>
      <c r="K680" s="53"/>
      <c r="L680" s="52"/>
      <c r="M680" s="55"/>
      <c r="N680" s="52"/>
      <c r="O680" s="53"/>
      <c r="P680" s="54"/>
      <c r="Q680" s="54"/>
      <c r="R680" s="54"/>
      <c r="S680" s="54"/>
      <c r="T680" s="54"/>
      <c r="U680" s="82"/>
    </row>
    <row r="681" spans="2:21" x14ac:dyDescent="0.2">
      <c r="B681" s="51"/>
      <c r="C681" s="51"/>
      <c r="D681" s="51"/>
      <c r="E681" s="51"/>
      <c r="F681" s="51"/>
      <c r="G681" s="51"/>
      <c r="H681" s="51"/>
      <c r="I681" s="54"/>
      <c r="J681" s="54"/>
      <c r="K681" s="53"/>
      <c r="L681" s="52"/>
      <c r="M681" s="55"/>
      <c r="N681" s="52"/>
      <c r="O681" s="53"/>
      <c r="P681" s="54"/>
      <c r="Q681" s="54"/>
      <c r="R681" s="54"/>
      <c r="S681" s="54"/>
      <c r="T681" s="54"/>
      <c r="U681" s="82"/>
    </row>
    <row r="682" spans="2:21" x14ac:dyDescent="0.2">
      <c r="B682" s="51"/>
      <c r="C682" s="51"/>
      <c r="D682" s="51"/>
      <c r="E682" s="51"/>
      <c r="F682" s="51"/>
      <c r="G682" s="51"/>
      <c r="H682" s="51"/>
      <c r="I682" s="54"/>
      <c r="J682" s="54"/>
      <c r="K682" s="53"/>
      <c r="L682" s="52"/>
      <c r="M682" s="55"/>
      <c r="N682" s="52"/>
      <c r="O682" s="53"/>
      <c r="P682" s="54"/>
      <c r="Q682" s="54"/>
      <c r="R682" s="54"/>
      <c r="S682" s="54"/>
      <c r="T682" s="54"/>
      <c r="U682" s="82"/>
    </row>
    <row r="683" spans="2:21" x14ac:dyDescent="0.2">
      <c r="B683" s="51"/>
      <c r="C683" s="51"/>
      <c r="D683" s="51"/>
      <c r="E683" s="51"/>
      <c r="F683" s="51"/>
      <c r="G683" s="51"/>
      <c r="H683" s="51"/>
      <c r="I683" s="54"/>
      <c r="J683" s="54"/>
      <c r="K683" s="53"/>
      <c r="L683" s="52"/>
      <c r="M683" s="55"/>
      <c r="N683" s="52"/>
      <c r="O683" s="53"/>
      <c r="P683" s="54"/>
      <c r="Q683" s="54"/>
      <c r="R683" s="54"/>
      <c r="S683" s="54"/>
      <c r="T683" s="54"/>
      <c r="U683" s="82"/>
    </row>
    <row r="684" spans="2:21" x14ac:dyDescent="0.2">
      <c r="B684" s="51"/>
      <c r="C684" s="51"/>
      <c r="D684" s="51"/>
      <c r="E684" s="51"/>
      <c r="F684" s="51"/>
      <c r="G684" s="51"/>
      <c r="H684" s="51"/>
      <c r="I684" s="54"/>
      <c r="J684" s="54"/>
      <c r="K684" s="53"/>
      <c r="L684" s="52"/>
      <c r="M684" s="55"/>
      <c r="N684" s="52"/>
      <c r="O684" s="53"/>
      <c r="P684" s="54"/>
      <c r="Q684" s="54"/>
      <c r="R684" s="54"/>
      <c r="S684" s="54"/>
      <c r="T684" s="54"/>
      <c r="U684" s="82"/>
    </row>
    <row r="685" spans="2:21" x14ac:dyDescent="0.2">
      <c r="B685" s="51"/>
      <c r="C685" s="51"/>
      <c r="D685" s="51"/>
      <c r="E685" s="51"/>
      <c r="F685" s="51"/>
      <c r="G685" s="51"/>
      <c r="H685" s="51"/>
      <c r="I685" s="54"/>
      <c r="J685" s="54"/>
      <c r="K685" s="53"/>
      <c r="L685" s="52"/>
      <c r="M685" s="55"/>
      <c r="N685" s="52"/>
      <c r="O685" s="53"/>
      <c r="P685" s="54"/>
      <c r="Q685" s="54"/>
      <c r="R685" s="54"/>
      <c r="S685" s="54"/>
      <c r="T685" s="54"/>
      <c r="U685" s="82"/>
    </row>
    <row r="686" spans="2:21" x14ac:dyDescent="0.2">
      <c r="B686" s="51"/>
      <c r="C686" s="51"/>
      <c r="D686" s="51"/>
      <c r="E686" s="51"/>
      <c r="F686" s="51"/>
      <c r="G686" s="51"/>
      <c r="H686" s="51"/>
      <c r="I686" s="54"/>
      <c r="J686" s="54"/>
      <c r="K686" s="53"/>
      <c r="L686" s="52"/>
      <c r="M686" s="55"/>
      <c r="N686" s="52"/>
      <c r="O686" s="53"/>
      <c r="P686" s="54"/>
      <c r="Q686" s="54"/>
      <c r="R686" s="54"/>
      <c r="S686" s="54"/>
      <c r="T686" s="54"/>
      <c r="U686" s="82"/>
    </row>
    <row r="687" spans="2:21" x14ac:dyDescent="0.2">
      <c r="B687" s="51"/>
      <c r="C687" s="51"/>
      <c r="D687" s="51"/>
      <c r="E687" s="51"/>
      <c r="F687" s="51"/>
      <c r="G687" s="51"/>
      <c r="H687" s="51"/>
      <c r="I687" s="54"/>
      <c r="J687" s="54"/>
      <c r="K687" s="53"/>
      <c r="L687" s="52"/>
      <c r="M687" s="55"/>
      <c r="N687" s="52"/>
      <c r="O687" s="53"/>
      <c r="P687" s="54"/>
      <c r="Q687" s="54"/>
      <c r="R687" s="54"/>
      <c r="S687" s="54"/>
      <c r="T687" s="54"/>
      <c r="U687" s="82"/>
    </row>
    <row r="688" spans="2:21" x14ac:dyDescent="0.2">
      <c r="B688" s="51"/>
      <c r="C688" s="51"/>
      <c r="D688" s="51"/>
      <c r="E688" s="51"/>
      <c r="F688" s="51"/>
      <c r="G688" s="51"/>
      <c r="H688" s="51"/>
      <c r="I688" s="54"/>
      <c r="J688" s="54"/>
      <c r="K688" s="53"/>
      <c r="L688" s="52"/>
      <c r="M688" s="55"/>
      <c r="N688" s="52"/>
      <c r="O688" s="53"/>
      <c r="P688" s="54"/>
      <c r="Q688" s="54"/>
      <c r="R688" s="54"/>
      <c r="S688" s="54"/>
      <c r="T688" s="54"/>
      <c r="U688" s="82"/>
    </row>
    <row r="689" spans="2:21" x14ac:dyDescent="0.2">
      <c r="B689" s="51"/>
      <c r="C689" s="51"/>
      <c r="D689" s="51"/>
      <c r="E689" s="51"/>
      <c r="F689" s="51"/>
      <c r="G689" s="51"/>
      <c r="H689" s="51"/>
      <c r="I689" s="54"/>
      <c r="J689" s="54"/>
      <c r="K689" s="53"/>
      <c r="L689" s="52"/>
      <c r="M689" s="55"/>
      <c r="N689" s="52"/>
      <c r="O689" s="53"/>
      <c r="P689" s="54"/>
      <c r="Q689" s="54"/>
      <c r="R689" s="54"/>
      <c r="S689" s="54"/>
      <c r="T689" s="54"/>
      <c r="U689" s="82"/>
    </row>
    <row r="690" spans="2:21" x14ac:dyDescent="0.2">
      <c r="B690" s="51"/>
      <c r="C690" s="51"/>
      <c r="D690" s="51"/>
      <c r="E690" s="51"/>
      <c r="F690" s="51"/>
      <c r="G690" s="51"/>
      <c r="H690" s="51"/>
      <c r="I690" s="54"/>
      <c r="J690" s="54"/>
      <c r="K690" s="53"/>
      <c r="L690" s="52"/>
      <c r="M690" s="55"/>
      <c r="N690" s="52"/>
      <c r="O690" s="53"/>
      <c r="P690" s="54"/>
      <c r="Q690" s="54"/>
      <c r="R690" s="54"/>
      <c r="S690" s="54"/>
      <c r="T690" s="54"/>
      <c r="U690" s="82"/>
    </row>
    <row r="691" spans="2:21" x14ac:dyDescent="0.2">
      <c r="B691" s="51"/>
      <c r="C691" s="51"/>
      <c r="D691" s="51"/>
      <c r="E691" s="51"/>
      <c r="F691" s="51"/>
      <c r="G691" s="51"/>
      <c r="H691" s="51"/>
      <c r="I691" s="54"/>
      <c r="J691" s="54"/>
      <c r="K691" s="53"/>
      <c r="L691" s="52"/>
      <c r="M691" s="55"/>
      <c r="N691" s="52"/>
      <c r="O691" s="53"/>
      <c r="P691" s="54"/>
      <c r="Q691" s="54"/>
      <c r="R691" s="54"/>
      <c r="S691" s="54"/>
      <c r="T691" s="54"/>
      <c r="U691" s="82"/>
    </row>
    <row r="692" spans="2:21" x14ac:dyDescent="0.2">
      <c r="B692" s="51"/>
      <c r="C692" s="51"/>
      <c r="D692" s="51"/>
      <c r="E692" s="51"/>
      <c r="F692" s="51"/>
      <c r="G692" s="51"/>
      <c r="H692" s="51"/>
      <c r="I692" s="54"/>
      <c r="J692" s="54"/>
      <c r="K692" s="53"/>
      <c r="L692" s="52"/>
      <c r="M692" s="55"/>
      <c r="N692" s="52"/>
      <c r="O692" s="53"/>
      <c r="P692" s="54"/>
      <c r="Q692" s="54"/>
      <c r="R692" s="54"/>
      <c r="S692" s="54"/>
      <c r="T692" s="54"/>
      <c r="U692" s="82"/>
    </row>
    <row r="693" spans="2:21" x14ac:dyDescent="0.2">
      <c r="B693" s="51"/>
      <c r="C693" s="51"/>
      <c r="D693" s="51"/>
      <c r="E693" s="51"/>
      <c r="F693" s="51"/>
      <c r="G693" s="51"/>
      <c r="H693" s="51"/>
      <c r="I693" s="54"/>
      <c r="J693" s="54"/>
      <c r="K693" s="53"/>
      <c r="L693" s="52"/>
      <c r="M693" s="55"/>
      <c r="N693" s="52"/>
      <c r="O693" s="53"/>
      <c r="P693" s="54"/>
      <c r="Q693" s="54"/>
      <c r="R693" s="54"/>
      <c r="S693" s="54"/>
      <c r="T693" s="54"/>
      <c r="U693" s="82"/>
    </row>
    <row r="694" spans="2:21" x14ac:dyDescent="0.2">
      <c r="B694" s="51"/>
      <c r="C694" s="51"/>
      <c r="D694" s="51"/>
      <c r="E694" s="51"/>
      <c r="F694" s="51"/>
      <c r="G694" s="51"/>
      <c r="H694" s="51"/>
      <c r="I694" s="54"/>
      <c r="J694" s="54"/>
      <c r="K694" s="53"/>
      <c r="L694" s="52"/>
      <c r="M694" s="55"/>
      <c r="N694" s="52"/>
      <c r="O694" s="53"/>
      <c r="P694" s="54"/>
      <c r="Q694" s="54"/>
      <c r="R694" s="54"/>
      <c r="S694" s="54"/>
      <c r="T694" s="54"/>
      <c r="U694" s="82"/>
    </row>
    <row r="695" spans="2:21" x14ac:dyDescent="0.2">
      <c r="B695" s="51"/>
      <c r="C695" s="51"/>
      <c r="D695" s="51"/>
      <c r="E695" s="51"/>
      <c r="F695" s="51"/>
      <c r="G695" s="51"/>
      <c r="H695" s="51"/>
      <c r="I695" s="54"/>
      <c r="J695" s="54"/>
      <c r="K695" s="53"/>
      <c r="L695" s="52"/>
      <c r="M695" s="55"/>
      <c r="N695" s="52"/>
      <c r="O695" s="53"/>
      <c r="P695" s="54"/>
      <c r="Q695" s="54"/>
      <c r="R695" s="54"/>
      <c r="S695" s="54"/>
      <c r="T695" s="54"/>
      <c r="U695" s="82"/>
    </row>
    <row r="696" spans="2:21" x14ac:dyDescent="0.2">
      <c r="B696" s="51"/>
      <c r="C696" s="51"/>
      <c r="D696" s="51"/>
      <c r="E696" s="51"/>
      <c r="F696" s="51"/>
      <c r="G696" s="51"/>
      <c r="H696" s="51"/>
      <c r="I696" s="54"/>
      <c r="J696" s="54"/>
      <c r="K696" s="53"/>
      <c r="L696" s="52"/>
      <c r="M696" s="55"/>
      <c r="N696" s="52"/>
      <c r="O696" s="53"/>
      <c r="P696" s="54"/>
      <c r="Q696" s="54"/>
      <c r="R696" s="54"/>
      <c r="S696" s="54"/>
      <c r="T696" s="54"/>
      <c r="U696" s="82"/>
    </row>
    <row r="697" spans="2:21" x14ac:dyDescent="0.2">
      <c r="B697" s="51"/>
      <c r="C697" s="51"/>
      <c r="D697" s="51"/>
      <c r="E697" s="51"/>
      <c r="F697" s="51"/>
      <c r="G697" s="51"/>
      <c r="H697" s="51"/>
      <c r="I697" s="54"/>
      <c r="J697" s="54"/>
      <c r="K697" s="53"/>
      <c r="L697" s="52"/>
      <c r="M697" s="55"/>
      <c r="N697" s="52"/>
      <c r="O697" s="53"/>
      <c r="P697" s="54"/>
      <c r="Q697" s="54"/>
      <c r="R697" s="54"/>
      <c r="S697" s="54"/>
      <c r="T697" s="54"/>
      <c r="U697" s="82"/>
    </row>
    <row r="698" spans="2:21" x14ac:dyDescent="0.2">
      <c r="B698" s="51"/>
      <c r="C698" s="51"/>
      <c r="D698" s="51"/>
      <c r="E698" s="51"/>
      <c r="F698" s="51"/>
      <c r="G698" s="51"/>
      <c r="H698" s="51"/>
      <c r="I698" s="54"/>
      <c r="J698" s="54"/>
      <c r="K698" s="53"/>
      <c r="L698" s="52"/>
      <c r="M698" s="55"/>
      <c r="N698" s="52"/>
      <c r="O698" s="53"/>
      <c r="P698" s="54"/>
      <c r="Q698" s="54"/>
      <c r="R698" s="54"/>
      <c r="S698" s="54"/>
      <c r="T698" s="54"/>
      <c r="U698" s="82"/>
    </row>
    <row r="699" spans="2:21" x14ac:dyDescent="0.2">
      <c r="B699" s="51"/>
      <c r="C699" s="51"/>
      <c r="D699" s="51"/>
      <c r="E699" s="51"/>
      <c r="F699" s="51"/>
      <c r="G699" s="51"/>
      <c r="H699" s="51"/>
      <c r="I699" s="54"/>
      <c r="J699" s="54"/>
      <c r="K699" s="53"/>
      <c r="L699" s="52"/>
      <c r="M699" s="55"/>
      <c r="N699" s="52"/>
      <c r="O699" s="53"/>
      <c r="P699" s="54"/>
      <c r="Q699" s="54"/>
      <c r="R699" s="54"/>
      <c r="S699" s="54"/>
      <c r="T699" s="54"/>
      <c r="U699" s="82"/>
    </row>
    <row r="700" spans="2:21" x14ac:dyDescent="0.2">
      <c r="B700" s="51"/>
      <c r="C700" s="51"/>
      <c r="D700" s="51"/>
      <c r="E700" s="51"/>
      <c r="F700" s="51"/>
      <c r="G700" s="51"/>
      <c r="H700" s="51"/>
      <c r="I700" s="54"/>
      <c r="J700" s="54"/>
      <c r="K700" s="53"/>
      <c r="L700" s="52"/>
      <c r="M700" s="55"/>
      <c r="N700" s="52"/>
      <c r="O700" s="53"/>
      <c r="P700" s="54"/>
      <c r="Q700" s="54"/>
      <c r="R700" s="54"/>
      <c r="S700" s="54"/>
      <c r="T700" s="54"/>
      <c r="U700" s="82"/>
    </row>
    <row r="701" spans="2:21" x14ac:dyDescent="0.2">
      <c r="B701" s="51"/>
      <c r="C701" s="51"/>
      <c r="D701" s="51"/>
      <c r="E701" s="51"/>
      <c r="F701" s="51"/>
      <c r="G701" s="51"/>
      <c r="H701" s="51"/>
      <c r="I701" s="54"/>
      <c r="J701" s="54"/>
      <c r="K701" s="53"/>
      <c r="L701" s="52"/>
      <c r="M701" s="55"/>
      <c r="N701" s="52"/>
      <c r="O701" s="53"/>
      <c r="P701" s="54"/>
      <c r="Q701" s="54"/>
      <c r="R701" s="54"/>
      <c r="S701" s="54"/>
      <c r="T701" s="54"/>
      <c r="U701" s="82"/>
    </row>
    <row r="702" spans="2:21" x14ac:dyDescent="0.2">
      <c r="B702" s="51"/>
      <c r="C702" s="51"/>
      <c r="D702" s="51"/>
      <c r="E702" s="51"/>
      <c r="F702" s="51"/>
      <c r="G702" s="51"/>
      <c r="H702" s="51"/>
      <c r="I702" s="54"/>
      <c r="J702" s="54"/>
      <c r="K702" s="53"/>
      <c r="L702" s="52"/>
      <c r="M702" s="55"/>
      <c r="N702" s="52"/>
      <c r="O702" s="53"/>
      <c r="P702" s="54"/>
      <c r="Q702" s="54"/>
      <c r="R702" s="54"/>
      <c r="S702" s="54"/>
      <c r="T702" s="54"/>
      <c r="U702" s="82"/>
    </row>
    <row r="703" spans="2:21" x14ac:dyDescent="0.2">
      <c r="B703" s="51"/>
      <c r="C703" s="51"/>
      <c r="D703" s="51"/>
      <c r="E703" s="51"/>
      <c r="F703" s="51"/>
      <c r="G703" s="51"/>
      <c r="H703" s="51"/>
      <c r="I703" s="54"/>
      <c r="J703" s="54"/>
      <c r="K703" s="53"/>
      <c r="L703" s="52"/>
      <c r="M703" s="55"/>
      <c r="N703" s="52"/>
      <c r="O703" s="53"/>
      <c r="P703" s="54"/>
      <c r="Q703" s="54"/>
      <c r="R703" s="54"/>
      <c r="S703" s="54"/>
      <c r="T703" s="54"/>
      <c r="U703" s="82"/>
    </row>
    <row r="704" spans="2:21" x14ac:dyDescent="0.2">
      <c r="B704" s="51"/>
      <c r="C704" s="51"/>
      <c r="D704" s="51"/>
      <c r="E704" s="51"/>
      <c r="F704" s="51"/>
      <c r="G704" s="51"/>
      <c r="H704" s="51"/>
      <c r="I704" s="54"/>
      <c r="J704" s="54"/>
      <c r="K704" s="53"/>
      <c r="L704" s="52"/>
      <c r="M704" s="55"/>
      <c r="N704" s="52"/>
      <c r="O704" s="53"/>
      <c r="P704" s="54"/>
      <c r="Q704" s="54"/>
      <c r="R704" s="54"/>
      <c r="S704" s="54"/>
      <c r="T704" s="54"/>
      <c r="U704" s="82"/>
    </row>
    <row r="705" spans="2:21" x14ac:dyDescent="0.2">
      <c r="B705" s="51"/>
      <c r="C705" s="51"/>
      <c r="D705" s="51"/>
      <c r="E705" s="51"/>
      <c r="F705" s="51"/>
      <c r="G705" s="51"/>
      <c r="H705" s="51"/>
      <c r="I705" s="54"/>
      <c r="J705" s="54"/>
      <c r="K705" s="53"/>
      <c r="L705" s="52"/>
      <c r="M705" s="55"/>
      <c r="N705" s="52"/>
      <c r="O705" s="53"/>
      <c r="P705" s="54"/>
      <c r="Q705" s="54"/>
      <c r="R705" s="54"/>
      <c r="S705" s="54"/>
      <c r="T705" s="54"/>
      <c r="U705" s="82"/>
    </row>
    <row r="706" spans="2:21" x14ac:dyDescent="0.2">
      <c r="B706" s="51"/>
      <c r="C706" s="51"/>
      <c r="D706" s="51"/>
      <c r="E706" s="51"/>
      <c r="F706" s="51"/>
      <c r="G706" s="51"/>
      <c r="H706" s="51"/>
      <c r="I706" s="54"/>
      <c r="J706" s="54"/>
      <c r="K706" s="53"/>
      <c r="L706" s="52"/>
      <c r="M706" s="55"/>
      <c r="N706" s="52"/>
      <c r="O706" s="53"/>
      <c r="P706" s="54"/>
      <c r="Q706" s="54"/>
      <c r="R706" s="54"/>
      <c r="S706" s="54"/>
      <c r="T706" s="54"/>
      <c r="U706" s="82"/>
    </row>
    <row r="707" spans="2:21" x14ac:dyDescent="0.2">
      <c r="B707" s="51"/>
      <c r="C707" s="51"/>
      <c r="D707" s="51"/>
      <c r="E707" s="51"/>
      <c r="F707" s="51"/>
      <c r="G707" s="51"/>
      <c r="H707" s="51"/>
      <c r="I707" s="54"/>
      <c r="J707" s="54"/>
      <c r="K707" s="53"/>
      <c r="L707" s="52"/>
      <c r="M707" s="55"/>
      <c r="N707" s="52"/>
      <c r="O707" s="53"/>
      <c r="P707" s="54"/>
      <c r="Q707" s="54"/>
      <c r="R707" s="54"/>
      <c r="S707" s="54"/>
      <c r="T707" s="54"/>
      <c r="U707" s="82"/>
    </row>
    <row r="708" spans="2:21" x14ac:dyDescent="0.2">
      <c r="B708" s="51"/>
      <c r="C708" s="51"/>
      <c r="D708" s="51"/>
      <c r="E708" s="51"/>
      <c r="F708" s="51"/>
      <c r="G708" s="51"/>
      <c r="H708" s="51"/>
      <c r="I708" s="54"/>
      <c r="J708" s="54"/>
      <c r="K708" s="53"/>
      <c r="L708" s="52"/>
      <c r="M708" s="55"/>
      <c r="N708" s="52"/>
      <c r="O708" s="53"/>
      <c r="P708" s="54"/>
      <c r="Q708" s="54"/>
      <c r="R708" s="54"/>
      <c r="S708" s="54"/>
      <c r="T708" s="54"/>
      <c r="U708" s="82"/>
    </row>
    <row r="709" spans="2:21" x14ac:dyDescent="0.2">
      <c r="B709" s="51"/>
      <c r="C709" s="51"/>
      <c r="D709" s="51"/>
      <c r="E709" s="51"/>
      <c r="F709" s="51"/>
      <c r="G709" s="51"/>
      <c r="H709" s="51"/>
      <c r="I709" s="54"/>
      <c r="J709" s="54"/>
      <c r="K709" s="53"/>
      <c r="L709" s="52"/>
      <c r="M709" s="55"/>
      <c r="N709" s="52"/>
      <c r="O709" s="53"/>
      <c r="P709" s="54"/>
      <c r="Q709" s="54"/>
      <c r="R709" s="54"/>
      <c r="S709" s="54"/>
      <c r="T709" s="54"/>
      <c r="U709" s="82"/>
    </row>
    <row r="710" spans="2:21" x14ac:dyDescent="0.2">
      <c r="B710" s="51"/>
      <c r="C710" s="51"/>
      <c r="D710" s="51"/>
      <c r="E710" s="51"/>
      <c r="F710" s="51"/>
      <c r="G710" s="51"/>
      <c r="H710" s="51"/>
      <c r="I710" s="54"/>
      <c r="J710" s="54"/>
      <c r="K710" s="53"/>
      <c r="L710" s="52"/>
      <c r="M710" s="55"/>
      <c r="N710" s="52"/>
      <c r="O710" s="53"/>
      <c r="P710" s="54"/>
      <c r="Q710" s="54"/>
      <c r="R710" s="54"/>
      <c r="S710" s="54"/>
      <c r="T710" s="54"/>
      <c r="U710" s="82"/>
    </row>
    <row r="711" spans="2:21" x14ac:dyDescent="0.2">
      <c r="B711" s="51"/>
      <c r="C711" s="51"/>
      <c r="D711" s="51"/>
      <c r="E711" s="51"/>
      <c r="F711" s="51"/>
      <c r="G711" s="51"/>
      <c r="H711" s="51"/>
      <c r="I711" s="54"/>
      <c r="J711" s="54"/>
      <c r="K711" s="53"/>
      <c r="L711" s="52"/>
      <c r="M711" s="55"/>
      <c r="N711" s="52"/>
      <c r="O711" s="53"/>
      <c r="P711" s="54"/>
      <c r="Q711" s="54"/>
      <c r="R711" s="54"/>
      <c r="S711" s="54"/>
      <c r="T711" s="54"/>
      <c r="U711" s="82"/>
    </row>
    <row r="712" spans="2:21" x14ac:dyDescent="0.2">
      <c r="B712" s="51"/>
      <c r="C712" s="51"/>
      <c r="D712" s="51"/>
      <c r="E712" s="51"/>
      <c r="F712" s="51"/>
      <c r="G712" s="51"/>
      <c r="H712" s="51"/>
      <c r="I712" s="54"/>
      <c r="J712" s="54"/>
      <c r="K712" s="53"/>
      <c r="L712" s="52"/>
      <c r="M712" s="55"/>
      <c r="N712" s="52"/>
      <c r="O712" s="53"/>
      <c r="P712" s="54"/>
      <c r="Q712" s="54"/>
      <c r="R712" s="54"/>
      <c r="S712" s="54"/>
      <c r="T712" s="54"/>
      <c r="U712" s="82"/>
    </row>
    <row r="713" spans="2:21" x14ac:dyDescent="0.2">
      <c r="B713" s="51"/>
      <c r="C713" s="51"/>
      <c r="D713" s="51"/>
      <c r="E713" s="51"/>
      <c r="F713" s="51"/>
      <c r="G713" s="51"/>
      <c r="H713" s="51"/>
      <c r="I713" s="54"/>
      <c r="J713" s="54"/>
      <c r="K713" s="53"/>
      <c r="L713" s="52"/>
      <c r="M713" s="55"/>
      <c r="N713" s="52"/>
      <c r="O713" s="53"/>
      <c r="P713" s="54"/>
      <c r="Q713" s="54"/>
      <c r="R713" s="54"/>
      <c r="S713" s="54"/>
      <c r="T713" s="54"/>
      <c r="U713" s="82"/>
    </row>
    <row r="714" spans="2:21" x14ac:dyDescent="0.2">
      <c r="B714" s="51"/>
      <c r="C714" s="51"/>
      <c r="D714" s="51"/>
      <c r="E714" s="51"/>
      <c r="F714" s="51"/>
      <c r="G714" s="51"/>
      <c r="H714" s="51"/>
      <c r="I714" s="54"/>
      <c r="J714" s="54"/>
      <c r="K714" s="53"/>
      <c r="L714" s="52"/>
      <c r="M714" s="55"/>
      <c r="N714" s="52"/>
      <c r="O714" s="53"/>
      <c r="P714" s="54"/>
      <c r="Q714" s="54"/>
      <c r="R714" s="54"/>
      <c r="S714" s="54"/>
      <c r="T714" s="54"/>
      <c r="U714" s="82"/>
    </row>
    <row r="715" spans="2:21" x14ac:dyDescent="0.2">
      <c r="B715" s="51"/>
      <c r="C715" s="51"/>
      <c r="D715" s="51"/>
      <c r="E715" s="51"/>
      <c r="F715" s="51"/>
      <c r="G715" s="51"/>
      <c r="H715" s="51"/>
      <c r="I715" s="54"/>
      <c r="J715" s="54"/>
      <c r="K715" s="53"/>
      <c r="L715" s="52"/>
      <c r="M715" s="55"/>
      <c r="N715" s="52"/>
      <c r="O715" s="53"/>
      <c r="P715" s="54"/>
      <c r="Q715" s="54"/>
      <c r="R715" s="54"/>
      <c r="S715" s="54"/>
      <c r="T715" s="54"/>
      <c r="U715" s="82"/>
    </row>
    <row r="716" spans="2:21" x14ac:dyDescent="0.2">
      <c r="B716" s="51"/>
      <c r="C716" s="51"/>
      <c r="D716" s="51"/>
      <c r="E716" s="51"/>
      <c r="F716" s="51"/>
      <c r="G716" s="51"/>
      <c r="H716" s="51"/>
      <c r="I716" s="54"/>
      <c r="J716" s="54"/>
      <c r="K716" s="53"/>
      <c r="L716" s="52"/>
      <c r="M716" s="55"/>
      <c r="N716" s="52"/>
      <c r="O716" s="53"/>
      <c r="P716" s="54"/>
      <c r="Q716" s="54"/>
      <c r="R716" s="54"/>
      <c r="S716" s="54"/>
      <c r="T716" s="54"/>
      <c r="U716" s="82"/>
    </row>
    <row r="717" spans="2:21" x14ac:dyDescent="0.2">
      <c r="B717" s="51"/>
      <c r="C717" s="51"/>
      <c r="D717" s="51"/>
      <c r="E717" s="51"/>
      <c r="F717" s="51"/>
      <c r="G717" s="51"/>
      <c r="H717" s="51"/>
      <c r="I717" s="54"/>
      <c r="J717" s="54"/>
      <c r="K717" s="53"/>
      <c r="L717" s="52"/>
      <c r="M717" s="55"/>
      <c r="N717" s="52"/>
      <c r="O717" s="53"/>
      <c r="P717" s="54"/>
      <c r="Q717" s="54"/>
      <c r="R717" s="54"/>
      <c r="S717" s="54"/>
      <c r="T717" s="54"/>
      <c r="U717" s="82"/>
    </row>
    <row r="718" spans="2:21" x14ac:dyDescent="0.2">
      <c r="B718" s="51"/>
      <c r="C718" s="51"/>
      <c r="D718" s="51"/>
      <c r="E718" s="51"/>
      <c r="F718" s="51"/>
      <c r="G718" s="51"/>
      <c r="H718" s="51"/>
      <c r="I718" s="54"/>
      <c r="J718" s="54"/>
      <c r="K718" s="53"/>
      <c r="L718" s="52"/>
      <c r="M718" s="55"/>
      <c r="N718" s="52"/>
      <c r="O718" s="53"/>
      <c r="P718" s="54"/>
      <c r="Q718" s="54"/>
      <c r="R718" s="54"/>
      <c r="S718" s="54"/>
      <c r="T718" s="54"/>
      <c r="U718" s="82"/>
    </row>
    <row r="719" spans="2:21" x14ac:dyDescent="0.2">
      <c r="B719" s="51"/>
      <c r="C719" s="51"/>
      <c r="D719" s="51"/>
      <c r="E719" s="51"/>
      <c r="F719" s="51"/>
      <c r="G719" s="51"/>
      <c r="H719" s="51"/>
      <c r="I719" s="54"/>
      <c r="J719" s="54"/>
      <c r="K719" s="53"/>
      <c r="L719" s="52"/>
      <c r="M719" s="55"/>
      <c r="N719" s="52"/>
      <c r="O719" s="53"/>
      <c r="P719" s="54"/>
      <c r="Q719" s="54"/>
      <c r="R719" s="54"/>
      <c r="S719" s="54"/>
      <c r="T719" s="54"/>
      <c r="U719" s="82"/>
    </row>
    <row r="720" spans="2:21" x14ac:dyDescent="0.2">
      <c r="B720" s="51"/>
      <c r="C720" s="51"/>
      <c r="D720" s="51"/>
      <c r="E720" s="51"/>
      <c r="F720" s="51"/>
      <c r="G720" s="51"/>
      <c r="H720" s="51"/>
      <c r="I720" s="54"/>
      <c r="J720" s="54"/>
      <c r="K720" s="53"/>
      <c r="L720" s="52"/>
      <c r="M720" s="55"/>
      <c r="N720" s="52"/>
      <c r="O720" s="53"/>
      <c r="P720" s="54"/>
      <c r="Q720" s="54"/>
      <c r="R720" s="54"/>
      <c r="S720" s="54"/>
      <c r="T720" s="54"/>
      <c r="U720" s="82"/>
    </row>
    <row r="721" spans="2:21" x14ac:dyDescent="0.2">
      <c r="B721" s="51"/>
      <c r="C721" s="51"/>
      <c r="D721" s="51"/>
      <c r="E721" s="51"/>
      <c r="F721" s="51"/>
      <c r="G721" s="51"/>
      <c r="H721" s="51"/>
      <c r="I721" s="54"/>
      <c r="J721" s="54"/>
      <c r="K721" s="53"/>
      <c r="L721" s="52"/>
      <c r="M721" s="55"/>
      <c r="N721" s="52"/>
      <c r="O721" s="53"/>
      <c r="P721" s="54"/>
      <c r="Q721" s="54"/>
      <c r="R721" s="54"/>
      <c r="S721" s="54"/>
      <c r="T721" s="54"/>
      <c r="U721" s="82"/>
    </row>
    <row r="722" spans="2:21" x14ac:dyDescent="0.2">
      <c r="B722" s="51"/>
      <c r="C722" s="51"/>
      <c r="D722" s="51"/>
      <c r="E722" s="51"/>
      <c r="F722" s="51"/>
      <c r="G722" s="51"/>
      <c r="H722" s="51"/>
      <c r="I722" s="54"/>
      <c r="J722" s="54"/>
      <c r="K722" s="53"/>
      <c r="L722" s="52"/>
      <c r="M722" s="55"/>
      <c r="N722" s="52"/>
      <c r="O722" s="53"/>
      <c r="P722" s="54"/>
      <c r="Q722" s="54"/>
      <c r="R722" s="54"/>
      <c r="S722" s="54"/>
      <c r="T722" s="54"/>
      <c r="U722" s="82"/>
    </row>
    <row r="723" spans="2:21" x14ac:dyDescent="0.2">
      <c r="B723" s="51"/>
      <c r="C723" s="51"/>
      <c r="D723" s="51"/>
      <c r="E723" s="51"/>
      <c r="F723" s="51"/>
      <c r="G723" s="51"/>
      <c r="H723" s="51"/>
      <c r="I723" s="54"/>
      <c r="J723" s="54"/>
      <c r="K723" s="53"/>
      <c r="L723" s="52"/>
      <c r="M723" s="55"/>
      <c r="N723" s="52"/>
      <c r="O723" s="53"/>
      <c r="P723" s="54"/>
      <c r="Q723" s="54"/>
      <c r="R723" s="54"/>
      <c r="S723" s="54"/>
      <c r="T723" s="54"/>
      <c r="U723" s="82"/>
    </row>
    <row r="724" spans="2:21" x14ac:dyDescent="0.2">
      <c r="B724" s="51"/>
      <c r="C724" s="51"/>
      <c r="D724" s="51"/>
      <c r="E724" s="51"/>
      <c r="F724" s="51"/>
      <c r="G724" s="51"/>
      <c r="H724" s="51"/>
      <c r="I724" s="54"/>
      <c r="J724" s="54"/>
      <c r="K724" s="53"/>
      <c r="L724" s="52"/>
      <c r="M724" s="55"/>
      <c r="N724" s="52"/>
      <c r="O724" s="53"/>
      <c r="P724" s="54"/>
      <c r="Q724" s="54"/>
      <c r="R724" s="54"/>
      <c r="S724" s="54"/>
      <c r="T724" s="54"/>
      <c r="U724" s="82"/>
    </row>
    <row r="725" spans="2:21" x14ac:dyDescent="0.2">
      <c r="B725" s="51"/>
      <c r="C725" s="51"/>
      <c r="D725" s="51"/>
      <c r="E725" s="51"/>
      <c r="F725" s="51"/>
      <c r="G725" s="51"/>
      <c r="H725" s="51"/>
      <c r="I725" s="54"/>
      <c r="J725" s="54"/>
      <c r="K725" s="53"/>
      <c r="L725" s="52"/>
      <c r="M725" s="55"/>
      <c r="N725" s="52"/>
      <c r="O725" s="53"/>
      <c r="P725" s="54"/>
      <c r="Q725" s="54"/>
      <c r="R725" s="54"/>
      <c r="S725" s="54"/>
      <c r="T725" s="54"/>
      <c r="U725" s="82"/>
    </row>
    <row r="726" spans="2:21" x14ac:dyDescent="0.2">
      <c r="B726" s="51"/>
      <c r="C726" s="51"/>
      <c r="D726" s="51"/>
      <c r="E726" s="51"/>
      <c r="F726" s="51"/>
      <c r="G726" s="51"/>
      <c r="H726" s="51"/>
      <c r="I726" s="54"/>
      <c r="J726" s="54"/>
      <c r="K726" s="53"/>
      <c r="L726" s="52"/>
      <c r="M726" s="55"/>
      <c r="N726" s="52"/>
      <c r="O726" s="53"/>
      <c r="P726" s="54"/>
      <c r="Q726" s="54"/>
      <c r="R726" s="54"/>
      <c r="S726" s="54"/>
      <c r="T726" s="54"/>
      <c r="U726" s="82"/>
    </row>
    <row r="727" spans="2:21" x14ac:dyDescent="0.2">
      <c r="B727" s="51"/>
      <c r="C727" s="51"/>
      <c r="D727" s="51"/>
      <c r="E727" s="51"/>
      <c r="F727" s="51"/>
      <c r="G727" s="51"/>
      <c r="H727" s="51"/>
      <c r="I727" s="54"/>
      <c r="J727" s="54"/>
      <c r="K727" s="53"/>
      <c r="L727" s="52"/>
      <c r="M727" s="55"/>
      <c r="N727" s="52"/>
      <c r="O727" s="53"/>
      <c r="P727" s="54"/>
      <c r="Q727" s="54"/>
      <c r="R727" s="54"/>
      <c r="S727" s="54"/>
      <c r="T727" s="54"/>
      <c r="U727" s="82"/>
    </row>
    <row r="728" spans="2:21" x14ac:dyDescent="0.2">
      <c r="B728" s="51"/>
      <c r="C728" s="51"/>
      <c r="D728" s="51"/>
      <c r="E728" s="51"/>
      <c r="F728" s="51"/>
      <c r="G728" s="51"/>
      <c r="H728" s="51"/>
      <c r="I728" s="54"/>
      <c r="J728" s="54"/>
      <c r="K728" s="53"/>
      <c r="L728" s="52"/>
      <c r="M728" s="55"/>
      <c r="N728" s="52"/>
      <c r="O728" s="53"/>
      <c r="P728" s="54"/>
      <c r="Q728" s="54"/>
      <c r="R728" s="54"/>
      <c r="S728" s="54"/>
      <c r="T728" s="54"/>
      <c r="U728" s="82"/>
    </row>
    <row r="729" spans="2:21" x14ac:dyDescent="0.2">
      <c r="B729" s="51"/>
      <c r="C729" s="51"/>
      <c r="D729" s="51"/>
      <c r="E729" s="51"/>
      <c r="F729" s="51"/>
      <c r="G729" s="51"/>
      <c r="H729" s="51"/>
      <c r="I729" s="54"/>
      <c r="J729" s="54"/>
      <c r="K729" s="53"/>
      <c r="L729" s="52"/>
      <c r="M729" s="55"/>
      <c r="N729" s="52"/>
      <c r="O729" s="53"/>
      <c r="P729" s="54"/>
      <c r="Q729" s="54"/>
      <c r="R729" s="54"/>
      <c r="S729" s="54"/>
      <c r="T729" s="54"/>
      <c r="U729" s="82"/>
    </row>
    <row r="730" spans="2:21" x14ac:dyDescent="0.2">
      <c r="B730" s="51"/>
      <c r="C730" s="51"/>
      <c r="D730" s="51"/>
      <c r="E730" s="51"/>
      <c r="F730" s="51"/>
      <c r="G730" s="51"/>
      <c r="H730" s="51"/>
      <c r="I730" s="54"/>
      <c r="J730" s="54"/>
      <c r="K730" s="53"/>
      <c r="L730" s="52"/>
      <c r="M730" s="55"/>
      <c r="N730" s="52"/>
      <c r="O730" s="53"/>
      <c r="P730" s="54"/>
      <c r="Q730" s="54"/>
      <c r="R730" s="54"/>
      <c r="S730" s="54"/>
      <c r="T730" s="54"/>
      <c r="U730" s="82"/>
    </row>
    <row r="731" spans="2:21" x14ac:dyDescent="0.2">
      <c r="B731" s="51"/>
      <c r="C731" s="51"/>
      <c r="D731" s="51"/>
      <c r="E731" s="51"/>
      <c r="F731" s="51"/>
      <c r="G731" s="51"/>
      <c r="H731" s="51"/>
      <c r="I731" s="54"/>
      <c r="J731" s="54"/>
      <c r="K731" s="53"/>
      <c r="L731" s="52"/>
      <c r="M731" s="55"/>
      <c r="N731" s="52"/>
      <c r="O731" s="53"/>
      <c r="P731" s="54"/>
      <c r="Q731" s="54"/>
      <c r="R731" s="54"/>
      <c r="S731" s="54"/>
      <c r="T731" s="54"/>
      <c r="U731" s="82"/>
    </row>
    <row r="732" spans="2:21" x14ac:dyDescent="0.2">
      <c r="B732" s="51"/>
      <c r="C732" s="51"/>
      <c r="D732" s="51"/>
      <c r="E732" s="51"/>
      <c r="F732" s="51"/>
      <c r="G732" s="51"/>
      <c r="H732" s="51"/>
      <c r="I732" s="54"/>
      <c r="J732" s="54"/>
      <c r="K732" s="53"/>
      <c r="L732" s="52"/>
      <c r="M732" s="55"/>
      <c r="N732" s="52"/>
      <c r="O732" s="53"/>
      <c r="P732" s="54"/>
      <c r="Q732" s="54"/>
      <c r="R732" s="54"/>
      <c r="S732" s="54"/>
      <c r="T732" s="54"/>
      <c r="U732" s="82"/>
    </row>
    <row r="733" spans="2:21" x14ac:dyDescent="0.2">
      <c r="B733" s="51"/>
      <c r="C733" s="51"/>
      <c r="D733" s="51"/>
      <c r="E733" s="51"/>
      <c r="F733" s="51"/>
      <c r="G733" s="51"/>
      <c r="H733" s="51"/>
      <c r="I733" s="54"/>
      <c r="J733" s="54"/>
      <c r="K733" s="53"/>
      <c r="L733" s="52"/>
      <c r="M733" s="55"/>
      <c r="N733" s="52"/>
      <c r="O733" s="53"/>
      <c r="P733" s="54"/>
      <c r="Q733" s="54"/>
      <c r="R733" s="54"/>
      <c r="S733" s="54"/>
      <c r="T733" s="54"/>
      <c r="U733" s="82"/>
    </row>
    <row r="734" spans="2:21" x14ac:dyDescent="0.2">
      <c r="B734" s="51"/>
      <c r="C734" s="51"/>
      <c r="D734" s="51"/>
      <c r="E734" s="51"/>
      <c r="F734" s="51"/>
      <c r="G734" s="51"/>
      <c r="H734" s="51"/>
      <c r="I734" s="54"/>
      <c r="J734" s="54"/>
      <c r="K734" s="53"/>
      <c r="L734" s="52"/>
      <c r="M734" s="55"/>
      <c r="N734" s="52"/>
      <c r="O734" s="53"/>
      <c r="P734" s="54"/>
      <c r="Q734" s="54"/>
      <c r="R734" s="54"/>
      <c r="S734" s="54"/>
      <c r="T734" s="54"/>
      <c r="U734" s="82"/>
    </row>
    <row r="735" spans="2:21" x14ac:dyDescent="0.2">
      <c r="B735" s="51"/>
      <c r="C735" s="51"/>
      <c r="D735" s="51"/>
      <c r="E735" s="51"/>
      <c r="F735" s="51"/>
      <c r="G735" s="51"/>
      <c r="H735" s="51"/>
      <c r="I735" s="54"/>
      <c r="J735" s="54"/>
      <c r="K735" s="53"/>
      <c r="L735" s="52"/>
      <c r="M735" s="55"/>
      <c r="N735" s="52"/>
      <c r="O735" s="53"/>
      <c r="P735" s="54"/>
      <c r="Q735" s="54"/>
      <c r="R735" s="54"/>
      <c r="S735" s="54"/>
      <c r="T735" s="54"/>
      <c r="U735" s="82"/>
    </row>
    <row r="736" spans="2:21" x14ac:dyDescent="0.2">
      <c r="B736" s="51"/>
      <c r="C736" s="51"/>
      <c r="D736" s="51"/>
      <c r="E736" s="51"/>
      <c r="F736" s="51"/>
      <c r="G736" s="51"/>
      <c r="H736" s="51"/>
      <c r="I736" s="54"/>
      <c r="J736" s="54"/>
      <c r="K736" s="53"/>
      <c r="L736" s="52"/>
      <c r="M736" s="55"/>
      <c r="N736" s="52"/>
      <c r="O736" s="53"/>
      <c r="P736" s="54"/>
      <c r="Q736" s="54"/>
      <c r="R736" s="54"/>
      <c r="S736" s="54"/>
      <c r="T736" s="54"/>
      <c r="U736" s="82"/>
    </row>
    <row r="737" spans="2:21" x14ac:dyDescent="0.2">
      <c r="B737" s="51"/>
      <c r="C737" s="51"/>
      <c r="D737" s="51"/>
      <c r="E737" s="51"/>
      <c r="F737" s="51"/>
      <c r="G737" s="51"/>
      <c r="H737" s="51"/>
      <c r="I737" s="54"/>
      <c r="J737" s="54"/>
      <c r="K737" s="53"/>
      <c r="L737" s="52"/>
      <c r="M737" s="55"/>
      <c r="N737" s="52"/>
      <c r="O737" s="53"/>
      <c r="P737" s="54"/>
      <c r="Q737" s="54"/>
      <c r="R737" s="54"/>
      <c r="S737" s="54"/>
      <c r="T737" s="54"/>
      <c r="U737" s="82"/>
    </row>
    <row r="738" spans="2:21" x14ac:dyDescent="0.2">
      <c r="B738" s="51"/>
      <c r="C738" s="51"/>
      <c r="D738" s="51"/>
      <c r="E738" s="51"/>
      <c r="F738" s="51"/>
      <c r="G738" s="51"/>
      <c r="H738" s="51"/>
      <c r="I738" s="54"/>
      <c r="J738" s="54"/>
      <c r="K738" s="53"/>
      <c r="L738" s="52"/>
      <c r="M738" s="55"/>
      <c r="N738" s="52"/>
      <c r="O738" s="53"/>
      <c r="P738" s="54"/>
      <c r="Q738" s="54"/>
      <c r="R738" s="54"/>
      <c r="S738" s="54"/>
      <c r="T738" s="54"/>
      <c r="U738" s="82"/>
    </row>
    <row r="739" spans="2:21" x14ac:dyDescent="0.2">
      <c r="B739" s="51"/>
      <c r="C739" s="51"/>
      <c r="D739" s="51"/>
      <c r="E739" s="51"/>
      <c r="F739" s="51"/>
      <c r="G739" s="51"/>
      <c r="H739" s="51"/>
      <c r="I739" s="54"/>
      <c r="J739" s="54"/>
      <c r="K739" s="53"/>
      <c r="L739" s="52"/>
      <c r="M739" s="55"/>
      <c r="N739" s="52"/>
      <c r="O739" s="53"/>
      <c r="P739" s="54"/>
      <c r="Q739" s="54"/>
      <c r="R739" s="54"/>
      <c r="S739" s="54"/>
      <c r="T739" s="54"/>
      <c r="U739" s="82"/>
    </row>
    <row r="740" spans="2:21" x14ac:dyDescent="0.2">
      <c r="B740" s="51"/>
      <c r="C740" s="51"/>
      <c r="D740" s="51"/>
      <c r="E740" s="51"/>
      <c r="F740" s="51"/>
      <c r="G740" s="51"/>
      <c r="H740" s="51"/>
      <c r="I740" s="54"/>
      <c r="J740" s="54"/>
      <c r="K740" s="53"/>
      <c r="L740" s="52"/>
      <c r="M740" s="55"/>
      <c r="N740" s="52"/>
      <c r="O740" s="53"/>
      <c r="P740" s="54"/>
      <c r="Q740" s="54"/>
      <c r="R740" s="54"/>
      <c r="S740" s="54"/>
      <c r="T740" s="54"/>
      <c r="U740" s="82"/>
    </row>
    <row r="741" spans="2:21" x14ac:dyDescent="0.2">
      <c r="B741" s="51"/>
      <c r="C741" s="51"/>
      <c r="D741" s="51"/>
      <c r="E741" s="51"/>
      <c r="F741" s="51"/>
      <c r="G741" s="51"/>
      <c r="H741" s="51"/>
      <c r="I741" s="54"/>
      <c r="J741" s="54"/>
      <c r="K741" s="53"/>
      <c r="L741" s="52"/>
      <c r="M741" s="55"/>
      <c r="N741" s="52"/>
      <c r="O741" s="53"/>
      <c r="P741" s="54"/>
      <c r="Q741" s="54"/>
      <c r="R741" s="54"/>
      <c r="S741" s="54"/>
      <c r="T741" s="54"/>
      <c r="U741" s="82"/>
    </row>
    <row r="742" spans="2:21" x14ac:dyDescent="0.2">
      <c r="B742" s="51"/>
      <c r="C742" s="51"/>
      <c r="D742" s="51"/>
      <c r="E742" s="51"/>
      <c r="F742" s="51"/>
      <c r="G742" s="51"/>
      <c r="H742" s="51"/>
      <c r="I742" s="54"/>
      <c r="J742" s="54"/>
      <c r="K742" s="53"/>
      <c r="L742" s="52"/>
      <c r="M742" s="55"/>
      <c r="N742" s="52"/>
      <c r="O742" s="53"/>
      <c r="P742" s="54"/>
      <c r="Q742" s="54"/>
      <c r="R742" s="54"/>
      <c r="S742" s="54"/>
      <c r="T742" s="54"/>
      <c r="U742" s="82"/>
    </row>
    <row r="743" spans="2:21" x14ac:dyDescent="0.2">
      <c r="B743" s="51"/>
      <c r="C743" s="51"/>
      <c r="D743" s="51"/>
      <c r="E743" s="51"/>
      <c r="F743" s="51"/>
      <c r="G743" s="51"/>
      <c r="H743" s="51"/>
      <c r="I743" s="54"/>
      <c r="J743" s="54"/>
      <c r="K743" s="53"/>
      <c r="L743" s="52"/>
      <c r="M743" s="55"/>
      <c r="N743" s="52"/>
      <c r="O743" s="53"/>
      <c r="P743" s="54"/>
      <c r="Q743" s="54"/>
      <c r="R743" s="54"/>
      <c r="S743" s="54"/>
      <c r="T743" s="54"/>
      <c r="U743" s="82"/>
    </row>
    <row r="744" spans="2:21" x14ac:dyDescent="0.2">
      <c r="B744" s="51"/>
      <c r="C744" s="51"/>
      <c r="D744" s="51"/>
      <c r="E744" s="51"/>
      <c r="F744" s="51"/>
      <c r="G744" s="51"/>
      <c r="H744" s="51"/>
      <c r="I744" s="54"/>
      <c r="J744" s="54"/>
      <c r="K744" s="53"/>
      <c r="L744" s="52"/>
      <c r="M744" s="55"/>
      <c r="N744" s="52"/>
      <c r="O744" s="53"/>
      <c r="P744" s="54"/>
      <c r="Q744" s="54"/>
      <c r="R744" s="54"/>
      <c r="S744" s="54"/>
      <c r="T744" s="54"/>
      <c r="U744" s="82"/>
    </row>
    <row r="745" spans="2:21" x14ac:dyDescent="0.2">
      <c r="B745" s="51"/>
      <c r="C745" s="51"/>
      <c r="D745" s="51"/>
      <c r="E745" s="51"/>
      <c r="F745" s="51"/>
      <c r="G745" s="51"/>
      <c r="H745" s="51"/>
      <c r="I745" s="54"/>
      <c r="J745" s="54"/>
      <c r="K745" s="53"/>
      <c r="L745" s="52"/>
      <c r="M745" s="55"/>
      <c r="N745" s="52"/>
      <c r="O745" s="53"/>
      <c r="P745" s="54"/>
      <c r="Q745" s="54"/>
      <c r="R745" s="54"/>
      <c r="S745" s="54"/>
      <c r="T745" s="54"/>
      <c r="U745" s="82"/>
    </row>
    <row r="746" spans="2:21" x14ac:dyDescent="0.2">
      <c r="B746" s="51"/>
      <c r="C746" s="51"/>
      <c r="D746" s="51"/>
      <c r="E746" s="51"/>
      <c r="F746" s="51"/>
      <c r="G746" s="51"/>
      <c r="H746" s="51"/>
      <c r="I746" s="54"/>
      <c r="J746" s="54"/>
      <c r="K746" s="53"/>
      <c r="L746" s="52"/>
      <c r="M746" s="55"/>
      <c r="N746" s="52"/>
      <c r="O746" s="53"/>
      <c r="P746" s="54"/>
      <c r="Q746" s="54"/>
      <c r="R746" s="54"/>
      <c r="S746" s="54"/>
      <c r="T746" s="54"/>
      <c r="U746" s="82"/>
    </row>
    <row r="747" spans="2:21" x14ac:dyDescent="0.2">
      <c r="B747" s="51"/>
      <c r="C747" s="51"/>
      <c r="D747" s="51"/>
      <c r="E747" s="51"/>
      <c r="F747" s="51"/>
      <c r="G747" s="51"/>
      <c r="H747" s="51"/>
      <c r="I747" s="54"/>
      <c r="J747" s="54"/>
      <c r="K747" s="53"/>
      <c r="L747" s="52"/>
      <c r="M747" s="55"/>
      <c r="N747" s="52"/>
      <c r="O747" s="53"/>
      <c r="P747" s="54"/>
      <c r="Q747" s="54"/>
      <c r="R747" s="54"/>
      <c r="S747" s="54"/>
      <c r="T747" s="54"/>
      <c r="U747" s="82"/>
    </row>
    <row r="748" spans="2:21" x14ac:dyDescent="0.2">
      <c r="B748" s="51"/>
      <c r="C748" s="51"/>
      <c r="D748" s="51"/>
      <c r="E748" s="51"/>
      <c r="F748" s="51"/>
      <c r="G748" s="51"/>
      <c r="H748" s="51"/>
      <c r="I748" s="54"/>
      <c r="J748" s="54"/>
      <c r="K748" s="53"/>
      <c r="L748" s="52"/>
      <c r="M748" s="55"/>
      <c r="N748" s="52"/>
      <c r="O748" s="53"/>
      <c r="P748" s="54"/>
      <c r="Q748" s="54"/>
      <c r="R748" s="54"/>
      <c r="S748" s="54"/>
      <c r="T748" s="54"/>
      <c r="U748" s="82"/>
    </row>
    <row r="749" spans="2:21" x14ac:dyDescent="0.2">
      <c r="B749" s="51"/>
      <c r="C749" s="51"/>
      <c r="D749" s="51"/>
      <c r="E749" s="51"/>
      <c r="F749" s="51"/>
      <c r="G749" s="51"/>
      <c r="H749" s="51"/>
      <c r="I749" s="54"/>
      <c r="J749" s="54"/>
      <c r="K749" s="53"/>
      <c r="L749" s="52"/>
      <c r="M749" s="55"/>
      <c r="N749" s="52"/>
      <c r="O749" s="53"/>
      <c r="P749" s="54"/>
      <c r="Q749" s="54"/>
      <c r="R749" s="54"/>
      <c r="S749" s="54"/>
      <c r="T749" s="54"/>
      <c r="U749" s="82"/>
    </row>
    <row r="750" spans="2:21" x14ac:dyDescent="0.2">
      <c r="B750" s="51"/>
      <c r="C750" s="51"/>
      <c r="D750" s="51"/>
      <c r="E750" s="51"/>
      <c r="F750" s="51"/>
      <c r="G750" s="51"/>
      <c r="H750" s="51"/>
      <c r="I750" s="54"/>
      <c r="J750" s="54"/>
      <c r="K750" s="53"/>
      <c r="L750" s="52"/>
      <c r="M750" s="55"/>
      <c r="N750" s="52"/>
      <c r="O750" s="53"/>
      <c r="P750" s="54"/>
      <c r="Q750" s="54"/>
      <c r="R750" s="54"/>
      <c r="S750" s="54"/>
      <c r="T750" s="54"/>
      <c r="U750" s="82"/>
    </row>
    <row r="751" spans="2:21" x14ac:dyDescent="0.2">
      <c r="B751" s="51"/>
      <c r="C751" s="51"/>
      <c r="D751" s="51"/>
      <c r="E751" s="51"/>
      <c r="F751" s="51"/>
      <c r="G751" s="51"/>
      <c r="H751" s="51"/>
      <c r="I751" s="54"/>
      <c r="J751" s="54"/>
      <c r="K751" s="53"/>
      <c r="L751" s="52"/>
      <c r="M751" s="55"/>
      <c r="N751" s="52"/>
      <c r="O751" s="53"/>
      <c r="P751" s="54"/>
      <c r="Q751" s="54"/>
      <c r="R751" s="54"/>
      <c r="S751" s="54"/>
      <c r="T751" s="54"/>
      <c r="U751" s="82"/>
    </row>
    <row r="752" spans="2:21" x14ac:dyDescent="0.2">
      <c r="B752" s="51"/>
      <c r="C752" s="51"/>
      <c r="D752" s="51"/>
      <c r="E752" s="51"/>
      <c r="F752" s="51"/>
      <c r="G752" s="51"/>
      <c r="H752" s="51"/>
      <c r="I752" s="54"/>
      <c r="J752" s="54"/>
      <c r="K752" s="53"/>
      <c r="L752" s="52"/>
      <c r="M752" s="55"/>
      <c r="N752" s="52"/>
      <c r="O752" s="53"/>
      <c r="P752" s="54"/>
      <c r="Q752" s="54"/>
      <c r="R752" s="54"/>
      <c r="S752" s="54"/>
      <c r="T752" s="54"/>
      <c r="U752" s="82"/>
    </row>
    <row r="753" spans="2:21" x14ac:dyDescent="0.2">
      <c r="B753" s="51"/>
      <c r="C753" s="51"/>
      <c r="D753" s="51"/>
      <c r="E753" s="51"/>
      <c r="F753" s="51"/>
      <c r="G753" s="51"/>
      <c r="H753" s="51"/>
      <c r="I753" s="54"/>
      <c r="J753" s="54"/>
      <c r="K753" s="53"/>
      <c r="L753" s="52"/>
      <c r="M753" s="55"/>
      <c r="N753" s="52"/>
      <c r="O753" s="53"/>
      <c r="P753" s="54"/>
      <c r="Q753" s="54"/>
      <c r="R753" s="54"/>
      <c r="S753" s="54"/>
      <c r="T753" s="54"/>
      <c r="U753" s="82"/>
    </row>
    <row r="754" spans="2:21" x14ac:dyDescent="0.2">
      <c r="B754" s="51"/>
      <c r="C754" s="51"/>
      <c r="D754" s="51"/>
      <c r="E754" s="51"/>
      <c r="F754" s="51"/>
      <c r="G754" s="51"/>
      <c r="H754" s="51"/>
      <c r="I754" s="54"/>
      <c r="J754" s="54"/>
      <c r="K754" s="53"/>
      <c r="L754" s="52"/>
      <c r="M754" s="55"/>
      <c r="N754" s="52"/>
      <c r="O754" s="53"/>
      <c r="P754" s="54"/>
      <c r="Q754" s="54"/>
      <c r="R754" s="54"/>
      <c r="S754" s="54"/>
      <c r="T754" s="54"/>
      <c r="U754" s="82"/>
    </row>
    <row r="755" spans="2:21" x14ac:dyDescent="0.2">
      <c r="B755" s="51"/>
      <c r="C755" s="51"/>
      <c r="D755" s="51"/>
      <c r="E755" s="51"/>
      <c r="F755" s="51"/>
      <c r="G755" s="51"/>
      <c r="H755" s="51"/>
      <c r="I755" s="54"/>
      <c r="J755" s="54"/>
      <c r="K755" s="53"/>
      <c r="L755" s="52"/>
      <c r="M755" s="55"/>
      <c r="N755" s="52"/>
      <c r="O755" s="53"/>
      <c r="P755" s="54"/>
      <c r="Q755" s="54"/>
      <c r="R755" s="54"/>
      <c r="S755" s="54"/>
      <c r="T755" s="54"/>
      <c r="U755" s="82"/>
    </row>
    <row r="756" spans="2:21" x14ac:dyDescent="0.2">
      <c r="B756" s="51"/>
      <c r="C756" s="51"/>
      <c r="D756" s="51"/>
      <c r="E756" s="51"/>
      <c r="F756" s="51"/>
      <c r="G756" s="51"/>
      <c r="H756" s="51"/>
      <c r="I756" s="54"/>
      <c r="J756" s="54"/>
      <c r="K756" s="53"/>
      <c r="L756" s="52"/>
      <c r="M756" s="55"/>
      <c r="N756" s="52"/>
      <c r="O756" s="53"/>
      <c r="P756" s="54"/>
      <c r="Q756" s="54"/>
      <c r="R756" s="54"/>
      <c r="S756" s="54"/>
      <c r="T756" s="54"/>
      <c r="U756" s="82"/>
    </row>
    <row r="757" spans="2:21" x14ac:dyDescent="0.2">
      <c r="B757" s="51"/>
      <c r="C757" s="51"/>
      <c r="D757" s="51"/>
      <c r="E757" s="51"/>
      <c r="F757" s="51"/>
      <c r="G757" s="51"/>
      <c r="H757" s="51"/>
      <c r="I757" s="54"/>
      <c r="J757" s="54"/>
      <c r="K757" s="53"/>
      <c r="L757" s="52"/>
      <c r="M757" s="55"/>
      <c r="N757" s="52"/>
      <c r="O757" s="53"/>
      <c r="P757" s="54"/>
      <c r="Q757" s="54"/>
      <c r="R757" s="54"/>
      <c r="S757" s="54"/>
      <c r="T757" s="54"/>
      <c r="U757" s="82"/>
    </row>
    <row r="758" spans="2:21" x14ac:dyDescent="0.2">
      <c r="B758" s="51"/>
      <c r="C758" s="51"/>
      <c r="D758" s="51"/>
      <c r="E758" s="51"/>
      <c r="F758" s="51"/>
      <c r="G758" s="51"/>
      <c r="H758" s="51"/>
      <c r="I758" s="54"/>
      <c r="J758" s="54"/>
      <c r="K758" s="53"/>
      <c r="L758" s="52"/>
      <c r="M758" s="55"/>
      <c r="N758" s="52"/>
      <c r="O758" s="53"/>
      <c r="P758" s="54"/>
      <c r="Q758" s="54"/>
      <c r="R758" s="54"/>
      <c r="S758" s="54"/>
      <c r="T758" s="54"/>
      <c r="U758" s="82"/>
    </row>
    <row r="759" spans="2:21" x14ac:dyDescent="0.2">
      <c r="B759" s="51"/>
      <c r="C759" s="51"/>
      <c r="D759" s="51"/>
      <c r="E759" s="51"/>
      <c r="F759" s="51"/>
      <c r="G759" s="51"/>
      <c r="H759" s="51"/>
      <c r="I759" s="54"/>
      <c r="J759" s="54"/>
      <c r="K759" s="53"/>
      <c r="L759" s="52"/>
      <c r="M759" s="55"/>
      <c r="N759" s="52"/>
      <c r="O759" s="53"/>
      <c r="P759" s="54"/>
      <c r="Q759" s="54"/>
      <c r="R759" s="54"/>
      <c r="S759" s="54"/>
      <c r="T759" s="54"/>
      <c r="U759" s="82"/>
    </row>
    <row r="760" spans="2:21" x14ac:dyDescent="0.2">
      <c r="B760" s="51"/>
      <c r="C760" s="51"/>
      <c r="D760" s="51"/>
      <c r="E760" s="51"/>
      <c r="F760" s="51"/>
      <c r="G760" s="51"/>
      <c r="H760" s="51"/>
      <c r="I760" s="54"/>
      <c r="J760" s="54"/>
      <c r="K760" s="53"/>
      <c r="L760" s="52"/>
      <c r="M760" s="55"/>
      <c r="N760" s="52"/>
      <c r="O760" s="53"/>
      <c r="P760" s="54"/>
      <c r="Q760" s="54"/>
      <c r="R760" s="54"/>
      <c r="S760" s="54"/>
      <c r="T760" s="54"/>
      <c r="U760" s="82"/>
    </row>
    <row r="761" spans="2:21" x14ac:dyDescent="0.2">
      <c r="B761" s="51"/>
      <c r="C761" s="51"/>
      <c r="D761" s="51"/>
      <c r="E761" s="51"/>
      <c r="F761" s="51"/>
      <c r="G761" s="51"/>
      <c r="H761" s="51"/>
      <c r="I761" s="54"/>
      <c r="J761" s="54"/>
      <c r="K761" s="53"/>
      <c r="L761" s="52"/>
      <c r="M761" s="55"/>
      <c r="N761" s="52"/>
      <c r="O761" s="53"/>
      <c r="P761" s="54"/>
      <c r="Q761" s="54"/>
      <c r="R761" s="54"/>
      <c r="S761" s="54"/>
      <c r="T761" s="54"/>
      <c r="U761" s="82"/>
    </row>
    <row r="762" spans="2:21" x14ac:dyDescent="0.2">
      <c r="B762" s="51"/>
      <c r="C762" s="51"/>
      <c r="D762" s="51"/>
      <c r="E762" s="51"/>
      <c r="F762" s="51"/>
      <c r="G762" s="51"/>
      <c r="H762" s="51"/>
      <c r="I762" s="54"/>
      <c r="J762" s="54"/>
      <c r="K762" s="53"/>
      <c r="L762" s="52"/>
      <c r="M762" s="55"/>
      <c r="N762" s="52"/>
      <c r="O762" s="53"/>
      <c r="P762" s="54"/>
      <c r="Q762" s="54"/>
      <c r="R762" s="54"/>
      <c r="S762" s="54"/>
      <c r="T762" s="54"/>
      <c r="U762" s="82"/>
    </row>
    <row r="763" spans="2:21" x14ac:dyDescent="0.2">
      <c r="B763" s="51"/>
      <c r="C763" s="51"/>
      <c r="D763" s="51"/>
      <c r="E763" s="51"/>
      <c r="F763" s="51"/>
      <c r="G763" s="51"/>
      <c r="H763" s="51"/>
      <c r="I763" s="54"/>
      <c r="J763" s="54"/>
      <c r="K763" s="53"/>
      <c r="L763" s="52"/>
      <c r="M763" s="55"/>
      <c r="N763" s="52"/>
      <c r="O763" s="53"/>
      <c r="P763" s="54"/>
      <c r="Q763" s="54"/>
      <c r="R763" s="54"/>
      <c r="S763" s="54"/>
      <c r="T763" s="54"/>
      <c r="U763" s="82"/>
    </row>
    <row r="764" spans="2:21" x14ac:dyDescent="0.2">
      <c r="B764" s="51"/>
      <c r="C764" s="51"/>
      <c r="D764" s="51"/>
      <c r="E764" s="51"/>
      <c r="F764" s="51"/>
      <c r="G764" s="51"/>
      <c r="H764" s="51"/>
      <c r="I764" s="54"/>
      <c r="J764" s="54"/>
      <c r="K764" s="53"/>
      <c r="L764" s="52"/>
      <c r="M764" s="55"/>
      <c r="N764" s="52"/>
      <c r="O764" s="53"/>
      <c r="P764" s="54"/>
      <c r="Q764" s="54"/>
      <c r="R764" s="54"/>
      <c r="S764" s="54"/>
      <c r="T764" s="54"/>
      <c r="U764" s="82"/>
    </row>
    <row r="765" spans="2:21" x14ac:dyDescent="0.2">
      <c r="B765" s="51"/>
      <c r="C765" s="51"/>
      <c r="D765" s="51"/>
      <c r="E765" s="51"/>
      <c r="F765" s="51"/>
      <c r="G765" s="51"/>
      <c r="H765" s="51"/>
      <c r="I765" s="54"/>
      <c r="J765" s="54"/>
      <c r="K765" s="53"/>
      <c r="L765" s="52"/>
      <c r="M765" s="55"/>
      <c r="N765" s="52"/>
      <c r="O765" s="53"/>
      <c r="P765" s="54"/>
      <c r="Q765" s="54"/>
      <c r="R765" s="54"/>
      <c r="S765" s="54"/>
      <c r="T765" s="54"/>
      <c r="U765" s="82"/>
    </row>
    <row r="766" spans="2:21" x14ac:dyDescent="0.2">
      <c r="B766" s="51"/>
      <c r="C766" s="51"/>
      <c r="D766" s="51"/>
      <c r="E766" s="51"/>
      <c r="F766" s="51"/>
      <c r="G766" s="51"/>
      <c r="H766" s="51"/>
      <c r="I766" s="54"/>
      <c r="J766" s="54"/>
      <c r="K766" s="53"/>
      <c r="L766" s="52"/>
      <c r="M766" s="55"/>
      <c r="N766" s="52"/>
      <c r="O766" s="53"/>
      <c r="P766" s="54"/>
      <c r="Q766" s="54"/>
      <c r="R766" s="54"/>
      <c r="S766" s="54"/>
      <c r="T766" s="54"/>
      <c r="U766" s="82"/>
    </row>
    <row r="767" spans="2:21" x14ac:dyDescent="0.2">
      <c r="B767" s="51"/>
      <c r="C767" s="51"/>
      <c r="D767" s="51"/>
      <c r="E767" s="51"/>
      <c r="F767" s="51"/>
      <c r="G767" s="51"/>
      <c r="H767" s="51"/>
      <c r="I767" s="54"/>
      <c r="J767" s="54"/>
      <c r="K767" s="53"/>
      <c r="L767" s="52"/>
      <c r="M767" s="55"/>
      <c r="N767" s="52"/>
      <c r="O767" s="53"/>
      <c r="P767" s="54"/>
      <c r="Q767" s="54"/>
      <c r="R767" s="54"/>
      <c r="S767" s="54"/>
      <c r="T767" s="54"/>
      <c r="U767" s="82"/>
    </row>
    <row r="768" spans="2:21" x14ac:dyDescent="0.2">
      <c r="B768" s="51"/>
      <c r="C768" s="51"/>
      <c r="D768" s="51"/>
      <c r="E768" s="51"/>
      <c r="F768" s="51"/>
      <c r="G768" s="51"/>
      <c r="H768" s="51"/>
      <c r="I768" s="54"/>
      <c r="J768" s="54"/>
      <c r="K768" s="53"/>
      <c r="L768" s="52"/>
      <c r="M768" s="55"/>
      <c r="N768" s="52"/>
      <c r="O768" s="53"/>
      <c r="P768" s="54"/>
      <c r="Q768" s="54"/>
      <c r="R768" s="54"/>
      <c r="S768" s="54"/>
      <c r="T768" s="54"/>
      <c r="U768" s="82"/>
    </row>
    <row r="769" spans="2:21" x14ac:dyDescent="0.2">
      <c r="B769" s="51"/>
      <c r="C769" s="51"/>
      <c r="D769" s="51"/>
      <c r="E769" s="51"/>
      <c r="F769" s="51"/>
      <c r="G769" s="51"/>
      <c r="H769" s="51"/>
      <c r="I769" s="54"/>
      <c r="J769" s="54"/>
      <c r="K769" s="53"/>
      <c r="L769" s="52"/>
      <c r="M769" s="55"/>
      <c r="N769" s="52"/>
      <c r="O769" s="53"/>
      <c r="P769" s="54"/>
      <c r="Q769" s="54"/>
      <c r="R769" s="54"/>
      <c r="S769" s="54"/>
      <c r="T769" s="54"/>
      <c r="U769" s="82"/>
    </row>
    <row r="770" spans="2:21" x14ac:dyDescent="0.2">
      <c r="B770" s="51"/>
      <c r="C770" s="51"/>
      <c r="D770" s="51"/>
      <c r="E770" s="51"/>
      <c r="F770" s="51"/>
      <c r="G770" s="51"/>
      <c r="H770" s="51"/>
      <c r="I770" s="54"/>
      <c r="J770" s="54"/>
      <c r="K770" s="53"/>
      <c r="L770" s="52"/>
      <c r="M770" s="55"/>
      <c r="N770" s="52"/>
      <c r="O770" s="53"/>
      <c r="P770" s="54"/>
      <c r="Q770" s="54"/>
      <c r="R770" s="54"/>
      <c r="S770" s="54"/>
      <c r="T770" s="54"/>
      <c r="U770" s="82"/>
    </row>
    <row r="771" spans="2:21" x14ac:dyDescent="0.2">
      <c r="B771" s="51"/>
      <c r="C771" s="51"/>
      <c r="D771" s="51"/>
      <c r="E771" s="51"/>
      <c r="F771" s="51"/>
      <c r="G771" s="51"/>
      <c r="H771" s="51"/>
      <c r="I771" s="54"/>
      <c r="J771" s="54"/>
      <c r="K771" s="53"/>
      <c r="L771" s="52"/>
      <c r="M771" s="55"/>
      <c r="N771" s="52"/>
      <c r="O771" s="53"/>
      <c r="P771" s="54"/>
      <c r="Q771" s="54"/>
      <c r="R771" s="54"/>
      <c r="S771" s="54"/>
      <c r="T771" s="54"/>
      <c r="U771" s="82"/>
    </row>
    <row r="772" spans="2:21" x14ac:dyDescent="0.2">
      <c r="B772" s="51"/>
      <c r="C772" s="51"/>
      <c r="D772" s="51"/>
      <c r="E772" s="51"/>
      <c r="F772" s="51"/>
      <c r="G772" s="51"/>
      <c r="H772" s="51"/>
      <c r="I772" s="54"/>
      <c r="J772" s="54"/>
      <c r="K772" s="53"/>
      <c r="L772" s="52"/>
      <c r="M772" s="55"/>
      <c r="N772" s="52"/>
      <c r="O772" s="53"/>
      <c r="P772" s="54"/>
      <c r="Q772" s="54"/>
      <c r="R772" s="54"/>
      <c r="S772" s="54"/>
      <c r="T772" s="54"/>
      <c r="U772" s="82"/>
    </row>
    <row r="773" spans="2:21" x14ac:dyDescent="0.2">
      <c r="B773" s="51"/>
      <c r="C773" s="51"/>
      <c r="D773" s="51"/>
      <c r="E773" s="51"/>
      <c r="F773" s="51"/>
      <c r="G773" s="51"/>
      <c r="H773" s="51"/>
      <c r="I773" s="54"/>
      <c r="J773" s="54"/>
      <c r="K773" s="53"/>
      <c r="L773" s="52"/>
      <c r="M773" s="55"/>
      <c r="N773" s="52"/>
      <c r="O773" s="53"/>
      <c r="P773" s="54"/>
      <c r="Q773" s="54"/>
      <c r="R773" s="54"/>
      <c r="S773" s="54"/>
      <c r="T773" s="54"/>
      <c r="U773" s="82"/>
    </row>
    <row r="774" spans="2:21" x14ac:dyDescent="0.2">
      <c r="B774" s="51"/>
      <c r="C774" s="51"/>
      <c r="D774" s="51"/>
      <c r="E774" s="51"/>
      <c r="F774" s="51"/>
      <c r="G774" s="51"/>
      <c r="H774" s="51"/>
      <c r="I774" s="54"/>
      <c r="J774" s="54"/>
      <c r="K774" s="53"/>
      <c r="L774" s="52"/>
      <c r="M774" s="55"/>
      <c r="N774" s="52"/>
      <c r="O774" s="53"/>
      <c r="P774" s="54"/>
      <c r="Q774" s="54"/>
      <c r="R774" s="54"/>
      <c r="S774" s="54"/>
      <c r="T774" s="54"/>
      <c r="U774" s="82"/>
    </row>
    <row r="775" spans="2:21" x14ac:dyDescent="0.2">
      <c r="B775" s="51"/>
      <c r="C775" s="51"/>
      <c r="D775" s="51"/>
      <c r="E775" s="51"/>
      <c r="F775" s="51"/>
      <c r="G775" s="51"/>
      <c r="H775" s="51"/>
      <c r="I775" s="54"/>
      <c r="J775" s="54"/>
      <c r="K775" s="53"/>
      <c r="L775" s="52"/>
      <c r="M775" s="55"/>
      <c r="N775" s="52"/>
      <c r="O775" s="53"/>
      <c r="P775" s="54"/>
      <c r="Q775" s="54"/>
      <c r="R775" s="54"/>
      <c r="S775" s="54"/>
      <c r="T775" s="54"/>
      <c r="U775" s="82"/>
    </row>
    <row r="776" spans="2:21" x14ac:dyDescent="0.2">
      <c r="B776" s="51"/>
      <c r="C776" s="51"/>
      <c r="D776" s="51"/>
      <c r="E776" s="51"/>
      <c r="F776" s="51"/>
      <c r="G776" s="51"/>
      <c r="H776" s="51"/>
      <c r="I776" s="54"/>
      <c r="J776" s="54"/>
      <c r="K776" s="53"/>
      <c r="L776" s="52"/>
      <c r="M776" s="55"/>
      <c r="N776" s="52"/>
      <c r="O776" s="53"/>
      <c r="P776" s="54"/>
      <c r="Q776" s="54"/>
      <c r="R776" s="54"/>
      <c r="S776" s="54"/>
      <c r="T776" s="54"/>
      <c r="U776" s="82"/>
    </row>
    <row r="777" spans="2:21" x14ac:dyDescent="0.2">
      <c r="B777" s="51"/>
      <c r="C777" s="51"/>
      <c r="D777" s="51"/>
      <c r="E777" s="51"/>
      <c r="F777" s="51"/>
      <c r="G777" s="51"/>
      <c r="H777" s="51"/>
      <c r="I777" s="54"/>
      <c r="J777" s="54"/>
      <c r="K777" s="53"/>
      <c r="L777" s="52"/>
      <c r="M777" s="55"/>
      <c r="N777" s="52"/>
      <c r="O777" s="53"/>
      <c r="P777" s="54"/>
      <c r="Q777" s="54"/>
      <c r="R777" s="54"/>
      <c r="S777" s="54"/>
      <c r="T777" s="54"/>
      <c r="U777" s="82"/>
    </row>
    <row r="778" spans="2:21" x14ac:dyDescent="0.2">
      <c r="B778" s="51"/>
      <c r="C778" s="51"/>
      <c r="D778" s="51"/>
      <c r="E778" s="51"/>
      <c r="F778" s="51"/>
      <c r="G778" s="51"/>
      <c r="H778" s="51"/>
      <c r="I778" s="54"/>
      <c r="J778" s="54"/>
      <c r="K778" s="53"/>
      <c r="L778" s="52"/>
      <c r="M778" s="55"/>
      <c r="N778" s="52"/>
      <c r="O778" s="53"/>
      <c r="P778" s="54"/>
      <c r="Q778" s="54"/>
      <c r="R778" s="54"/>
      <c r="S778" s="54"/>
      <c r="T778" s="54"/>
      <c r="U778" s="82"/>
    </row>
    <row r="779" spans="2:21" x14ac:dyDescent="0.2">
      <c r="B779" s="51"/>
      <c r="C779" s="51"/>
      <c r="D779" s="51"/>
      <c r="E779" s="51"/>
      <c r="F779" s="51"/>
      <c r="G779" s="51"/>
      <c r="H779" s="51"/>
      <c r="I779" s="54"/>
      <c r="J779" s="54"/>
      <c r="K779" s="53"/>
      <c r="L779" s="52"/>
      <c r="M779" s="55"/>
      <c r="N779" s="52"/>
      <c r="O779" s="53"/>
      <c r="P779" s="54"/>
      <c r="Q779" s="54"/>
      <c r="R779" s="54"/>
      <c r="S779" s="54"/>
      <c r="T779" s="54"/>
      <c r="U779" s="82"/>
    </row>
    <row r="780" spans="2:21" x14ac:dyDescent="0.2">
      <c r="B780" s="51"/>
      <c r="C780" s="51"/>
      <c r="D780" s="51"/>
      <c r="E780" s="51"/>
      <c r="F780" s="51"/>
      <c r="G780" s="51"/>
      <c r="H780" s="51"/>
      <c r="I780" s="54"/>
      <c r="J780" s="54"/>
      <c r="K780" s="53"/>
      <c r="L780" s="52"/>
      <c r="M780" s="55"/>
      <c r="N780" s="52"/>
      <c r="O780" s="53"/>
      <c r="P780" s="54"/>
      <c r="Q780" s="54"/>
      <c r="R780" s="54"/>
      <c r="S780" s="54"/>
      <c r="T780" s="54"/>
      <c r="U780" s="82"/>
    </row>
    <row r="781" spans="2:21" x14ac:dyDescent="0.2">
      <c r="B781" s="51"/>
      <c r="C781" s="51"/>
      <c r="D781" s="51"/>
      <c r="E781" s="51"/>
      <c r="F781" s="51"/>
      <c r="G781" s="51"/>
      <c r="H781" s="51"/>
      <c r="I781" s="54"/>
      <c r="J781" s="54"/>
      <c r="K781" s="53"/>
      <c r="L781" s="52"/>
      <c r="M781" s="55"/>
      <c r="N781" s="52"/>
      <c r="O781" s="53"/>
      <c r="P781" s="54"/>
      <c r="Q781" s="54"/>
      <c r="R781" s="54"/>
      <c r="S781" s="54"/>
      <c r="T781" s="54"/>
      <c r="U781" s="82"/>
    </row>
    <row r="782" spans="2:21" x14ac:dyDescent="0.2">
      <c r="B782" s="51"/>
      <c r="C782" s="51"/>
      <c r="D782" s="51"/>
      <c r="E782" s="51"/>
      <c r="F782" s="51"/>
      <c r="G782" s="51"/>
      <c r="H782" s="51"/>
      <c r="I782" s="54"/>
      <c r="J782" s="54"/>
      <c r="K782" s="53"/>
      <c r="L782" s="52"/>
      <c r="M782" s="55"/>
      <c r="N782" s="52"/>
      <c r="O782" s="53"/>
      <c r="P782" s="54"/>
      <c r="Q782" s="54"/>
      <c r="R782" s="54"/>
      <c r="S782" s="54"/>
      <c r="T782" s="54"/>
      <c r="U782" s="82"/>
    </row>
    <row r="783" spans="2:21" x14ac:dyDescent="0.2">
      <c r="B783" s="51"/>
      <c r="C783" s="51"/>
      <c r="D783" s="51"/>
      <c r="E783" s="51"/>
      <c r="F783" s="51"/>
      <c r="G783" s="51"/>
      <c r="H783" s="51"/>
      <c r="I783" s="54"/>
      <c r="J783" s="54"/>
      <c r="K783" s="53"/>
      <c r="L783" s="52"/>
      <c r="M783" s="55"/>
      <c r="N783" s="52"/>
      <c r="O783" s="53"/>
      <c r="P783" s="54"/>
      <c r="Q783" s="54"/>
      <c r="R783" s="54"/>
      <c r="S783" s="54"/>
      <c r="T783" s="54"/>
      <c r="U783" s="82"/>
    </row>
    <row r="784" spans="2:21" x14ac:dyDescent="0.2">
      <c r="B784" s="51"/>
      <c r="C784" s="51"/>
      <c r="D784" s="51"/>
      <c r="E784" s="51"/>
      <c r="F784" s="51"/>
      <c r="G784" s="51"/>
      <c r="H784" s="51"/>
      <c r="I784" s="54"/>
      <c r="J784" s="54"/>
      <c r="K784" s="53"/>
      <c r="L784" s="52"/>
      <c r="M784" s="55"/>
      <c r="N784" s="52"/>
      <c r="O784" s="53"/>
      <c r="P784" s="54"/>
      <c r="Q784" s="54"/>
      <c r="R784" s="54"/>
      <c r="S784" s="54"/>
      <c r="T784" s="54"/>
      <c r="U784" s="82"/>
    </row>
    <row r="785" spans="2:21" x14ac:dyDescent="0.2">
      <c r="B785" s="51"/>
      <c r="C785" s="51"/>
      <c r="D785" s="51"/>
      <c r="E785" s="51"/>
      <c r="F785" s="51"/>
      <c r="G785" s="51"/>
      <c r="H785" s="51"/>
      <c r="I785" s="54"/>
      <c r="J785" s="54"/>
      <c r="K785" s="53"/>
      <c r="L785" s="52"/>
      <c r="M785" s="55"/>
      <c r="N785" s="52"/>
      <c r="O785" s="53"/>
      <c r="P785" s="54"/>
      <c r="Q785" s="54"/>
      <c r="R785" s="54"/>
      <c r="S785" s="54"/>
      <c r="T785" s="54"/>
      <c r="U785" s="82"/>
    </row>
    <row r="786" spans="2:21" x14ac:dyDescent="0.2">
      <c r="B786" s="51"/>
      <c r="C786" s="51"/>
      <c r="D786" s="51"/>
      <c r="E786" s="51"/>
      <c r="F786" s="51"/>
      <c r="G786" s="51"/>
      <c r="H786" s="51"/>
      <c r="I786" s="54"/>
      <c r="J786" s="54"/>
      <c r="K786" s="53"/>
      <c r="L786" s="52"/>
      <c r="M786" s="55"/>
      <c r="N786" s="52"/>
      <c r="O786" s="53"/>
      <c r="P786" s="54"/>
      <c r="Q786" s="54"/>
      <c r="R786" s="54"/>
      <c r="S786" s="54"/>
      <c r="T786" s="54"/>
      <c r="U786" s="82"/>
    </row>
    <row r="787" spans="2:21" x14ac:dyDescent="0.2">
      <c r="B787" s="51"/>
      <c r="C787" s="51"/>
      <c r="D787" s="51"/>
      <c r="E787" s="51"/>
      <c r="F787" s="51"/>
      <c r="G787" s="51"/>
      <c r="H787" s="51"/>
      <c r="I787" s="54"/>
      <c r="J787" s="54"/>
      <c r="K787" s="53"/>
      <c r="L787" s="52"/>
      <c r="M787" s="55"/>
      <c r="N787" s="52"/>
      <c r="O787" s="53"/>
      <c r="P787" s="54"/>
      <c r="Q787" s="54"/>
      <c r="R787" s="54"/>
      <c r="S787" s="54"/>
      <c r="T787" s="54"/>
      <c r="U787" s="82"/>
    </row>
    <row r="788" spans="2:21" x14ac:dyDescent="0.2">
      <c r="B788" s="51"/>
      <c r="C788" s="51"/>
      <c r="D788" s="51"/>
      <c r="E788" s="51"/>
      <c r="F788" s="51"/>
      <c r="G788" s="51"/>
      <c r="H788" s="51"/>
      <c r="I788" s="54"/>
      <c r="J788" s="54"/>
      <c r="K788" s="53"/>
      <c r="L788" s="52"/>
      <c r="M788" s="55"/>
      <c r="N788" s="52"/>
      <c r="O788" s="53"/>
      <c r="P788" s="54"/>
      <c r="Q788" s="54"/>
      <c r="R788" s="54"/>
      <c r="S788" s="54"/>
      <c r="T788" s="54"/>
      <c r="U788" s="82"/>
    </row>
    <row r="789" spans="2:21" x14ac:dyDescent="0.2">
      <c r="B789" s="51"/>
      <c r="C789" s="51"/>
      <c r="D789" s="51"/>
      <c r="E789" s="51"/>
      <c r="F789" s="51"/>
      <c r="G789" s="51"/>
      <c r="H789" s="51"/>
      <c r="I789" s="54"/>
      <c r="J789" s="54"/>
      <c r="K789" s="53"/>
      <c r="L789" s="52"/>
      <c r="M789" s="55"/>
      <c r="N789" s="52"/>
      <c r="O789" s="53"/>
      <c r="P789" s="54"/>
      <c r="Q789" s="54"/>
      <c r="R789" s="54"/>
      <c r="S789" s="54"/>
      <c r="T789" s="54"/>
      <c r="U789" s="82"/>
    </row>
    <row r="790" spans="2:21" x14ac:dyDescent="0.2">
      <c r="B790" s="51"/>
      <c r="C790" s="51"/>
      <c r="D790" s="51"/>
      <c r="E790" s="51"/>
      <c r="F790" s="51"/>
      <c r="G790" s="51"/>
      <c r="H790" s="51"/>
      <c r="I790" s="54"/>
      <c r="J790" s="54"/>
      <c r="K790" s="53"/>
      <c r="L790" s="52"/>
      <c r="M790" s="55"/>
      <c r="N790" s="52"/>
      <c r="O790" s="53"/>
      <c r="P790" s="54"/>
      <c r="Q790" s="54"/>
      <c r="R790" s="54"/>
      <c r="S790" s="54"/>
      <c r="T790" s="54"/>
      <c r="U790" s="82"/>
    </row>
    <row r="791" spans="2:21" x14ac:dyDescent="0.2">
      <c r="B791" s="51"/>
      <c r="C791" s="51"/>
      <c r="D791" s="51"/>
      <c r="E791" s="51"/>
      <c r="F791" s="51"/>
      <c r="G791" s="51"/>
      <c r="H791" s="51"/>
      <c r="I791" s="54"/>
      <c r="J791" s="54"/>
      <c r="K791" s="53"/>
      <c r="L791" s="52"/>
      <c r="M791" s="55"/>
      <c r="N791" s="52"/>
      <c r="O791" s="53"/>
      <c r="P791" s="54"/>
      <c r="Q791" s="54"/>
      <c r="R791" s="54"/>
      <c r="S791" s="54"/>
      <c r="T791" s="54"/>
      <c r="U791" s="82"/>
    </row>
    <row r="792" spans="2:21" x14ac:dyDescent="0.2">
      <c r="B792" s="51"/>
      <c r="C792" s="51"/>
      <c r="D792" s="51"/>
      <c r="E792" s="51"/>
      <c r="F792" s="51"/>
      <c r="G792" s="51"/>
      <c r="H792" s="51"/>
      <c r="I792" s="54"/>
      <c r="J792" s="54"/>
      <c r="K792" s="53"/>
      <c r="L792" s="52"/>
      <c r="M792" s="55"/>
      <c r="N792" s="52"/>
      <c r="O792" s="53"/>
      <c r="P792" s="54"/>
      <c r="Q792" s="54"/>
      <c r="R792" s="54"/>
      <c r="S792" s="54"/>
      <c r="T792" s="54"/>
      <c r="U792" s="82"/>
    </row>
    <row r="793" spans="2:21" x14ac:dyDescent="0.2">
      <c r="B793" s="51"/>
      <c r="C793" s="51"/>
      <c r="D793" s="51"/>
      <c r="E793" s="51"/>
      <c r="F793" s="51"/>
      <c r="G793" s="51"/>
      <c r="H793" s="51"/>
      <c r="I793" s="54"/>
      <c r="J793" s="54"/>
      <c r="K793" s="53"/>
      <c r="L793" s="52"/>
      <c r="M793" s="55"/>
      <c r="N793" s="52"/>
      <c r="O793" s="53"/>
      <c r="P793" s="54"/>
      <c r="Q793" s="54"/>
      <c r="R793" s="54"/>
      <c r="S793" s="54"/>
      <c r="T793" s="54"/>
      <c r="U793" s="82"/>
    </row>
    <row r="794" spans="2:21" x14ac:dyDescent="0.2">
      <c r="B794" s="51"/>
      <c r="C794" s="51"/>
      <c r="D794" s="51"/>
      <c r="E794" s="51"/>
      <c r="F794" s="51"/>
      <c r="G794" s="51"/>
      <c r="H794" s="51"/>
      <c r="I794" s="54"/>
      <c r="J794" s="54"/>
      <c r="K794" s="53"/>
      <c r="L794" s="52"/>
      <c r="M794" s="55"/>
      <c r="N794" s="52"/>
      <c r="O794" s="53"/>
      <c r="P794" s="54"/>
      <c r="Q794" s="54"/>
      <c r="R794" s="54"/>
      <c r="S794" s="54"/>
      <c r="T794" s="54"/>
      <c r="U794" s="82"/>
    </row>
    <row r="795" spans="2:21" x14ac:dyDescent="0.2">
      <c r="B795" s="51"/>
      <c r="C795" s="51"/>
      <c r="D795" s="51"/>
      <c r="E795" s="51"/>
      <c r="F795" s="51"/>
      <c r="G795" s="51"/>
      <c r="H795" s="51"/>
      <c r="I795" s="54"/>
      <c r="J795" s="54"/>
      <c r="K795" s="53"/>
      <c r="L795" s="52"/>
      <c r="M795" s="55"/>
      <c r="N795" s="52"/>
      <c r="O795" s="53"/>
      <c r="P795" s="54"/>
      <c r="Q795" s="54"/>
      <c r="R795" s="54"/>
      <c r="S795" s="54"/>
      <c r="T795" s="54"/>
      <c r="U795" s="82"/>
    </row>
    <row r="796" spans="2:21" x14ac:dyDescent="0.2">
      <c r="B796" s="51"/>
      <c r="C796" s="51"/>
      <c r="D796" s="51"/>
      <c r="E796" s="51"/>
      <c r="F796" s="51"/>
      <c r="G796" s="51"/>
      <c r="H796" s="51"/>
      <c r="I796" s="54"/>
      <c r="J796" s="54"/>
      <c r="K796" s="53"/>
      <c r="L796" s="52"/>
      <c r="M796" s="55"/>
      <c r="N796" s="52"/>
      <c r="O796" s="53"/>
      <c r="P796" s="54"/>
      <c r="Q796" s="54"/>
      <c r="R796" s="54"/>
      <c r="S796" s="54"/>
      <c r="T796" s="54"/>
      <c r="U796" s="82"/>
    </row>
    <row r="797" spans="2:21" x14ac:dyDescent="0.2">
      <c r="B797" s="51"/>
      <c r="C797" s="51"/>
      <c r="D797" s="51"/>
      <c r="E797" s="51"/>
      <c r="F797" s="51"/>
      <c r="G797" s="51"/>
      <c r="H797" s="51"/>
      <c r="I797" s="54"/>
      <c r="J797" s="54"/>
      <c r="K797" s="53"/>
      <c r="L797" s="52"/>
      <c r="M797" s="55"/>
      <c r="N797" s="52"/>
      <c r="O797" s="53"/>
      <c r="P797" s="54"/>
      <c r="Q797" s="54"/>
      <c r="R797" s="54"/>
      <c r="S797" s="54"/>
      <c r="T797" s="54"/>
      <c r="U797" s="82"/>
    </row>
    <row r="798" spans="2:21" x14ac:dyDescent="0.2">
      <c r="B798" s="51"/>
      <c r="C798" s="51"/>
      <c r="D798" s="51"/>
      <c r="E798" s="51"/>
      <c r="F798" s="51"/>
      <c r="G798" s="51"/>
      <c r="H798" s="51"/>
      <c r="I798" s="54"/>
      <c r="J798" s="54"/>
      <c r="K798" s="53"/>
      <c r="L798" s="52"/>
      <c r="M798" s="55"/>
      <c r="N798" s="52"/>
      <c r="O798" s="53"/>
      <c r="P798" s="54"/>
      <c r="Q798" s="54"/>
      <c r="R798" s="54"/>
      <c r="S798" s="54"/>
      <c r="T798" s="54"/>
      <c r="U798" s="82"/>
    </row>
    <row r="799" spans="2:21" x14ac:dyDescent="0.2">
      <c r="B799" s="51"/>
      <c r="C799" s="51"/>
      <c r="D799" s="51"/>
      <c r="E799" s="51"/>
      <c r="F799" s="51"/>
      <c r="G799" s="51"/>
      <c r="H799" s="51"/>
      <c r="I799" s="54"/>
      <c r="J799" s="54"/>
      <c r="K799" s="53"/>
      <c r="L799" s="52"/>
      <c r="M799" s="55"/>
      <c r="N799" s="52"/>
      <c r="O799" s="53"/>
      <c r="P799" s="54"/>
      <c r="Q799" s="54"/>
      <c r="R799" s="54"/>
      <c r="S799" s="54"/>
      <c r="T799" s="54"/>
      <c r="U799" s="82"/>
    </row>
    <row r="800" spans="2:21" x14ac:dyDescent="0.2">
      <c r="B800" s="51"/>
      <c r="C800" s="51"/>
      <c r="D800" s="51"/>
      <c r="E800" s="51"/>
      <c r="F800" s="51"/>
      <c r="G800" s="51"/>
      <c r="H800" s="51"/>
      <c r="I800" s="54"/>
      <c r="J800" s="54"/>
      <c r="K800" s="53"/>
      <c r="L800" s="52"/>
      <c r="M800" s="55"/>
      <c r="N800" s="52"/>
      <c r="O800" s="53"/>
      <c r="P800" s="54"/>
      <c r="Q800" s="54"/>
      <c r="R800" s="54"/>
      <c r="S800" s="54"/>
      <c r="T800" s="54"/>
      <c r="U800" s="82"/>
    </row>
    <row r="801" spans="2:21" x14ac:dyDescent="0.2">
      <c r="B801" s="51"/>
      <c r="C801" s="51"/>
      <c r="D801" s="51"/>
      <c r="E801" s="51"/>
      <c r="F801" s="51"/>
      <c r="G801" s="51"/>
      <c r="H801" s="51"/>
      <c r="I801" s="54"/>
      <c r="J801" s="54"/>
      <c r="K801" s="53"/>
      <c r="L801" s="52"/>
      <c r="M801" s="55"/>
      <c r="N801" s="52"/>
      <c r="O801" s="53"/>
      <c r="P801" s="54"/>
      <c r="Q801" s="54"/>
      <c r="R801" s="54"/>
      <c r="S801" s="54"/>
      <c r="T801" s="54"/>
      <c r="U801" s="82"/>
    </row>
    <row r="802" spans="2:21" x14ac:dyDescent="0.2">
      <c r="B802" s="51"/>
      <c r="C802" s="51"/>
      <c r="D802" s="51"/>
      <c r="E802" s="51"/>
      <c r="F802" s="51"/>
      <c r="G802" s="51"/>
      <c r="H802" s="51"/>
      <c r="I802" s="54"/>
      <c r="J802" s="54"/>
      <c r="K802" s="53"/>
      <c r="L802" s="52"/>
      <c r="M802" s="55"/>
      <c r="N802" s="52"/>
      <c r="O802" s="53"/>
      <c r="P802" s="54"/>
      <c r="Q802" s="54"/>
      <c r="R802" s="54"/>
      <c r="S802" s="54"/>
      <c r="T802" s="54"/>
      <c r="U802" s="82"/>
    </row>
    <row r="803" spans="2:21" x14ac:dyDescent="0.2">
      <c r="B803" s="51"/>
      <c r="C803" s="51"/>
      <c r="D803" s="51"/>
      <c r="E803" s="51"/>
      <c r="F803" s="51"/>
      <c r="G803" s="51"/>
      <c r="H803" s="51"/>
      <c r="I803" s="54"/>
      <c r="J803" s="54"/>
      <c r="K803" s="53"/>
      <c r="L803" s="52"/>
      <c r="M803" s="55"/>
      <c r="N803" s="52"/>
      <c r="O803" s="53"/>
      <c r="P803" s="54"/>
      <c r="Q803" s="54"/>
      <c r="R803" s="54"/>
      <c r="S803" s="54"/>
      <c r="T803" s="54"/>
      <c r="U803" s="82"/>
    </row>
    <row r="804" spans="2:21" x14ac:dyDescent="0.2">
      <c r="B804" s="51"/>
      <c r="C804" s="51"/>
      <c r="D804" s="51"/>
      <c r="E804" s="51"/>
      <c r="F804" s="51"/>
      <c r="G804" s="51"/>
      <c r="H804" s="51"/>
      <c r="I804" s="54"/>
      <c r="J804" s="54"/>
      <c r="K804" s="53"/>
      <c r="L804" s="52"/>
      <c r="M804" s="55"/>
      <c r="N804" s="52"/>
      <c r="O804" s="53"/>
      <c r="P804" s="54"/>
      <c r="Q804" s="54"/>
      <c r="R804" s="54"/>
      <c r="S804" s="54"/>
      <c r="T804" s="54"/>
      <c r="U804" s="82"/>
    </row>
    <row r="805" spans="2:21" x14ac:dyDescent="0.2">
      <c r="B805" s="51"/>
      <c r="C805" s="51"/>
      <c r="D805" s="51"/>
      <c r="E805" s="51"/>
      <c r="F805" s="51"/>
      <c r="G805" s="51"/>
      <c r="H805" s="51"/>
      <c r="I805" s="54"/>
      <c r="J805" s="54"/>
      <c r="K805" s="53"/>
      <c r="L805" s="52"/>
      <c r="M805" s="55"/>
      <c r="N805" s="52"/>
      <c r="O805" s="53"/>
      <c r="P805" s="54"/>
      <c r="Q805" s="54"/>
      <c r="R805" s="54"/>
      <c r="S805" s="54"/>
      <c r="T805" s="54"/>
      <c r="U805" s="82"/>
    </row>
    <row r="806" spans="2:21" x14ac:dyDescent="0.2">
      <c r="B806" s="51"/>
      <c r="C806" s="51"/>
      <c r="D806" s="51"/>
      <c r="E806" s="51"/>
      <c r="F806" s="51"/>
      <c r="G806" s="51"/>
      <c r="H806" s="51"/>
      <c r="I806" s="54"/>
      <c r="J806" s="54"/>
      <c r="K806" s="53"/>
      <c r="L806" s="52"/>
      <c r="M806" s="55"/>
      <c r="N806" s="52"/>
      <c r="O806" s="53"/>
      <c r="P806" s="54"/>
      <c r="Q806" s="54"/>
      <c r="R806" s="54"/>
      <c r="S806" s="54"/>
      <c r="T806" s="54"/>
      <c r="U806" s="82"/>
    </row>
    <row r="807" spans="2:21" x14ac:dyDescent="0.2">
      <c r="B807" s="51"/>
      <c r="C807" s="51"/>
      <c r="D807" s="51"/>
      <c r="E807" s="51"/>
      <c r="F807" s="51"/>
      <c r="G807" s="51"/>
      <c r="H807" s="51"/>
      <c r="I807" s="54"/>
      <c r="J807" s="54"/>
      <c r="K807" s="53"/>
      <c r="L807" s="52"/>
      <c r="M807" s="55"/>
      <c r="N807" s="52"/>
      <c r="O807" s="53"/>
      <c r="P807" s="54"/>
      <c r="Q807" s="54"/>
      <c r="R807" s="54"/>
      <c r="S807" s="54"/>
      <c r="T807" s="54"/>
      <c r="U807" s="82"/>
    </row>
    <row r="808" spans="2:21" x14ac:dyDescent="0.2">
      <c r="B808" s="51"/>
      <c r="C808" s="51"/>
      <c r="D808" s="51"/>
      <c r="E808" s="51"/>
      <c r="F808" s="51"/>
      <c r="G808" s="51"/>
      <c r="H808" s="51"/>
      <c r="I808" s="54"/>
      <c r="J808" s="54"/>
      <c r="K808" s="53"/>
      <c r="L808" s="52"/>
      <c r="M808" s="55"/>
      <c r="N808" s="52"/>
      <c r="O808" s="53"/>
      <c r="P808" s="54"/>
      <c r="Q808" s="54"/>
      <c r="R808" s="54"/>
      <c r="S808" s="54"/>
      <c r="T808" s="54"/>
      <c r="U808" s="82"/>
    </row>
    <row r="809" spans="2:21" x14ac:dyDescent="0.2">
      <c r="B809" s="51"/>
      <c r="C809" s="51"/>
      <c r="D809" s="51"/>
      <c r="E809" s="51"/>
      <c r="F809" s="51"/>
      <c r="G809" s="51"/>
      <c r="H809" s="51"/>
      <c r="I809" s="54"/>
      <c r="J809" s="54"/>
      <c r="K809" s="53"/>
      <c r="L809" s="52"/>
      <c r="M809" s="55"/>
      <c r="N809" s="52"/>
      <c r="O809" s="53"/>
      <c r="P809" s="54"/>
      <c r="Q809" s="54"/>
      <c r="R809" s="54"/>
      <c r="S809" s="54"/>
      <c r="T809" s="54"/>
      <c r="U809" s="82"/>
    </row>
    <row r="810" spans="2:21" x14ac:dyDescent="0.2">
      <c r="B810" s="51"/>
      <c r="C810" s="51"/>
      <c r="D810" s="51"/>
      <c r="E810" s="51"/>
      <c r="F810" s="51"/>
      <c r="G810" s="51"/>
      <c r="H810" s="51"/>
      <c r="I810" s="54"/>
      <c r="J810" s="54"/>
      <c r="K810" s="53"/>
      <c r="L810" s="52"/>
      <c r="M810" s="55"/>
      <c r="N810" s="52"/>
      <c r="O810" s="53"/>
      <c r="P810" s="54"/>
      <c r="Q810" s="54"/>
      <c r="R810" s="54"/>
      <c r="S810" s="54"/>
      <c r="T810" s="54"/>
      <c r="U810" s="82"/>
    </row>
    <row r="811" spans="2:21" x14ac:dyDescent="0.2">
      <c r="B811" s="51"/>
      <c r="C811" s="51"/>
      <c r="D811" s="51"/>
      <c r="E811" s="51"/>
      <c r="F811" s="51"/>
      <c r="G811" s="51"/>
      <c r="H811" s="51"/>
      <c r="I811" s="54"/>
      <c r="J811" s="54"/>
      <c r="K811" s="53"/>
      <c r="L811" s="52"/>
      <c r="M811" s="55"/>
      <c r="N811" s="52"/>
      <c r="O811" s="53"/>
      <c r="P811" s="54"/>
      <c r="Q811" s="54"/>
      <c r="R811" s="54"/>
      <c r="S811" s="54"/>
      <c r="T811" s="54"/>
      <c r="U811" s="82"/>
    </row>
    <row r="812" spans="2:21" x14ac:dyDescent="0.2">
      <c r="B812" s="51"/>
      <c r="C812" s="51"/>
      <c r="D812" s="51"/>
      <c r="E812" s="51"/>
      <c r="F812" s="51"/>
      <c r="G812" s="51"/>
      <c r="H812" s="51"/>
      <c r="I812" s="54"/>
      <c r="J812" s="54"/>
      <c r="K812" s="53"/>
      <c r="L812" s="52"/>
      <c r="M812" s="55"/>
      <c r="N812" s="52"/>
      <c r="O812" s="53"/>
      <c r="P812" s="54"/>
      <c r="Q812" s="54"/>
      <c r="R812" s="54"/>
      <c r="S812" s="54"/>
      <c r="T812" s="54"/>
      <c r="U812" s="82"/>
    </row>
    <row r="813" spans="2:21" x14ac:dyDescent="0.2">
      <c r="B813" s="51"/>
      <c r="C813" s="51"/>
      <c r="D813" s="51"/>
      <c r="E813" s="51"/>
      <c r="F813" s="51"/>
      <c r="G813" s="51"/>
      <c r="H813" s="51"/>
      <c r="I813" s="54"/>
      <c r="J813" s="54"/>
      <c r="K813" s="53"/>
      <c r="L813" s="52"/>
      <c r="M813" s="55"/>
      <c r="N813" s="52"/>
      <c r="O813" s="53"/>
      <c r="P813" s="54"/>
      <c r="Q813" s="54"/>
      <c r="R813" s="54"/>
      <c r="S813" s="54"/>
      <c r="T813" s="54"/>
      <c r="U813" s="82"/>
    </row>
    <row r="814" spans="2:21" x14ac:dyDescent="0.2">
      <c r="B814" s="51"/>
      <c r="C814" s="51"/>
      <c r="D814" s="51"/>
      <c r="E814" s="51"/>
      <c r="F814" s="51"/>
      <c r="G814" s="51"/>
      <c r="H814" s="51"/>
      <c r="I814" s="54"/>
      <c r="J814" s="54"/>
      <c r="K814" s="53"/>
      <c r="L814" s="52"/>
      <c r="M814" s="55"/>
      <c r="N814" s="52"/>
      <c r="O814" s="53"/>
      <c r="P814" s="54"/>
      <c r="Q814" s="54"/>
      <c r="R814" s="54"/>
      <c r="S814" s="54"/>
      <c r="T814" s="54"/>
      <c r="U814" s="82"/>
    </row>
    <row r="815" spans="2:21" x14ac:dyDescent="0.2">
      <c r="B815" s="51"/>
      <c r="C815" s="51"/>
      <c r="D815" s="51"/>
      <c r="E815" s="51"/>
      <c r="F815" s="51"/>
      <c r="G815" s="51"/>
      <c r="H815" s="51"/>
      <c r="I815" s="54"/>
      <c r="J815" s="54"/>
      <c r="K815" s="53"/>
      <c r="L815" s="52"/>
      <c r="M815" s="55"/>
      <c r="N815" s="52"/>
      <c r="O815" s="53"/>
      <c r="P815" s="54"/>
      <c r="Q815" s="54"/>
      <c r="R815" s="54"/>
      <c r="S815" s="54"/>
      <c r="T815" s="54"/>
      <c r="U815" s="82"/>
    </row>
    <row r="816" spans="2:21" x14ac:dyDescent="0.2">
      <c r="B816" s="51"/>
      <c r="C816" s="51"/>
      <c r="D816" s="51"/>
      <c r="E816" s="51"/>
      <c r="F816" s="51"/>
      <c r="G816" s="51"/>
      <c r="H816" s="51"/>
      <c r="I816" s="54"/>
      <c r="J816" s="54"/>
      <c r="K816" s="53"/>
      <c r="L816" s="52"/>
      <c r="M816" s="55"/>
      <c r="N816" s="52"/>
      <c r="O816" s="53"/>
      <c r="P816" s="54"/>
      <c r="Q816" s="54"/>
      <c r="R816" s="54"/>
      <c r="S816" s="54"/>
      <c r="T816" s="54"/>
      <c r="U816" s="82"/>
    </row>
    <row r="817" spans="2:21" x14ac:dyDescent="0.2">
      <c r="B817" s="51"/>
      <c r="C817" s="51"/>
      <c r="D817" s="51"/>
      <c r="E817" s="51"/>
      <c r="F817" s="51"/>
      <c r="G817" s="51"/>
      <c r="H817" s="51"/>
      <c r="I817" s="54"/>
      <c r="J817" s="54"/>
      <c r="K817" s="53"/>
      <c r="L817" s="52"/>
      <c r="M817" s="55"/>
      <c r="N817" s="52"/>
      <c r="O817" s="53"/>
      <c r="P817" s="54"/>
      <c r="Q817" s="54"/>
      <c r="R817" s="54"/>
      <c r="S817" s="54"/>
      <c r="T817" s="54"/>
      <c r="U817" s="82"/>
    </row>
    <row r="818" spans="2:21" x14ac:dyDescent="0.2">
      <c r="B818" s="51"/>
      <c r="C818" s="51"/>
      <c r="D818" s="51"/>
      <c r="E818" s="51"/>
      <c r="F818" s="51"/>
      <c r="G818" s="51"/>
      <c r="H818" s="51"/>
      <c r="I818" s="54"/>
      <c r="J818" s="54"/>
      <c r="K818" s="53"/>
      <c r="L818" s="52"/>
      <c r="M818" s="55"/>
      <c r="N818" s="52"/>
      <c r="O818" s="53"/>
      <c r="P818" s="54"/>
      <c r="Q818" s="54"/>
      <c r="R818" s="54"/>
      <c r="S818" s="54"/>
      <c r="T818" s="54"/>
      <c r="U818" s="82"/>
    </row>
    <row r="819" spans="2:21" x14ac:dyDescent="0.2">
      <c r="B819" s="51"/>
      <c r="C819" s="51"/>
      <c r="D819" s="51"/>
      <c r="E819" s="51"/>
      <c r="F819" s="51"/>
      <c r="G819" s="51"/>
      <c r="H819" s="51"/>
      <c r="I819" s="54"/>
      <c r="J819" s="54"/>
      <c r="K819" s="53"/>
      <c r="L819" s="52"/>
      <c r="M819" s="55"/>
      <c r="N819" s="52"/>
      <c r="O819" s="53"/>
      <c r="P819" s="54"/>
      <c r="Q819" s="54"/>
      <c r="R819" s="54"/>
      <c r="S819" s="54"/>
      <c r="T819" s="54"/>
      <c r="U819" s="82"/>
    </row>
    <row r="820" spans="2:21" x14ac:dyDescent="0.2">
      <c r="B820" s="51"/>
      <c r="C820" s="51"/>
      <c r="D820" s="51"/>
      <c r="E820" s="51"/>
      <c r="F820" s="51"/>
      <c r="G820" s="51"/>
      <c r="H820" s="51"/>
      <c r="I820" s="54"/>
      <c r="J820" s="54"/>
      <c r="K820" s="53"/>
      <c r="L820" s="52"/>
      <c r="M820" s="55"/>
      <c r="N820" s="52"/>
      <c r="O820" s="53"/>
      <c r="P820" s="54"/>
      <c r="Q820" s="54"/>
      <c r="R820" s="54"/>
      <c r="S820" s="54"/>
      <c r="T820" s="54"/>
      <c r="U820" s="82"/>
    </row>
    <row r="821" spans="2:21" x14ac:dyDescent="0.2">
      <c r="B821" s="51"/>
      <c r="C821" s="51"/>
      <c r="D821" s="51"/>
      <c r="E821" s="51"/>
      <c r="F821" s="51"/>
      <c r="G821" s="51"/>
      <c r="H821" s="51"/>
      <c r="I821" s="54"/>
      <c r="J821" s="54"/>
      <c r="K821" s="53"/>
      <c r="L821" s="52"/>
      <c r="M821" s="55"/>
      <c r="N821" s="52"/>
      <c r="O821" s="53"/>
      <c r="P821" s="54"/>
      <c r="Q821" s="54"/>
      <c r="R821" s="54"/>
      <c r="S821" s="54"/>
      <c r="T821" s="54"/>
      <c r="U821" s="82"/>
    </row>
    <row r="822" spans="2:21" x14ac:dyDescent="0.2">
      <c r="B822" s="51"/>
      <c r="C822" s="51"/>
      <c r="D822" s="51"/>
      <c r="E822" s="51"/>
      <c r="F822" s="51"/>
      <c r="G822" s="51"/>
      <c r="H822" s="51"/>
      <c r="I822" s="54"/>
      <c r="J822" s="54"/>
      <c r="K822" s="53"/>
      <c r="L822" s="52"/>
      <c r="M822" s="55"/>
      <c r="N822" s="52"/>
      <c r="O822" s="53"/>
      <c r="P822" s="54"/>
      <c r="Q822" s="54"/>
      <c r="R822" s="54"/>
      <c r="S822" s="54"/>
      <c r="T822" s="54"/>
      <c r="U822" s="82"/>
    </row>
    <row r="823" spans="2:21" x14ac:dyDescent="0.2">
      <c r="B823" s="51"/>
      <c r="C823" s="51"/>
      <c r="D823" s="51"/>
      <c r="E823" s="51"/>
      <c r="F823" s="51"/>
      <c r="G823" s="51"/>
      <c r="H823" s="51"/>
      <c r="I823" s="54"/>
      <c r="J823" s="54"/>
      <c r="K823" s="53"/>
      <c r="L823" s="52"/>
      <c r="M823" s="55"/>
      <c r="N823" s="52"/>
      <c r="O823" s="53"/>
      <c r="P823" s="54"/>
      <c r="Q823" s="54"/>
      <c r="R823" s="54"/>
      <c r="S823" s="54"/>
      <c r="T823" s="54"/>
      <c r="U823" s="82"/>
    </row>
    <row r="824" spans="2:21" x14ac:dyDescent="0.2">
      <c r="B824" s="51"/>
      <c r="C824" s="51"/>
      <c r="D824" s="51"/>
      <c r="E824" s="51"/>
      <c r="F824" s="51"/>
      <c r="G824" s="51"/>
      <c r="H824" s="51"/>
      <c r="I824" s="54"/>
      <c r="J824" s="54"/>
      <c r="K824" s="53"/>
      <c r="L824" s="52"/>
      <c r="M824" s="55"/>
      <c r="N824" s="52"/>
      <c r="O824" s="53"/>
      <c r="P824" s="54"/>
      <c r="Q824" s="54"/>
      <c r="R824" s="54"/>
      <c r="S824" s="54"/>
      <c r="T824" s="54"/>
      <c r="U824" s="82"/>
    </row>
    <row r="825" spans="2:21" x14ac:dyDescent="0.2">
      <c r="B825" s="51"/>
      <c r="C825" s="51"/>
      <c r="D825" s="51"/>
      <c r="E825" s="51"/>
      <c r="F825" s="51"/>
      <c r="G825" s="51"/>
      <c r="H825" s="51"/>
      <c r="I825" s="54"/>
      <c r="J825" s="54"/>
      <c r="K825" s="53"/>
      <c r="L825" s="52"/>
      <c r="M825" s="55"/>
      <c r="N825" s="52"/>
      <c r="O825" s="53"/>
      <c r="P825" s="54"/>
      <c r="Q825" s="54"/>
      <c r="R825" s="54"/>
      <c r="S825" s="54"/>
      <c r="T825" s="54"/>
      <c r="U825" s="82"/>
    </row>
    <row r="826" spans="2:21" x14ac:dyDescent="0.2">
      <c r="B826" s="51"/>
      <c r="C826" s="51"/>
      <c r="D826" s="51"/>
      <c r="E826" s="51"/>
      <c r="F826" s="51"/>
      <c r="G826" s="51"/>
      <c r="H826" s="51"/>
      <c r="I826" s="54"/>
      <c r="J826" s="54"/>
      <c r="K826" s="53"/>
      <c r="L826" s="52"/>
      <c r="M826" s="55"/>
      <c r="N826" s="52"/>
      <c r="O826" s="53"/>
      <c r="P826" s="54"/>
      <c r="Q826" s="54"/>
      <c r="R826" s="54"/>
      <c r="S826" s="54"/>
      <c r="T826" s="54"/>
      <c r="U826" s="82"/>
    </row>
    <row r="827" spans="2:21" x14ac:dyDescent="0.2">
      <c r="B827" s="51"/>
      <c r="C827" s="51"/>
      <c r="D827" s="51"/>
      <c r="E827" s="51"/>
      <c r="F827" s="51"/>
      <c r="G827" s="51"/>
      <c r="H827" s="51"/>
      <c r="I827" s="54"/>
      <c r="J827" s="54"/>
      <c r="K827" s="53"/>
      <c r="L827" s="52"/>
      <c r="M827" s="55"/>
      <c r="N827" s="52"/>
      <c r="O827" s="53"/>
      <c r="P827" s="54"/>
      <c r="Q827" s="54"/>
      <c r="R827" s="54"/>
      <c r="S827" s="54"/>
      <c r="T827" s="54"/>
      <c r="U827" s="82"/>
    </row>
    <row r="828" spans="2:21" x14ac:dyDescent="0.2">
      <c r="B828" s="51"/>
      <c r="C828" s="51"/>
      <c r="D828" s="51"/>
      <c r="E828" s="51"/>
      <c r="F828" s="51"/>
      <c r="G828" s="51"/>
      <c r="H828" s="51"/>
      <c r="I828" s="54"/>
      <c r="J828" s="54"/>
      <c r="K828" s="53"/>
      <c r="L828" s="52"/>
      <c r="M828" s="55"/>
      <c r="N828" s="52"/>
      <c r="O828" s="53"/>
      <c r="P828" s="54"/>
      <c r="Q828" s="54"/>
      <c r="R828" s="54"/>
      <c r="S828" s="54"/>
      <c r="T828" s="54"/>
      <c r="U828" s="82"/>
    </row>
    <row r="829" spans="2:21" x14ac:dyDescent="0.2">
      <c r="B829" s="51"/>
      <c r="C829" s="51"/>
      <c r="D829" s="51"/>
      <c r="E829" s="51"/>
      <c r="F829" s="51"/>
      <c r="G829" s="51"/>
      <c r="H829" s="51"/>
      <c r="I829" s="54"/>
      <c r="J829" s="54"/>
      <c r="K829" s="53"/>
      <c r="L829" s="52"/>
      <c r="M829" s="55"/>
      <c r="N829" s="52"/>
      <c r="O829" s="53"/>
      <c r="P829" s="54"/>
      <c r="Q829" s="54"/>
      <c r="R829" s="54"/>
      <c r="S829" s="54"/>
      <c r="T829" s="54"/>
      <c r="U829" s="82"/>
    </row>
    <row r="830" spans="2:21" x14ac:dyDescent="0.2">
      <c r="B830" s="51"/>
      <c r="C830" s="51"/>
      <c r="D830" s="51"/>
      <c r="E830" s="51"/>
      <c r="F830" s="51"/>
      <c r="G830" s="51"/>
      <c r="H830" s="51"/>
      <c r="I830" s="54"/>
      <c r="J830" s="54"/>
      <c r="K830" s="53"/>
      <c r="L830" s="52"/>
      <c r="M830" s="55"/>
      <c r="N830" s="52"/>
      <c r="O830" s="53"/>
      <c r="P830" s="54"/>
      <c r="Q830" s="54"/>
      <c r="R830" s="54"/>
      <c r="S830" s="54"/>
      <c r="T830" s="54"/>
      <c r="U830" s="82"/>
    </row>
    <row r="831" spans="2:21" x14ac:dyDescent="0.2">
      <c r="B831" s="51"/>
      <c r="C831" s="51"/>
      <c r="D831" s="51"/>
      <c r="E831" s="51"/>
      <c r="F831" s="51"/>
      <c r="G831" s="51"/>
      <c r="H831" s="51"/>
      <c r="I831" s="54"/>
      <c r="J831" s="54"/>
      <c r="K831" s="53"/>
      <c r="L831" s="52"/>
      <c r="M831" s="55"/>
      <c r="N831" s="52"/>
      <c r="O831" s="53"/>
      <c r="P831" s="54"/>
      <c r="Q831" s="54"/>
      <c r="R831" s="54"/>
      <c r="S831" s="54"/>
      <c r="T831" s="54"/>
      <c r="U831" s="82"/>
    </row>
    <row r="832" spans="2:21" x14ac:dyDescent="0.2">
      <c r="B832" s="51"/>
      <c r="C832" s="51"/>
      <c r="D832" s="51"/>
      <c r="E832" s="51"/>
      <c r="F832" s="51"/>
      <c r="G832" s="51"/>
      <c r="H832" s="51"/>
      <c r="I832" s="54"/>
      <c r="J832" s="54"/>
      <c r="K832" s="53"/>
      <c r="L832" s="52"/>
      <c r="M832" s="55"/>
      <c r="N832" s="52"/>
      <c r="O832" s="53"/>
      <c r="P832" s="54"/>
      <c r="Q832" s="54"/>
      <c r="R832" s="54"/>
      <c r="S832" s="54"/>
      <c r="T832" s="54"/>
      <c r="U832" s="82"/>
    </row>
    <row r="833" spans="2:21" x14ac:dyDescent="0.2">
      <c r="B833" s="51"/>
      <c r="C833" s="51"/>
      <c r="D833" s="51"/>
      <c r="E833" s="51"/>
      <c r="F833" s="51"/>
      <c r="G833" s="51"/>
      <c r="H833" s="51"/>
      <c r="I833" s="54"/>
      <c r="J833" s="54"/>
      <c r="K833" s="53"/>
      <c r="L833" s="52"/>
      <c r="M833" s="55"/>
      <c r="N833" s="52"/>
      <c r="O833" s="53"/>
      <c r="P833" s="54"/>
      <c r="Q833" s="54"/>
      <c r="R833" s="54"/>
      <c r="S833" s="54"/>
      <c r="T833" s="54"/>
      <c r="U833" s="82"/>
    </row>
    <row r="834" spans="2:21" x14ac:dyDescent="0.2">
      <c r="B834" s="51"/>
      <c r="C834" s="51"/>
      <c r="D834" s="51"/>
      <c r="E834" s="51"/>
      <c r="F834" s="51"/>
      <c r="G834" s="51"/>
      <c r="H834" s="51"/>
      <c r="I834" s="54"/>
      <c r="J834" s="54"/>
      <c r="K834" s="53"/>
      <c r="L834" s="52"/>
      <c r="M834" s="55"/>
      <c r="N834" s="52"/>
      <c r="O834" s="53"/>
      <c r="P834" s="54"/>
      <c r="Q834" s="54"/>
      <c r="R834" s="54"/>
      <c r="S834" s="54"/>
      <c r="T834" s="54"/>
      <c r="U834" s="82"/>
    </row>
    <row r="835" spans="2:21" x14ac:dyDescent="0.2">
      <c r="B835" s="51"/>
      <c r="C835" s="51"/>
      <c r="D835" s="51"/>
      <c r="E835" s="51"/>
      <c r="F835" s="51"/>
      <c r="G835" s="51"/>
      <c r="H835" s="51"/>
      <c r="I835" s="54"/>
      <c r="J835" s="54"/>
      <c r="K835" s="53"/>
      <c r="L835" s="52"/>
      <c r="M835" s="55"/>
      <c r="N835" s="52"/>
      <c r="O835" s="53"/>
      <c r="P835" s="54"/>
      <c r="Q835" s="54"/>
      <c r="R835" s="54"/>
      <c r="S835" s="54"/>
      <c r="T835" s="54"/>
      <c r="U835" s="82"/>
    </row>
    <row r="836" spans="2:21" x14ac:dyDescent="0.2">
      <c r="B836" s="51"/>
      <c r="C836" s="51"/>
      <c r="D836" s="51"/>
      <c r="E836" s="51"/>
      <c r="F836" s="51"/>
      <c r="G836" s="51"/>
      <c r="H836" s="51"/>
      <c r="I836" s="54"/>
      <c r="J836" s="54"/>
      <c r="K836" s="53"/>
      <c r="L836" s="52"/>
      <c r="M836" s="55"/>
      <c r="N836" s="52"/>
      <c r="O836" s="53"/>
      <c r="P836" s="54"/>
      <c r="Q836" s="54"/>
      <c r="R836" s="54"/>
      <c r="S836" s="54"/>
      <c r="T836" s="54"/>
      <c r="U836" s="82"/>
    </row>
    <row r="837" spans="2:21" x14ac:dyDescent="0.2">
      <c r="B837" s="51"/>
      <c r="C837" s="51"/>
      <c r="D837" s="51"/>
      <c r="E837" s="51"/>
      <c r="F837" s="51"/>
      <c r="G837" s="51"/>
      <c r="H837" s="51"/>
      <c r="I837" s="54"/>
      <c r="J837" s="54"/>
      <c r="K837" s="53"/>
      <c r="L837" s="52"/>
      <c r="M837" s="55"/>
      <c r="N837" s="52"/>
      <c r="O837" s="53"/>
      <c r="P837" s="54"/>
      <c r="Q837" s="54"/>
      <c r="R837" s="54"/>
      <c r="S837" s="54"/>
      <c r="T837" s="54"/>
      <c r="U837" s="82"/>
    </row>
    <row r="838" spans="2:21" x14ac:dyDescent="0.2">
      <c r="B838" s="51"/>
      <c r="C838" s="51"/>
      <c r="D838" s="51"/>
      <c r="E838" s="51"/>
      <c r="F838" s="51"/>
      <c r="G838" s="51"/>
      <c r="H838" s="51"/>
      <c r="I838" s="54"/>
      <c r="J838" s="54"/>
      <c r="K838" s="53"/>
      <c r="L838" s="52"/>
      <c r="M838" s="55"/>
      <c r="N838" s="52"/>
      <c r="O838" s="53"/>
      <c r="P838" s="54"/>
      <c r="Q838" s="54"/>
      <c r="R838" s="54"/>
      <c r="S838" s="54"/>
      <c r="T838" s="54"/>
      <c r="U838" s="82"/>
    </row>
    <row r="839" spans="2:21" x14ac:dyDescent="0.2">
      <c r="B839" s="51"/>
      <c r="C839" s="51"/>
      <c r="D839" s="51"/>
      <c r="E839" s="51"/>
      <c r="F839" s="51"/>
      <c r="G839" s="51"/>
      <c r="H839" s="51"/>
      <c r="I839" s="54"/>
      <c r="J839" s="54"/>
      <c r="K839" s="53"/>
      <c r="L839" s="52"/>
      <c r="M839" s="55"/>
      <c r="N839" s="52"/>
      <c r="O839" s="53"/>
      <c r="P839" s="54"/>
      <c r="Q839" s="54"/>
      <c r="R839" s="54"/>
      <c r="S839" s="54"/>
      <c r="T839" s="54"/>
      <c r="U839" s="82"/>
    </row>
    <row r="840" spans="2:21" x14ac:dyDescent="0.2">
      <c r="B840" s="51"/>
      <c r="C840" s="51"/>
      <c r="D840" s="51"/>
      <c r="E840" s="51"/>
      <c r="F840" s="51"/>
      <c r="G840" s="51"/>
      <c r="H840" s="51"/>
      <c r="I840" s="54"/>
      <c r="J840" s="54"/>
      <c r="K840" s="53"/>
      <c r="L840" s="52"/>
      <c r="M840" s="55"/>
      <c r="N840" s="52"/>
      <c r="O840" s="53"/>
      <c r="P840" s="54"/>
      <c r="Q840" s="54"/>
      <c r="R840" s="54"/>
      <c r="S840" s="54"/>
      <c r="T840" s="54"/>
      <c r="U840" s="82"/>
    </row>
    <row r="841" spans="2:21" x14ac:dyDescent="0.2">
      <c r="B841" s="51"/>
      <c r="C841" s="51"/>
      <c r="D841" s="51"/>
      <c r="E841" s="51"/>
      <c r="F841" s="51"/>
      <c r="G841" s="51"/>
      <c r="H841" s="51"/>
      <c r="I841" s="54"/>
      <c r="J841" s="54"/>
      <c r="K841" s="53"/>
      <c r="L841" s="52"/>
      <c r="M841" s="55"/>
      <c r="N841" s="52"/>
      <c r="O841" s="53"/>
      <c r="P841" s="54"/>
      <c r="Q841" s="54"/>
      <c r="R841" s="54"/>
      <c r="S841" s="54"/>
      <c r="T841" s="54"/>
      <c r="U841" s="82"/>
    </row>
    <row r="842" spans="2:21" x14ac:dyDescent="0.2">
      <c r="B842" s="51"/>
      <c r="C842" s="51"/>
      <c r="D842" s="51"/>
      <c r="E842" s="51"/>
      <c r="F842" s="51"/>
      <c r="G842" s="51"/>
      <c r="H842" s="51"/>
      <c r="I842" s="54"/>
      <c r="J842" s="54"/>
      <c r="K842" s="53"/>
      <c r="L842" s="52"/>
      <c r="M842" s="55"/>
      <c r="N842" s="52"/>
      <c r="O842" s="53"/>
      <c r="P842" s="54"/>
      <c r="Q842" s="54"/>
      <c r="R842" s="54"/>
      <c r="S842" s="54"/>
      <c r="T842" s="54"/>
      <c r="U842" s="82"/>
    </row>
    <row r="843" spans="2:21" x14ac:dyDescent="0.2">
      <c r="B843" s="51"/>
      <c r="C843" s="51"/>
      <c r="D843" s="51"/>
      <c r="E843" s="51"/>
      <c r="F843" s="51"/>
      <c r="G843" s="51"/>
      <c r="H843" s="51"/>
      <c r="I843" s="54"/>
      <c r="J843" s="54"/>
      <c r="K843" s="53"/>
      <c r="L843" s="52"/>
      <c r="M843" s="55"/>
      <c r="N843" s="52"/>
      <c r="O843" s="53"/>
      <c r="P843" s="54"/>
      <c r="Q843" s="54"/>
      <c r="R843" s="54"/>
      <c r="S843" s="54"/>
      <c r="T843" s="54"/>
      <c r="U843" s="82"/>
    </row>
    <row r="844" spans="2:21" x14ac:dyDescent="0.2">
      <c r="B844" s="51"/>
      <c r="C844" s="51"/>
      <c r="D844" s="51"/>
      <c r="E844" s="51"/>
      <c r="F844" s="51"/>
      <c r="G844" s="51"/>
      <c r="H844" s="51"/>
      <c r="I844" s="54"/>
      <c r="J844" s="54"/>
      <c r="K844" s="53"/>
      <c r="L844" s="52"/>
      <c r="M844" s="55"/>
      <c r="N844" s="52"/>
      <c r="O844" s="53"/>
      <c r="P844" s="54"/>
      <c r="Q844" s="54"/>
      <c r="R844" s="54"/>
      <c r="S844" s="54"/>
      <c r="T844" s="54"/>
      <c r="U844" s="82"/>
    </row>
    <row r="845" spans="2:21" x14ac:dyDescent="0.2">
      <c r="B845" s="51"/>
      <c r="C845" s="51"/>
      <c r="D845" s="51"/>
      <c r="E845" s="51"/>
      <c r="F845" s="51"/>
      <c r="G845" s="51"/>
      <c r="H845" s="51"/>
      <c r="I845" s="54"/>
      <c r="J845" s="54"/>
      <c r="K845" s="53"/>
      <c r="L845" s="52"/>
      <c r="M845" s="55"/>
      <c r="N845" s="52"/>
      <c r="O845" s="53"/>
      <c r="P845" s="54"/>
      <c r="Q845" s="54"/>
      <c r="R845" s="54"/>
      <c r="S845" s="54"/>
      <c r="T845" s="54"/>
      <c r="U845" s="82"/>
    </row>
    <row r="846" spans="2:21" x14ac:dyDescent="0.2">
      <c r="B846" s="51"/>
      <c r="C846" s="51"/>
      <c r="D846" s="51"/>
      <c r="E846" s="51"/>
      <c r="F846" s="51"/>
      <c r="G846" s="51"/>
      <c r="H846" s="51"/>
      <c r="I846" s="54"/>
      <c r="J846" s="54"/>
      <c r="K846" s="53"/>
      <c r="L846" s="52"/>
      <c r="M846" s="55"/>
      <c r="N846" s="52"/>
      <c r="O846" s="53"/>
      <c r="P846" s="54"/>
      <c r="Q846" s="54"/>
      <c r="R846" s="54"/>
      <c r="S846" s="54"/>
      <c r="T846" s="54"/>
      <c r="U846" s="82"/>
    </row>
    <row r="847" spans="2:21" x14ac:dyDescent="0.2">
      <c r="B847" s="51"/>
      <c r="C847" s="51"/>
      <c r="D847" s="51"/>
      <c r="E847" s="51"/>
      <c r="F847" s="51"/>
      <c r="G847" s="51"/>
      <c r="H847" s="51"/>
      <c r="I847" s="54"/>
      <c r="J847" s="54"/>
      <c r="K847" s="53"/>
      <c r="L847" s="52"/>
      <c r="M847" s="55"/>
      <c r="N847" s="52"/>
      <c r="O847" s="53"/>
      <c r="P847" s="54"/>
      <c r="Q847" s="54"/>
      <c r="R847" s="54"/>
      <c r="S847" s="54"/>
      <c r="T847" s="54"/>
      <c r="U847" s="82"/>
    </row>
    <row r="848" spans="2:21" x14ac:dyDescent="0.2">
      <c r="B848" s="51"/>
      <c r="C848" s="51"/>
      <c r="D848" s="51"/>
      <c r="E848" s="51"/>
      <c r="F848" s="51"/>
      <c r="G848" s="51"/>
      <c r="H848" s="51"/>
      <c r="I848" s="54"/>
      <c r="J848" s="54"/>
      <c r="K848" s="53"/>
      <c r="L848" s="52"/>
      <c r="M848" s="55"/>
      <c r="N848" s="52"/>
      <c r="O848" s="53"/>
      <c r="P848" s="54"/>
      <c r="Q848" s="54"/>
      <c r="R848" s="54"/>
      <c r="S848" s="54"/>
      <c r="T848" s="54"/>
      <c r="U848" s="82"/>
    </row>
    <row r="849" spans="2:21" x14ac:dyDescent="0.2">
      <c r="B849" s="51"/>
      <c r="C849" s="51"/>
      <c r="D849" s="51"/>
      <c r="E849" s="51"/>
      <c r="F849" s="51"/>
      <c r="G849" s="51"/>
      <c r="H849" s="51"/>
      <c r="I849" s="54"/>
      <c r="J849" s="54"/>
      <c r="K849" s="53"/>
      <c r="L849" s="52"/>
      <c r="M849" s="55"/>
      <c r="N849" s="52"/>
      <c r="O849" s="53"/>
      <c r="P849" s="54"/>
      <c r="Q849" s="54"/>
      <c r="R849" s="54"/>
      <c r="S849" s="54"/>
      <c r="T849" s="54"/>
      <c r="U849" s="82"/>
    </row>
    <row r="850" spans="2:21" x14ac:dyDescent="0.2">
      <c r="B850" s="51"/>
      <c r="C850" s="51"/>
      <c r="D850" s="51"/>
      <c r="E850" s="51"/>
      <c r="F850" s="51"/>
      <c r="G850" s="51"/>
      <c r="H850" s="51"/>
      <c r="I850" s="54"/>
      <c r="J850" s="54"/>
      <c r="K850" s="53"/>
      <c r="L850" s="52"/>
      <c r="M850" s="55"/>
      <c r="N850" s="52"/>
      <c r="O850" s="53"/>
      <c r="P850" s="54"/>
      <c r="Q850" s="54"/>
      <c r="R850" s="54"/>
      <c r="S850" s="54"/>
      <c r="T850" s="54"/>
      <c r="U850" s="82"/>
    </row>
    <row r="851" spans="2:21" x14ac:dyDescent="0.2">
      <c r="B851" s="51"/>
      <c r="C851" s="51"/>
      <c r="D851" s="51"/>
      <c r="E851" s="51"/>
      <c r="F851" s="51"/>
      <c r="G851" s="51"/>
      <c r="H851" s="51"/>
      <c r="I851" s="54"/>
      <c r="J851" s="54"/>
      <c r="K851" s="53"/>
      <c r="L851" s="52"/>
      <c r="M851" s="55"/>
      <c r="N851" s="52"/>
      <c r="O851" s="53"/>
      <c r="P851" s="54"/>
      <c r="Q851" s="54"/>
      <c r="R851" s="54"/>
      <c r="S851" s="54"/>
      <c r="T851" s="54"/>
      <c r="U851" s="82"/>
    </row>
    <row r="852" spans="2:21" x14ac:dyDescent="0.2">
      <c r="B852" s="51"/>
      <c r="C852" s="51"/>
      <c r="D852" s="51"/>
      <c r="E852" s="51"/>
      <c r="F852" s="51"/>
      <c r="G852" s="51"/>
      <c r="H852" s="51"/>
      <c r="I852" s="54"/>
      <c r="J852" s="54"/>
      <c r="K852" s="53"/>
      <c r="L852" s="52"/>
      <c r="M852" s="55"/>
      <c r="N852" s="52"/>
      <c r="O852" s="53"/>
      <c r="P852" s="54"/>
      <c r="Q852" s="54"/>
      <c r="R852" s="54"/>
      <c r="S852" s="54"/>
      <c r="T852" s="54"/>
      <c r="U852" s="82"/>
    </row>
    <row r="853" spans="2:21" x14ac:dyDescent="0.2">
      <c r="B853" s="51"/>
      <c r="C853" s="51"/>
      <c r="D853" s="51"/>
      <c r="E853" s="51"/>
      <c r="F853" s="51"/>
      <c r="G853" s="51"/>
      <c r="H853" s="51"/>
      <c r="I853" s="54"/>
      <c r="J853" s="54"/>
      <c r="K853" s="53"/>
      <c r="L853" s="52"/>
      <c r="M853" s="55"/>
      <c r="N853" s="52"/>
      <c r="O853" s="53"/>
      <c r="P853" s="54"/>
      <c r="Q853" s="54"/>
      <c r="R853" s="54"/>
      <c r="S853" s="54"/>
      <c r="T853" s="54"/>
      <c r="U853" s="82"/>
    </row>
    <row r="854" spans="2:21" x14ac:dyDescent="0.2">
      <c r="B854" s="51"/>
      <c r="C854" s="51"/>
      <c r="D854" s="51"/>
      <c r="E854" s="51"/>
      <c r="F854" s="51"/>
      <c r="G854" s="51"/>
      <c r="H854" s="51"/>
      <c r="I854" s="54"/>
      <c r="J854" s="54"/>
      <c r="K854" s="53"/>
      <c r="L854" s="52"/>
      <c r="M854" s="55"/>
      <c r="N854" s="52"/>
      <c r="O854" s="53"/>
      <c r="P854" s="54"/>
      <c r="Q854" s="54"/>
      <c r="R854" s="54"/>
      <c r="S854" s="54"/>
      <c r="T854" s="54"/>
      <c r="U854" s="82"/>
    </row>
    <row r="855" spans="2:21" x14ac:dyDescent="0.2">
      <c r="B855" s="51"/>
      <c r="C855" s="51"/>
      <c r="D855" s="51"/>
      <c r="E855" s="51"/>
      <c r="F855" s="51"/>
      <c r="G855" s="51"/>
      <c r="H855" s="51"/>
      <c r="I855" s="54"/>
      <c r="J855" s="54"/>
      <c r="K855" s="53"/>
      <c r="L855" s="52"/>
      <c r="M855" s="55"/>
      <c r="N855" s="52"/>
      <c r="O855" s="53"/>
      <c r="P855" s="54"/>
      <c r="Q855" s="54"/>
      <c r="R855" s="54"/>
      <c r="S855" s="54"/>
      <c r="T855" s="54"/>
      <c r="U855" s="82"/>
    </row>
    <row r="856" spans="2:21" x14ac:dyDescent="0.2">
      <c r="B856" s="51"/>
      <c r="C856" s="51"/>
      <c r="D856" s="51"/>
      <c r="E856" s="51"/>
      <c r="F856" s="51"/>
      <c r="G856" s="51"/>
      <c r="H856" s="51"/>
      <c r="I856" s="54"/>
      <c r="J856" s="54"/>
      <c r="K856" s="53"/>
      <c r="L856" s="52"/>
      <c r="M856" s="55"/>
      <c r="N856" s="52"/>
      <c r="O856" s="53"/>
      <c r="P856" s="54"/>
      <c r="Q856" s="54"/>
      <c r="R856" s="54"/>
      <c r="S856" s="54"/>
      <c r="T856" s="54"/>
      <c r="U856" s="82"/>
    </row>
    <row r="857" spans="2:21" x14ac:dyDescent="0.2">
      <c r="B857" s="51"/>
      <c r="C857" s="51"/>
      <c r="D857" s="51"/>
      <c r="E857" s="51"/>
      <c r="F857" s="51"/>
      <c r="G857" s="51"/>
      <c r="H857" s="51"/>
      <c r="I857" s="54"/>
      <c r="J857" s="54"/>
      <c r="K857" s="53"/>
      <c r="L857" s="52"/>
      <c r="M857" s="55"/>
      <c r="N857" s="52"/>
      <c r="O857" s="53"/>
      <c r="P857" s="54"/>
      <c r="Q857" s="54"/>
      <c r="R857" s="54"/>
      <c r="S857" s="54"/>
      <c r="T857" s="54"/>
      <c r="U857" s="82"/>
    </row>
    <row r="858" spans="2:21" x14ac:dyDescent="0.2">
      <c r="B858" s="51"/>
      <c r="C858" s="51"/>
      <c r="D858" s="51"/>
      <c r="E858" s="51"/>
      <c r="F858" s="51"/>
      <c r="G858" s="51"/>
      <c r="H858" s="51"/>
      <c r="I858" s="54"/>
      <c r="J858" s="54"/>
      <c r="K858" s="53"/>
      <c r="L858" s="52"/>
      <c r="M858" s="55"/>
      <c r="N858" s="52"/>
      <c r="O858" s="53"/>
      <c r="P858" s="54"/>
      <c r="Q858" s="54"/>
      <c r="R858" s="54"/>
      <c r="S858" s="54"/>
      <c r="T858" s="54"/>
      <c r="U858" s="82"/>
    </row>
    <row r="859" spans="2:21" x14ac:dyDescent="0.2">
      <c r="B859" s="51"/>
      <c r="C859" s="51"/>
      <c r="D859" s="51"/>
      <c r="E859" s="51"/>
      <c r="F859" s="51"/>
      <c r="G859" s="51"/>
      <c r="H859" s="51"/>
      <c r="I859" s="54"/>
      <c r="J859" s="54"/>
      <c r="K859" s="53"/>
      <c r="L859" s="52"/>
      <c r="M859" s="55"/>
      <c r="N859" s="52"/>
      <c r="O859" s="53"/>
      <c r="P859" s="54"/>
      <c r="Q859" s="54"/>
      <c r="R859" s="54"/>
      <c r="S859" s="54"/>
      <c r="T859" s="54"/>
      <c r="U859" s="82"/>
    </row>
    <row r="860" spans="2:21" x14ac:dyDescent="0.2">
      <c r="B860" s="51"/>
      <c r="C860" s="51"/>
      <c r="D860" s="51"/>
      <c r="E860" s="51"/>
      <c r="F860" s="51"/>
      <c r="G860" s="51"/>
      <c r="H860" s="51"/>
      <c r="I860" s="54"/>
      <c r="J860" s="54"/>
      <c r="K860" s="53"/>
      <c r="L860" s="52"/>
      <c r="M860" s="55"/>
      <c r="N860" s="52"/>
      <c r="O860" s="53"/>
      <c r="P860" s="54"/>
      <c r="Q860" s="54"/>
      <c r="R860" s="54"/>
      <c r="S860" s="54"/>
      <c r="T860" s="54"/>
      <c r="U860" s="82"/>
    </row>
    <row r="861" spans="2:21" x14ac:dyDescent="0.2">
      <c r="B861" s="51"/>
      <c r="C861" s="51"/>
      <c r="D861" s="51"/>
      <c r="E861" s="51"/>
      <c r="F861" s="51"/>
      <c r="G861" s="51"/>
      <c r="H861" s="51"/>
      <c r="I861" s="54"/>
      <c r="J861" s="54"/>
      <c r="K861" s="53"/>
      <c r="L861" s="52"/>
      <c r="M861" s="55"/>
      <c r="N861" s="52"/>
      <c r="O861" s="53"/>
      <c r="P861" s="54"/>
      <c r="Q861" s="54"/>
      <c r="R861" s="54"/>
      <c r="S861" s="54"/>
      <c r="T861" s="54"/>
      <c r="U861" s="82"/>
    </row>
    <row r="862" spans="2:21" x14ac:dyDescent="0.2">
      <c r="B862" s="51"/>
      <c r="C862" s="51"/>
      <c r="D862" s="51"/>
      <c r="E862" s="51"/>
      <c r="F862" s="51"/>
      <c r="G862" s="51"/>
      <c r="H862" s="51"/>
      <c r="I862" s="54"/>
      <c r="J862" s="54"/>
      <c r="K862" s="53"/>
      <c r="L862" s="52"/>
      <c r="M862" s="55"/>
      <c r="N862" s="52"/>
      <c r="O862" s="53"/>
      <c r="P862" s="54"/>
      <c r="Q862" s="54"/>
      <c r="R862" s="54"/>
      <c r="S862" s="54"/>
      <c r="T862" s="54"/>
      <c r="U862" s="82"/>
    </row>
    <row r="863" spans="2:21" x14ac:dyDescent="0.2">
      <c r="B863" s="51"/>
      <c r="C863" s="51"/>
      <c r="D863" s="51"/>
      <c r="E863" s="51"/>
      <c r="F863" s="51"/>
      <c r="G863" s="51"/>
      <c r="H863" s="51"/>
      <c r="I863" s="54"/>
      <c r="J863" s="54"/>
      <c r="K863" s="53"/>
      <c r="L863" s="52"/>
      <c r="M863" s="55"/>
      <c r="N863" s="52"/>
      <c r="O863" s="53"/>
      <c r="P863" s="54"/>
      <c r="Q863" s="54"/>
      <c r="R863" s="54"/>
      <c r="S863" s="54"/>
      <c r="T863" s="54"/>
      <c r="U863" s="82"/>
    </row>
    <row r="864" spans="2:21" x14ac:dyDescent="0.2">
      <c r="B864" s="51"/>
      <c r="C864" s="51"/>
      <c r="D864" s="51"/>
      <c r="E864" s="51"/>
      <c r="F864" s="51"/>
      <c r="G864" s="51"/>
      <c r="H864" s="51"/>
      <c r="I864" s="54"/>
      <c r="J864" s="54"/>
      <c r="K864" s="53"/>
      <c r="L864" s="52"/>
      <c r="M864" s="55"/>
      <c r="N864" s="52"/>
      <c r="O864" s="53"/>
      <c r="P864" s="54"/>
      <c r="Q864" s="54"/>
      <c r="R864" s="54"/>
      <c r="S864" s="54"/>
      <c r="T864" s="54"/>
      <c r="U864" s="82"/>
    </row>
    <row r="865" spans="2:21" x14ac:dyDescent="0.2">
      <c r="B865" s="51"/>
      <c r="C865" s="51"/>
      <c r="D865" s="51"/>
      <c r="E865" s="51"/>
      <c r="F865" s="51"/>
      <c r="G865" s="51"/>
      <c r="H865" s="51"/>
      <c r="I865" s="54"/>
      <c r="J865" s="54"/>
      <c r="K865" s="53"/>
      <c r="L865" s="52"/>
      <c r="M865" s="55"/>
      <c r="N865" s="52"/>
      <c r="O865" s="53"/>
      <c r="P865" s="54"/>
      <c r="Q865" s="54"/>
      <c r="R865" s="54"/>
      <c r="S865" s="54"/>
      <c r="T865" s="54"/>
      <c r="U865" s="82"/>
    </row>
    <row r="866" spans="2:21" x14ac:dyDescent="0.2">
      <c r="B866" s="51"/>
      <c r="C866" s="51"/>
      <c r="D866" s="51"/>
      <c r="E866" s="51"/>
      <c r="F866" s="51"/>
      <c r="G866" s="51"/>
      <c r="H866" s="51"/>
      <c r="I866" s="54"/>
      <c r="J866" s="54"/>
      <c r="K866" s="53"/>
      <c r="L866" s="52"/>
      <c r="M866" s="55"/>
      <c r="N866" s="52"/>
      <c r="O866" s="53"/>
      <c r="P866" s="54"/>
      <c r="Q866" s="54"/>
      <c r="R866" s="54"/>
      <c r="S866" s="54"/>
      <c r="T866" s="54"/>
      <c r="U866" s="82"/>
    </row>
    <row r="867" spans="2:21" x14ac:dyDescent="0.2">
      <c r="B867" s="51"/>
      <c r="C867" s="51"/>
      <c r="D867" s="51"/>
      <c r="E867" s="51"/>
      <c r="F867" s="51"/>
      <c r="G867" s="51"/>
      <c r="H867" s="51"/>
      <c r="I867" s="54"/>
      <c r="J867" s="54"/>
      <c r="K867" s="53"/>
      <c r="L867" s="52"/>
      <c r="M867" s="55"/>
      <c r="N867" s="52"/>
      <c r="O867" s="53"/>
      <c r="P867" s="54"/>
      <c r="Q867" s="54"/>
      <c r="R867" s="54"/>
      <c r="S867" s="54"/>
      <c r="T867" s="54"/>
      <c r="U867" s="82"/>
    </row>
    <row r="868" spans="2:21" x14ac:dyDescent="0.2">
      <c r="B868" s="51"/>
      <c r="C868" s="51"/>
      <c r="D868" s="51"/>
      <c r="E868" s="51"/>
      <c r="F868" s="51"/>
      <c r="G868" s="51"/>
      <c r="H868" s="51"/>
      <c r="I868" s="54"/>
      <c r="J868" s="54"/>
      <c r="K868" s="53"/>
      <c r="L868" s="52"/>
      <c r="M868" s="55"/>
      <c r="N868" s="52"/>
      <c r="O868" s="53"/>
      <c r="P868" s="54"/>
      <c r="Q868" s="54"/>
      <c r="R868" s="54"/>
      <c r="S868" s="54"/>
      <c r="T868" s="54"/>
      <c r="U868" s="82"/>
    </row>
    <row r="869" spans="2:21" x14ac:dyDescent="0.2">
      <c r="B869" s="51"/>
      <c r="C869" s="51"/>
      <c r="D869" s="51"/>
      <c r="E869" s="51"/>
      <c r="F869" s="51"/>
      <c r="G869" s="51"/>
      <c r="H869" s="51"/>
      <c r="I869" s="54"/>
      <c r="J869" s="54"/>
      <c r="K869" s="53"/>
      <c r="L869" s="52"/>
      <c r="M869" s="55"/>
      <c r="N869" s="52"/>
      <c r="O869" s="53"/>
      <c r="P869" s="54"/>
      <c r="Q869" s="54"/>
      <c r="R869" s="54"/>
      <c r="S869" s="54"/>
      <c r="T869" s="54"/>
      <c r="U869" s="82"/>
    </row>
    <row r="870" spans="2:21" x14ac:dyDescent="0.2">
      <c r="B870" s="51"/>
      <c r="C870" s="51"/>
      <c r="D870" s="51"/>
      <c r="E870" s="51"/>
      <c r="F870" s="51"/>
      <c r="G870" s="51"/>
      <c r="H870" s="51"/>
      <c r="I870" s="54"/>
      <c r="J870" s="54"/>
      <c r="K870" s="53"/>
      <c r="L870" s="52"/>
      <c r="M870" s="55"/>
      <c r="N870" s="52"/>
      <c r="O870" s="53"/>
      <c r="P870" s="54"/>
      <c r="Q870" s="54"/>
      <c r="R870" s="54"/>
      <c r="S870" s="54"/>
      <c r="T870" s="54"/>
      <c r="U870" s="82"/>
    </row>
    <row r="871" spans="2:21" x14ac:dyDescent="0.2">
      <c r="B871" s="51"/>
      <c r="C871" s="51"/>
      <c r="D871" s="51"/>
      <c r="E871" s="51"/>
      <c r="F871" s="51"/>
      <c r="G871" s="51"/>
      <c r="H871" s="51"/>
      <c r="I871" s="54"/>
      <c r="J871" s="54"/>
      <c r="K871" s="53"/>
      <c r="L871" s="52"/>
      <c r="M871" s="55"/>
      <c r="N871" s="52"/>
      <c r="O871" s="53"/>
      <c r="P871" s="54"/>
      <c r="Q871" s="54"/>
      <c r="R871" s="54"/>
      <c r="S871" s="54"/>
      <c r="T871" s="54"/>
      <c r="U871" s="82"/>
    </row>
    <row r="872" spans="2:21" x14ac:dyDescent="0.2">
      <c r="B872" s="51"/>
      <c r="C872" s="51"/>
      <c r="D872" s="51"/>
      <c r="E872" s="51"/>
      <c r="F872" s="51"/>
      <c r="G872" s="51"/>
      <c r="H872" s="51"/>
      <c r="I872" s="54"/>
      <c r="J872" s="54"/>
      <c r="K872" s="53"/>
      <c r="L872" s="52"/>
      <c r="M872" s="55"/>
      <c r="N872" s="52"/>
      <c r="O872" s="53"/>
      <c r="P872" s="54"/>
      <c r="Q872" s="54"/>
      <c r="R872" s="54"/>
      <c r="S872" s="54"/>
      <c r="T872" s="54"/>
      <c r="U872" s="82"/>
    </row>
    <row r="873" spans="2:21" x14ac:dyDescent="0.2">
      <c r="B873" s="51"/>
      <c r="C873" s="51"/>
      <c r="D873" s="51"/>
      <c r="E873" s="51"/>
      <c r="F873" s="51"/>
      <c r="G873" s="51"/>
      <c r="H873" s="51"/>
      <c r="I873" s="54"/>
      <c r="J873" s="54"/>
      <c r="K873" s="53"/>
      <c r="L873" s="52"/>
      <c r="M873" s="55"/>
      <c r="N873" s="52"/>
      <c r="O873" s="53"/>
      <c r="P873" s="54"/>
      <c r="Q873" s="54"/>
      <c r="R873" s="54"/>
      <c r="S873" s="54"/>
      <c r="T873" s="54"/>
      <c r="U873" s="82"/>
    </row>
    <row r="874" spans="2:21" x14ac:dyDescent="0.2">
      <c r="B874" s="51"/>
      <c r="C874" s="51"/>
      <c r="D874" s="51"/>
      <c r="E874" s="51"/>
      <c r="F874" s="51"/>
      <c r="G874" s="51"/>
      <c r="H874" s="51"/>
      <c r="I874" s="54"/>
      <c r="J874" s="54"/>
      <c r="K874" s="53"/>
      <c r="L874" s="52"/>
      <c r="M874" s="55"/>
      <c r="N874" s="52"/>
      <c r="O874" s="53"/>
      <c r="P874" s="54"/>
      <c r="Q874" s="54"/>
      <c r="R874" s="54"/>
      <c r="S874" s="54"/>
      <c r="T874" s="54"/>
      <c r="U874" s="82"/>
    </row>
    <row r="875" spans="2:21" x14ac:dyDescent="0.2">
      <c r="B875" s="51"/>
      <c r="C875" s="51"/>
      <c r="D875" s="51"/>
      <c r="E875" s="51"/>
      <c r="F875" s="51"/>
      <c r="G875" s="51"/>
      <c r="H875" s="51"/>
      <c r="I875" s="54"/>
      <c r="J875" s="54"/>
      <c r="K875" s="53"/>
      <c r="L875" s="52"/>
      <c r="M875" s="55"/>
      <c r="N875" s="52"/>
      <c r="O875" s="53"/>
      <c r="P875" s="54"/>
      <c r="Q875" s="54"/>
      <c r="R875" s="54"/>
      <c r="S875" s="54"/>
      <c r="T875" s="54"/>
      <c r="U875" s="82"/>
    </row>
    <row r="876" spans="2:21" x14ac:dyDescent="0.2">
      <c r="B876" s="51"/>
      <c r="C876" s="51"/>
      <c r="D876" s="51"/>
      <c r="E876" s="51"/>
      <c r="F876" s="51"/>
      <c r="G876" s="51"/>
      <c r="H876" s="51"/>
      <c r="I876" s="54"/>
      <c r="J876" s="54"/>
      <c r="K876" s="53"/>
      <c r="L876" s="52"/>
      <c r="M876" s="55"/>
      <c r="N876" s="52"/>
      <c r="O876" s="53"/>
      <c r="P876" s="54"/>
      <c r="Q876" s="54"/>
      <c r="R876" s="54"/>
      <c r="S876" s="54"/>
      <c r="T876" s="54"/>
      <c r="U876" s="82"/>
    </row>
    <row r="877" spans="2:21" x14ac:dyDescent="0.2">
      <c r="B877" s="51"/>
      <c r="C877" s="51"/>
      <c r="D877" s="51"/>
      <c r="E877" s="51"/>
      <c r="F877" s="51"/>
      <c r="G877" s="51"/>
      <c r="H877" s="51"/>
      <c r="I877" s="54"/>
      <c r="J877" s="54"/>
      <c r="K877" s="53"/>
      <c r="L877" s="52"/>
      <c r="M877" s="55"/>
      <c r="N877" s="52"/>
      <c r="O877" s="53"/>
      <c r="P877" s="54"/>
      <c r="Q877" s="54"/>
      <c r="R877" s="54"/>
      <c r="S877" s="54"/>
      <c r="T877" s="54"/>
      <c r="U877" s="82"/>
    </row>
    <row r="878" spans="2:21" x14ac:dyDescent="0.2">
      <c r="B878" s="51"/>
      <c r="C878" s="51"/>
      <c r="D878" s="51"/>
      <c r="E878" s="51"/>
      <c r="F878" s="51"/>
      <c r="G878" s="51"/>
      <c r="H878" s="51"/>
      <c r="I878" s="54"/>
      <c r="J878" s="54"/>
      <c r="K878" s="53"/>
      <c r="L878" s="52"/>
      <c r="M878" s="55"/>
      <c r="N878" s="52"/>
      <c r="O878" s="53"/>
      <c r="P878" s="54"/>
      <c r="Q878" s="54"/>
      <c r="R878" s="54"/>
      <c r="S878" s="54"/>
      <c r="T878" s="54"/>
      <c r="U878" s="82"/>
    </row>
    <row r="879" spans="2:21" x14ac:dyDescent="0.2">
      <c r="B879" s="51"/>
      <c r="C879" s="51"/>
      <c r="D879" s="51"/>
      <c r="E879" s="51"/>
      <c r="F879" s="51"/>
      <c r="G879" s="51"/>
      <c r="H879" s="51"/>
      <c r="I879" s="54"/>
      <c r="J879" s="54"/>
      <c r="K879" s="53"/>
      <c r="L879" s="52"/>
      <c r="M879" s="55"/>
      <c r="N879" s="52"/>
      <c r="O879" s="53"/>
      <c r="P879" s="54"/>
      <c r="Q879" s="54"/>
      <c r="R879" s="54"/>
      <c r="S879" s="54"/>
      <c r="T879" s="54"/>
      <c r="U879" s="82"/>
    </row>
    <row r="880" spans="2:21" x14ac:dyDescent="0.2">
      <c r="B880" s="51"/>
      <c r="C880" s="51"/>
      <c r="D880" s="51"/>
      <c r="E880" s="51"/>
      <c r="F880" s="51"/>
      <c r="G880" s="51"/>
      <c r="H880" s="51"/>
      <c r="I880" s="54"/>
      <c r="J880" s="54"/>
      <c r="K880" s="53"/>
      <c r="L880" s="52"/>
      <c r="M880" s="55"/>
      <c r="N880" s="52"/>
      <c r="O880" s="53"/>
      <c r="P880" s="54"/>
      <c r="Q880" s="54"/>
      <c r="R880" s="54"/>
      <c r="S880" s="54"/>
      <c r="T880" s="54"/>
      <c r="U880" s="82"/>
    </row>
    <row r="881" spans="2:21" x14ac:dyDescent="0.2">
      <c r="B881" s="51"/>
      <c r="C881" s="51"/>
      <c r="D881" s="51"/>
      <c r="E881" s="51"/>
      <c r="F881" s="51"/>
      <c r="G881" s="51"/>
      <c r="H881" s="51"/>
      <c r="I881" s="54"/>
      <c r="J881" s="54"/>
      <c r="K881" s="53"/>
      <c r="L881" s="52"/>
      <c r="M881" s="55"/>
      <c r="N881" s="52"/>
      <c r="O881" s="53"/>
      <c r="P881" s="54"/>
      <c r="Q881" s="54"/>
      <c r="R881" s="54"/>
      <c r="S881" s="54"/>
      <c r="T881" s="54"/>
      <c r="U881" s="82"/>
    </row>
    <row r="882" spans="2:21" x14ac:dyDescent="0.2">
      <c r="B882" s="51"/>
      <c r="C882" s="51"/>
      <c r="D882" s="51"/>
      <c r="E882" s="51"/>
      <c r="F882" s="51"/>
      <c r="G882" s="51"/>
      <c r="H882" s="51"/>
      <c r="I882" s="54"/>
      <c r="J882" s="54"/>
      <c r="K882" s="53"/>
      <c r="L882" s="52"/>
      <c r="M882" s="55"/>
      <c r="N882" s="52"/>
      <c r="O882" s="53"/>
      <c r="P882" s="54"/>
      <c r="Q882" s="54"/>
      <c r="R882" s="54"/>
      <c r="S882" s="54"/>
      <c r="T882" s="54"/>
      <c r="U882" s="82"/>
    </row>
    <row r="883" spans="2:21" x14ac:dyDescent="0.2">
      <c r="B883" s="51"/>
      <c r="C883" s="51"/>
      <c r="D883" s="51"/>
      <c r="E883" s="51"/>
      <c r="F883" s="51"/>
      <c r="G883" s="51"/>
      <c r="H883" s="51"/>
      <c r="I883" s="54"/>
      <c r="J883" s="54"/>
      <c r="K883" s="53"/>
      <c r="L883" s="52"/>
      <c r="M883" s="55"/>
      <c r="N883" s="52"/>
      <c r="O883" s="53"/>
      <c r="P883" s="54"/>
      <c r="Q883" s="54"/>
      <c r="R883" s="54"/>
      <c r="S883" s="54"/>
      <c r="T883" s="54"/>
      <c r="U883" s="82"/>
    </row>
    <row r="884" spans="2:21" x14ac:dyDescent="0.2">
      <c r="B884" s="51"/>
      <c r="C884" s="51"/>
      <c r="D884" s="51"/>
      <c r="E884" s="51"/>
      <c r="F884" s="51"/>
      <c r="G884" s="51"/>
      <c r="H884" s="51"/>
      <c r="I884" s="54"/>
      <c r="J884" s="54"/>
      <c r="K884" s="53"/>
      <c r="L884" s="52"/>
      <c r="M884" s="55"/>
      <c r="N884" s="52"/>
      <c r="O884" s="53"/>
      <c r="P884" s="54"/>
      <c r="Q884" s="54"/>
      <c r="R884" s="54"/>
      <c r="S884" s="54"/>
      <c r="T884" s="54"/>
      <c r="U884" s="82"/>
    </row>
    <row r="885" spans="2:21" x14ac:dyDescent="0.2">
      <c r="B885" s="51"/>
      <c r="C885" s="51"/>
      <c r="D885" s="51"/>
      <c r="E885" s="51"/>
      <c r="F885" s="51"/>
      <c r="G885" s="51"/>
      <c r="H885" s="51"/>
      <c r="I885" s="54"/>
      <c r="J885" s="54"/>
      <c r="K885" s="53"/>
      <c r="L885" s="52"/>
      <c r="M885" s="55"/>
      <c r="N885" s="52"/>
      <c r="O885" s="53"/>
      <c r="P885" s="54"/>
      <c r="Q885" s="54"/>
      <c r="R885" s="54"/>
      <c r="S885" s="54"/>
      <c r="T885" s="54"/>
      <c r="U885" s="82"/>
    </row>
    <row r="886" spans="2:21" x14ac:dyDescent="0.2">
      <c r="B886" s="51"/>
      <c r="C886" s="51"/>
      <c r="D886" s="51"/>
      <c r="E886" s="51"/>
      <c r="F886" s="51"/>
      <c r="G886" s="51"/>
      <c r="H886" s="51"/>
      <c r="I886" s="54"/>
      <c r="J886" s="54"/>
      <c r="K886" s="53"/>
      <c r="L886" s="52"/>
      <c r="M886" s="55"/>
      <c r="N886" s="52"/>
      <c r="O886" s="53"/>
      <c r="P886" s="54"/>
      <c r="Q886" s="54"/>
      <c r="R886" s="54"/>
      <c r="S886" s="54"/>
      <c r="T886" s="54"/>
      <c r="U886" s="82"/>
    </row>
    <row r="887" spans="2:21" x14ac:dyDescent="0.2">
      <c r="B887" s="51"/>
      <c r="C887" s="51"/>
      <c r="D887" s="51"/>
      <c r="E887" s="51"/>
      <c r="F887" s="51"/>
      <c r="G887" s="51"/>
      <c r="H887" s="51"/>
      <c r="I887" s="54"/>
      <c r="J887" s="54"/>
      <c r="K887" s="53"/>
      <c r="L887" s="52"/>
      <c r="M887" s="55"/>
      <c r="N887" s="52"/>
      <c r="O887" s="53"/>
      <c r="P887" s="54"/>
      <c r="Q887" s="54"/>
      <c r="R887" s="54"/>
      <c r="S887" s="54"/>
      <c r="T887" s="54"/>
      <c r="U887" s="82"/>
    </row>
    <row r="888" spans="2:21" x14ac:dyDescent="0.2">
      <c r="B888" s="51"/>
      <c r="C888" s="51"/>
      <c r="D888" s="51"/>
      <c r="E888" s="51"/>
      <c r="F888" s="51"/>
      <c r="G888" s="51"/>
      <c r="H888" s="51"/>
      <c r="I888" s="54"/>
      <c r="J888" s="54"/>
      <c r="K888" s="53"/>
      <c r="L888" s="52"/>
      <c r="M888" s="55"/>
      <c r="N888" s="52"/>
      <c r="O888" s="53"/>
      <c r="P888" s="54"/>
      <c r="Q888" s="54"/>
      <c r="R888" s="54"/>
      <c r="S888" s="54"/>
      <c r="T888" s="54"/>
      <c r="U888" s="82"/>
    </row>
    <row r="889" spans="2:21" x14ac:dyDescent="0.2">
      <c r="B889" s="51"/>
      <c r="C889" s="51"/>
      <c r="D889" s="51"/>
      <c r="E889" s="51"/>
      <c r="F889" s="51"/>
      <c r="G889" s="51"/>
      <c r="H889" s="51"/>
      <c r="I889" s="54"/>
      <c r="J889" s="54"/>
      <c r="K889" s="53"/>
      <c r="L889" s="52"/>
      <c r="M889" s="55"/>
      <c r="N889" s="52"/>
      <c r="O889" s="53"/>
      <c r="P889" s="54"/>
      <c r="Q889" s="54"/>
      <c r="R889" s="54"/>
      <c r="S889" s="54"/>
      <c r="T889" s="54"/>
      <c r="U889" s="82"/>
    </row>
    <row r="890" spans="2:21" x14ac:dyDescent="0.2">
      <c r="B890" s="51"/>
      <c r="C890" s="51"/>
      <c r="D890" s="51"/>
      <c r="E890" s="51"/>
      <c r="F890" s="51"/>
      <c r="G890" s="51"/>
      <c r="H890" s="51"/>
      <c r="I890" s="54"/>
      <c r="J890" s="54"/>
      <c r="K890" s="53"/>
      <c r="L890" s="52"/>
      <c r="M890" s="55"/>
      <c r="N890" s="52"/>
      <c r="O890" s="53"/>
      <c r="P890" s="54"/>
      <c r="Q890" s="54"/>
      <c r="R890" s="54"/>
      <c r="S890" s="54"/>
      <c r="T890" s="54"/>
      <c r="U890" s="82"/>
    </row>
    <row r="891" spans="2:21" x14ac:dyDescent="0.2">
      <c r="B891" s="51"/>
      <c r="C891" s="51"/>
      <c r="D891" s="51"/>
      <c r="E891" s="51"/>
      <c r="F891" s="51"/>
      <c r="G891" s="51"/>
      <c r="H891" s="51"/>
      <c r="I891" s="54"/>
      <c r="J891" s="54"/>
      <c r="K891" s="53"/>
      <c r="L891" s="52"/>
      <c r="M891" s="55"/>
      <c r="N891" s="52"/>
      <c r="O891" s="53"/>
      <c r="P891" s="54"/>
      <c r="Q891" s="54"/>
      <c r="R891" s="54"/>
      <c r="S891" s="54"/>
      <c r="T891" s="54"/>
      <c r="U891" s="82"/>
    </row>
    <row r="892" spans="2:21" x14ac:dyDescent="0.2">
      <c r="B892" s="51"/>
      <c r="C892" s="51"/>
      <c r="D892" s="51"/>
      <c r="E892" s="51"/>
      <c r="F892" s="51"/>
      <c r="G892" s="51"/>
      <c r="H892" s="51"/>
      <c r="I892" s="54"/>
      <c r="J892" s="54"/>
      <c r="K892" s="53"/>
      <c r="L892" s="52"/>
      <c r="M892" s="55"/>
      <c r="N892" s="52"/>
      <c r="O892" s="53"/>
      <c r="P892" s="54"/>
      <c r="Q892" s="54"/>
      <c r="R892" s="54"/>
      <c r="S892" s="54"/>
      <c r="T892" s="54"/>
      <c r="U892" s="82"/>
    </row>
    <row r="893" spans="2:21" x14ac:dyDescent="0.2">
      <c r="B893" s="51"/>
      <c r="C893" s="51"/>
      <c r="D893" s="51"/>
      <c r="E893" s="51"/>
      <c r="F893" s="51"/>
      <c r="G893" s="51"/>
      <c r="H893" s="51"/>
      <c r="I893" s="54"/>
      <c r="J893" s="54"/>
      <c r="K893" s="53"/>
      <c r="L893" s="52"/>
      <c r="M893" s="55"/>
      <c r="N893" s="52"/>
      <c r="O893" s="53"/>
      <c r="P893" s="54"/>
      <c r="Q893" s="54"/>
      <c r="R893" s="54"/>
      <c r="S893" s="54"/>
      <c r="T893" s="54"/>
      <c r="U893" s="82"/>
    </row>
    <row r="894" spans="2:21" x14ac:dyDescent="0.2">
      <c r="B894" s="51"/>
      <c r="C894" s="51"/>
      <c r="D894" s="51"/>
      <c r="E894" s="51"/>
      <c r="F894" s="51"/>
      <c r="G894" s="51"/>
      <c r="H894" s="51"/>
      <c r="I894" s="54"/>
      <c r="J894" s="54"/>
      <c r="K894" s="53"/>
      <c r="L894" s="52"/>
      <c r="M894" s="55"/>
      <c r="N894" s="52"/>
      <c r="O894" s="53"/>
      <c r="P894" s="54"/>
      <c r="Q894" s="54"/>
      <c r="R894" s="54"/>
      <c r="S894" s="54"/>
      <c r="T894" s="54"/>
      <c r="U894" s="82"/>
    </row>
    <row r="895" spans="2:21" x14ac:dyDescent="0.2">
      <c r="B895" s="51"/>
      <c r="C895" s="51"/>
      <c r="D895" s="51"/>
      <c r="E895" s="51"/>
      <c r="F895" s="51"/>
      <c r="G895" s="51"/>
      <c r="H895" s="51"/>
      <c r="I895" s="54"/>
      <c r="J895" s="54"/>
      <c r="K895" s="53"/>
      <c r="L895" s="52"/>
      <c r="M895" s="55"/>
      <c r="N895" s="52"/>
      <c r="O895" s="53"/>
      <c r="P895" s="54"/>
      <c r="Q895" s="54"/>
      <c r="R895" s="54"/>
      <c r="S895" s="54"/>
      <c r="T895" s="54"/>
      <c r="U895" s="82"/>
    </row>
    <row r="896" spans="2:21" x14ac:dyDescent="0.2">
      <c r="B896" s="51"/>
      <c r="C896" s="51"/>
      <c r="D896" s="51"/>
      <c r="E896" s="51"/>
      <c r="F896" s="51"/>
      <c r="G896" s="51"/>
      <c r="H896" s="51"/>
      <c r="I896" s="54"/>
      <c r="J896" s="54"/>
      <c r="K896" s="53"/>
      <c r="L896" s="52"/>
      <c r="M896" s="55"/>
      <c r="N896" s="52"/>
      <c r="O896" s="53"/>
      <c r="P896" s="54"/>
      <c r="Q896" s="54"/>
      <c r="R896" s="54"/>
      <c r="S896" s="54"/>
      <c r="T896" s="54"/>
      <c r="U896" s="82"/>
    </row>
    <row r="897" spans="2:21" x14ac:dyDescent="0.2">
      <c r="B897" s="51"/>
      <c r="C897" s="51"/>
      <c r="D897" s="51"/>
      <c r="E897" s="51"/>
      <c r="F897" s="51"/>
      <c r="G897" s="51"/>
      <c r="H897" s="51"/>
      <c r="I897" s="54"/>
      <c r="J897" s="54"/>
      <c r="K897" s="53"/>
      <c r="L897" s="52"/>
      <c r="M897" s="55"/>
      <c r="N897" s="52"/>
      <c r="O897" s="53"/>
      <c r="P897" s="54"/>
      <c r="Q897" s="54"/>
      <c r="R897" s="54"/>
      <c r="S897" s="54"/>
      <c r="T897" s="54"/>
      <c r="U897" s="82"/>
    </row>
    <row r="898" spans="2:21" x14ac:dyDescent="0.2">
      <c r="B898" s="51"/>
      <c r="C898" s="51"/>
      <c r="D898" s="51"/>
      <c r="E898" s="51"/>
      <c r="F898" s="51"/>
      <c r="G898" s="51"/>
      <c r="H898" s="51"/>
      <c r="I898" s="54"/>
      <c r="J898" s="54"/>
      <c r="K898" s="53"/>
      <c r="L898" s="52"/>
      <c r="M898" s="55"/>
      <c r="N898" s="52"/>
      <c r="O898" s="53"/>
      <c r="P898" s="54"/>
      <c r="Q898" s="54"/>
      <c r="R898" s="54"/>
      <c r="S898" s="54"/>
      <c r="T898" s="54"/>
      <c r="U898" s="82"/>
    </row>
    <row r="899" spans="2:21" x14ac:dyDescent="0.2">
      <c r="B899" s="51"/>
      <c r="C899" s="51"/>
      <c r="D899" s="51"/>
      <c r="E899" s="51"/>
      <c r="F899" s="51"/>
      <c r="G899" s="51"/>
      <c r="H899" s="51"/>
      <c r="I899" s="54"/>
      <c r="J899" s="54"/>
      <c r="K899" s="53"/>
      <c r="L899" s="52"/>
      <c r="M899" s="55"/>
      <c r="N899" s="52"/>
      <c r="O899" s="53"/>
      <c r="P899" s="54"/>
      <c r="Q899" s="54"/>
      <c r="R899" s="54"/>
      <c r="S899" s="54"/>
      <c r="T899" s="54"/>
      <c r="U899" s="82"/>
    </row>
    <row r="900" spans="2:21" x14ac:dyDescent="0.2">
      <c r="B900" s="51"/>
      <c r="C900" s="51"/>
      <c r="D900" s="51"/>
      <c r="E900" s="51"/>
      <c r="F900" s="51"/>
      <c r="G900" s="51"/>
      <c r="H900" s="51"/>
      <c r="I900" s="54"/>
      <c r="J900" s="54"/>
      <c r="K900" s="53"/>
      <c r="L900" s="52"/>
      <c r="M900" s="55"/>
      <c r="N900" s="52"/>
      <c r="O900" s="53"/>
      <c r="P900" s="54"/>
      <c r="Q900" s="54"/>
      <c r="R900" s="54"/>
      <c r="S900" s="54"/>
      <c r="T900" s="54"/>
      <c r="U900" s="82"/>
    </row>
    <row r="901" spans="2:21" x14ac:dyDescent="0.2">
      <c r="B901" s="51"/>
      <c r="C901" s="51"/>
      <c r="D901" s="51"/>
      <c r="E901" s="51"/>
      <c r="F901" s="51"/>
      <c r="G901" s="51"/>
      <c r="H901" s="51"/>
      <c r="I901" s="54"/>
      <c r="J901" s="54"/>
      <c r="K901" s="53"/>
      <c r="L901" s="52"/>
      <c r="M901" s="55"/>
      <c r="N901" s="52"/>
      <c r="O901" s="53"/>
      <c r="P901" s="54"/>
      <c r="Q901" s="54"/>
      <c r="R901" s="54"/>
      <c r="S901" s="54"/>
      <c r="T901" s="54"/>
      <c r="U901" s="82"/>
    </row>
    <row r="902" spans="2:21" x14ac:dyDescent="0.2">
      <c r="B902" s="51"/>
      <c r="C902" s="51"/>
      <c r="D902" s="51"/>
      <c r="E902" s="51"/>
      <c r="F902" s="51"/>
      <c r="G902" s="51"/>
      <c r="H902" s="51"/>
      <c r="I902" s="54"/>
      <c r="J902" s="54"/>
      <c r="K902" s="53"/>
      <c r="L902" s="52"/>
      <c r="M902" s="55"/>
      <c r="N902" s="52"/>
      <c r="O902" s="53"/>
      <c r="P902" s="54"/>
      <c r="Q902" s="54"/>
      <c r="R902" s="54"/>
      <c r="S902" s="54"/>
      <c r="T902" s="54"/>
      <c r="U902" s="82"/>
    </row>
    <row r="903" spans="2:21" x14ac:dyDescent="0.2">
      <c r="B903" s="51"/>
      <c r="C903" s="51"/>
      <c r="D903" s="51"/>
      <c r="E903" s="51"/>
      <c r="F903" s="51"/>
      <c r="G903" s="51"/>
      <c r="H903" s="51"/>
      <c r="I903" s="54"/>
      <c r="J903" s="54"/>
      <c r="K903" s="53"/>
      <c r="L903" s="52"/>
      <c r="M903" s="55"/>
      <c r="N903" s="52"/>
      <c r="O903" s="53"/>
      <c r="P903" s="54"/>
      <c r="Q903" s="54"/>
      <c r="R903" s="54"/>
      <c r="S903" s="54"/>
      <c r="T903" s="54"/>
      <c r="U903" s="82"/>
    </row>
    <row r="904" spans="2:21" x14ac:dyDescent="0.2">
      <c r="B904" s="51"/>
      <c r="C904" s="51"/>
      <c r="D904" s="51"/>
      <c r="E904" s="51"/>
      <c r="F904" s="51"/>
      <c r="G904" s="51"/>
      <c r="H904" s="51"/>
      <c r="I904" s="54"/>
      <c r="J904" s="54"/>
      <c r="K904" s="53"/>
      <c r="L904" s="52"/>
      <c r="M904" s="55"/>
      <c r="N904" s="52"/>
      <c r="O904" s="53"/>
      <c r="P904" s="54"/>
      <c r="Q904" s="54"/>
      <c r="R904" s="54"/>
      <c r="S904" s="54"/>
      <c r="T904" s="54"/>
      <c r="U904" s="82"/>
    </row>
    <row r="905" spans="2:21" x14ac:dyDescent="0.2">
      <c r="B905" s="51"/>
      <c r="C905" s="51"/>
      <c r="D905" s="51"/>
      <c r="E905" s="51"/>
      <c r="F905" s="51"/>
      <c r="G905" s="51"/>
      <c r="H905" s="51"/>
      <c r="I905" s="54"/>
      <c r="J905" s="54"/>
      <c r="K905" s="53"/>
      <c r="L905" s="52"/>
      <c r="M905" s="55"/>
      <c r="N905" s="52"/>
      <c r="O905" s="53"/>
      <c r="P905" s="54"/>
      <c r="Q905" s="54"/>
      <c r="R905" s="54"/>
      <c r="S905" s="54"/>
      <c r="T905" s="54"/>
      <c r="U905" s="82"/>
    </row>
    <row r="906" spans="2:21" x14ac:dyDescent="0.2">
      <c r="B906" s="51"/>
      <c r="C906" s="51"/>
      <c r="D906" s="51"/>
      <c r="E906" s="51"/>
      <c r="F906" s="51"/>
      <c r="G906" s="51"/>
      <c r="H906" s="51"/>
      <c r="I906" s="54"/>
      <c r="J906" s="54"/>
      <c r="K906" s="53"/>
      <c r="L906" s="52"/>
      <c r="M906" s="55"/>
      <c r="N906" s="52"/>
      <c r="O906" s="53"/>
      <c r="P906" s="54"/>
      <c r="Q906" s="54"/>
      <c r="R906" s="54"/>
      <c r="S906" s="54"/>
      <c r="T906" s="54"/>
      <c r="U906" s="82"/>
    </row>
    <row r="907" spans="2:21" x14ac:dyDescent="0.2">
      <c r="B907" s="51"/>
      <c r="C907" s="51"/>
      <c r="D907" s="51"/>
      <c r="E907" s="51"/>
      <c r="F907" s="51"/>
      <c r="G907" s="51"/>
      <c r="H907" s="51"/>
      <c r="I907" s="54"/>
      <c r="J907" s="54"/>
      <c r="K907" s="53"/>
      <c r="L907" s="52"/>
      <c r="M907" s="55"/>
      <c r="N907" s="52"/>
      <c r="O907" s="53"/>
      <c r="P907" s="54"/>
      <c r="Q907" s="54"/>
      <c r="R907" s="54"/>
      <c r="S907" s="54"/>
      <c r="T907" s="54"/>
      <c r="U907" s="82"/>
    </row>
    <row r="908" spans="2:21" x14ac:dyDescent="0.2">
      <c r="B908" s="51"/>
      <c r="C908" s="51"/>
      <c r="D908" s="51"/>
      <c r="E908" s="51"/>
      <c r="F908" s="51"/>
      <c r="G908" s="51"/>
      <c r="H908" s="51"/>
      <c r="I908" s="54"/>
      <c r="J908" s="54"/>
      <c r="K908" s="53"/>
      <c r="L908" s="52"/>
      <c r="M908" s="55"/>
      <c r="N908" s="52"/>
      <c r="O908" s="53"/>
      <c r="P908" s="54"/>
      <c r="Q908" s="54"/>
      <c r="R908" s="54"/>
      <c r="S908" s="54"/>
      <c r="T908" s="54"/>
      <c r="U908" s="82"/>
    </row>
    <row r="909" spans="2:21" x14ac:dyDescent="0.2">
      <c r="B909" s="51"/>
      <c r="C909" s="51"/>
      <c r="D909" s="51"/>
      <c r="E909" s="51"/>
      <c r="F909" s="51"/>
      <c r="G909" s="51"/>
      <c r="H909" s="51"/>
      <c r="I909" s="54"/>
      <c r="J909" s="54"/>
      <c r="K909" s="53"/>
      <c r="L909" s="52"/>
      <c r="M909" s="55"/>
      <c r="N909" s="52"/>
      <c r="O909" s="53"/>
      <c r="P909" s="54"/>
      <c r="Q909" s="54"/>
      <c r="R909" s="54"/>
      <c r="S909" s="54"/>
      <c r="T909" s="54"/>
      <c r="U909" s="82"/>
    </row>
    <row r="910" spans="2:21" x14ac:dyDescent="0.2">
      <c r="B910" s="51"/>
      <c r="C910" s="51"/>
      <c r="D910" s="51"/>
      <c r="E910" s="51"/>
      <c r="F910" s="51"/>
      <c r="G910" s="51"/>
      <c r="H910" s="51"/>
      <c r="I910" s="54"/>
      <c r="J910" s="54"/>
      <c r="K910" s="53"/>
      <c r="L910" s="52"/>
      <c r="M910" s="55"/>
      <c r="N910" s="52"/>
      <c r="O910" s="53"/>
      <c r="P910" s="54"/>
      <c r="Q910" s="54"/>
      <c r="R910" s="54"/>
      <c r="S910" s="54"/>
      <c r="T910" s="54"/>
      <c r="U910" s="82"/>
    </row>
    <row r="911" spans="2:21" x14ac:dyDescent="0.2">
      <c r="B911" s="51"/>
      <c r="C911" s="51"/>
      <c r="D911" s="51"/>
      <c r="E911" s="51"/>
      <c r="F911" s="51"/>
      <c r="G911" s="51"/>
      <c r="H911" s="51"/>
      <c r="I911" s="54"/>
      <c r="J911" s="54"/>
      <c r="K911" s="53"/>
      <c r="L911" s="52"/>
      <c r="M911" s="55"/>
      <c r="N911" s="52"/>
      <c r="O911" s="53"/>
      <c r="P911" s="54"/>
      <c r="Q911" s="54"/>
      <c r="R911" s="54"/>
      <c r="S911" s="54"/>
      <c r="T911" s="54"/>
      <c r="U911" s="82"/>
    </row>
    <row r="912" spans="2:21" x14ac:dyDescent="0.2">
      <c r="B912" s="51"/>
      <c r="C912" s="51"/>
      <c r="D912" s="51"/>
      <c r="E912" s="51"/>
      <c r="F912" s="51"/>
      <c r="G912" s="51"/>
      <c r="H912" s="51"/>
      <c r="I912" s="54"/>
      <c r="J912" s="54"/>
      <c r="K912" s="53"/>
      <c r="L912" s="52"/>
      <c r="M912" s="55"/>
      <c r="N912" s="52"/>
      <c r="O912" s="53"/>
      <c r="P912" s="54"/>
      <c r="Q912" s="54"/>
      <c r="R912" s="54"/>
      <c r="S912" s="54"/>
      <c r="T912" s="54"/>
      <c r="U912" s="82"/>
    </row>
    <row r="913" spans="2:21" x14ac:dyDescent="0.2">
      <c r="B913" s="51"/>
      <c r="C913" s="51"/>
      <c r="D913" s="51"/>
      <c r="E913" s="51"/>
      <c r="F913" s="51"/>
      <c r="G913" s="51"/>
      <c r="H913" s="51"/>
      <c r="I913" s="54"/>
      <c r="J913" s="54"/>
      <c r="K913" s="53"/>
      <c r="L913" s="52"/>
      <c r="M913" s="55"/>
      <c r="N913" s="52"/>
      <c r="O913" s="53"/>
      <c r="P913" s="54"/>
      <c r="Q913" s="54"/>
      <c r="R913" s="54"/>
      <c r="S913" s="54"/>
      <c r="T913" s="54"/>
      <c r="U913" s="82"/>
    </row>
    <row r="914" spans="2:21" x14ac:dyDescent="0.2">
      <c r="B914" s="51"/>
      <c r="C914" s="51"/>
      <c r="D914" s="51"/>
      <c r="E914" s="51"/>
      <c r="F914" s="51"/>
      <c r="G914" s="51"/>
      <c r="H914" s="51"/>
      <c r="I914" s="54"/>
      <c r="J914" s="54"/>
      <c r="K914" s="53"/>
      <c r="L914" s="52"/>
      <c r="M914" s="55"/>
      <c r="N914" s="52"/>
      <c r="O914" s="53"/>
      <c r="P914" s="54"/>
      <c r="Q914" s="54"/>
      <c r="R914" s="54"/>
      <c r="S914" s="54"/>
      <c r="T914" s="54"/>
      <c r="U914" s="82"/>
    </row>
    <row r="915" spans="2:21" x14ac:dyDescent="0.2">
      <c r="B915" s="51"/>
      <c r="C915" s="51"/>
      <c r="D915" s="51"/>
      <c r="E915" s="51"/>
      <c r="F915" s="51"/>
      <c r="G915" s="51"/>
      <c r="H915" s="51"/>
      <c r="I915" s="54"/>
      <c r="J915" s="54"/>
      <c r="K915" s="53"/>
      <c r="L915" s="52"/>
      <c r="M915" s="55"/>
      <c r="N915" s="52"/>
      <c r="O915" s="53"/>
      <c r="P915" s="54"/>
      <c r="Q915" s="54"/>
      <c r="R915" s="54"/>
      <c r="S915" s="54"/>
      <c r="T915" s="54"/>
      <c r="U915" s="82"/>
    </row>
    <row r="916" spans="2:21" x14ac:dyDescent="0.2">
      <c r="B916" s="51"/>
      <c r="C916" s="51"/>
      <c r="D916" s="51"/>
      <c r="E916" s="51"/>
      <c r="F916" s="51"/>
      <c r="G916" s="51"/>
      <c r="H916" s="51"/>
      <c r="I916" s="54"/>
      <c r="J916" s="54"/>
      <c r="K916" s="53"/>
      <c r="L916" s="52"/>
      <c r="M916" s="55"/>
      <c r="N916" s="52"/>
      <c r="O916" s="53"/>
      <c r="P916" s="54"/>
      <c r="Q916" s="54"/>
      <c r="R916" s="54"/>
      <c r="S916" s="54"/>
      <c r="T916" s="54"/>
      <c r="U916" s="82"/>
    </row>
    <row r="917" spans="2:21" x14ac:dyDescent="0.2">
      <c r="B917" s="51"/>
      <c r="C917" s="51"/>
      <c r="D917" s="51"/>
      <c r="E917" s="51"/>
      <c r="F917" s="51"/>
      <c r="G917" s="51"/>
      <c r="H917" s="51"/>
      <c r="I917" s="54"/>
      <c r="J917" s="54"/>
      <c r="K917" s="53"/>
      <c r="L917" s="52"/>
      <c r="M917" s="55"/>
      <c r="N917" s="52"/>
      <c r="O917" s="53"/>
      <c r="P917" s="54"/>
      <c r="Q917" s="54"/>
      <c r="R917" s="54"/>
      <c r="S917" s="54"/>
      <c r="T917" s="54"/>
      <c r="U917" s="82"/>
    </row>
    <row r="918" spans="2:21" x14ac:dyDescent="0.2">
      <c r="B918" s="51"/>
      <c r="C918" s="51"/>
      <c r="D918" s="51"/>
      <c r="E918" s="51"/>
      <c r="F918" s="51"/>
      <c r="G918" s="51"/>
      <c r="H918" s="51"/>
      <c r="I918" s="54"/>
      <c r="J918" s="54"/>
      <c r="K918" s="53"/>
      <c r="L918" s="52"/>
      <c r="M918" s="55"/>
      <c r="N918" s="52"/>
      <c r="O918" s="53"/>
      <c r="P918" s="54"/>
      <c r="Q918" s="54"/>
      <c r="R918" s="54"/>
      <c r="S918" s="54"/>
      <c r="T918" s="54"/>
      <c r="U918" s="82"/>
    </row>
    <row r="919" spans="2:21" x14ac:dyDescent="0.2">
      <c r="B919" s="51"/>
      <c r="C919" s="51"/>
      <c r="D919" s="51"/>
      <c r="E919" s="51"/>
      <c r="F919" s="51"/>
      <c r="G919" s="51"/>
      <c r="H919" s="51"/>
      <c r="I919" s="54"/>
      <c r="J919" s="54"/>
      <c r="K919" s="53"/>
      <c r="L919" s="52"/>
      <c r="M919" s="55"/>
      <c r="N919" s="52"/>
      <c r="O919" s="53"/>
      <c r="P919" s="54"/>
      <c r="Q919" s="54"/>
      <c r="R919" s="54"/>
      <c r="S919" s="54"/>
      <c r="T919" s="54"/>
      <c r="U919" s="82"/>
    </row>
    <row r="920" spans="2:21" x14ac:dyDescent="0.2">
      <c r="B920" s="51"/>
      <c r="C920" s="51"/>
      <c r="D920" s="51"/>
      <c r="E920" s="51"/>
      <c r="F920" s="51"/>
      <c r="G920" s="51"/>
      <c r="H920" s="51"/>
      <c r="I920" s="54"/>
      <c r="J920" s="54"/>
      <c r="K920" s="53"/>
      <c r="L920" s="52"/>
      <c r="M920" s="55"/>
      <c r="N920" s="52"/>
      <c r="O920" s="53"/>
      <c r="P920" s="54"/>
      <c r="Q920" s="54"/>
      <c r="R920" s="54"/>
      <c r="S920" s="54"/>
      <c r="T920" s="54"/>
      <c r="U920" s="82"/>
    </row>
    <row r="921" spans="2:21" x14ac:dyDescent="0.2">
      <c r="B921" s="51"/>
      <c r="C921" s="51"/>
      <c r="D921" s="51"/>
      <c r="E921" s="51"/>
      <c r="F921" s="51"/>
      <c r="G921" s="51"/>
      <c r="H921" s="51"/>
      <c r="I921" s="54"/>
      <c r="J921" s="54"/>
      <c r="K921" s="53"/>
      <c r="L921" s="52"/>
      <c r="M921" s="55"/>
      <c r="N921" s="52"/>
      <c r="O921" s="53"/>
      <c r="P921" s="54"/>
      <c r="Q921" s="54"/>
      <c r="R921" s="54"/>
      <c r="S921" s="54"/>
      <c r="T921" s="54"/>
      <c r="U921" s="82"/>
    </row>
    <row r="922" spans="2:21" x14ac:dyDescent="0.2">
      <c r="B922" s="51"/>
      <c r="C922" s="51"/>
      <c r="D922" s="51"/>
      <c r="E922" s="51"/>
      <c r="F922" s="51"/>
      <c r="G922" s="51"/>
      <c r="H922" s="51"/>
      <c r="I922" s="54"/>
      <c r="J922" s="54"/>
      <c r="K922" s="53"/>
      <c r="L922" s="52"/>
      <c r="M922" s="55"/>
      <c r="N922" s="52"/>
      <c r="O922" s="53"/>
      <c r="P922" s="54"/>
      <c r="Q922" s="54"/>
      <c r="R922" s="54"/>
      <c r="S922" s="54"/>
      <c r="T922" s="54"/>
      <c r="U922" s="82"/>
    </row>
    <row r="923" spans="2:21" x14ac:dyDescent="0.2">
      <c r="B923" s="51"/>
      <c r="C923" s="51"/>
      <c r="D923" s="51"/>
      <c r="E923" s="51"/>
      <c r="F923" s="51"/>
      <c r="G923" s="51"/>
      <c r="H923" s="51"/>
      <c r="I923" s="54"/>
      <c r="J923" s="54"/>
      <c r="K923" s="53"/>
      <c r="L923" s="52"/>
      <c r="M923" s="55"/>
      <c r="N923" s="52"/>
      <c r="O923" s="53"/>
      <c r="P923" s="54"/>
      <c r="Q923" s="54"/>
      <c r="R923" s="54"/>
      <c r="S923" s="54"/>
      <c r="T923" s="54"/>
      <c r="U923" s="82"/>
    </row>
    <row r="924" spans="2:21" x14ac:dyDescent="0.2">
      <c r="B924" s="51"/>
      <c r="C924" s="51"/>
      <c r="D924" s="51"/>
      <c r="E924" s="51"/>
      <c r="F924" s="51"/>
      <c r="G924" s="51"/>
      <c r="H924" s="51"/>
      <c r="I924" s="54"/>
      <c r="J924" s="54"/>
      <c r="K924" s="53"/>
      <c r="L924" s="52"/>
      <c r="M924" s="55"/>
      <c r="N924" s="52"/>
      <c r="O924" s="53"/>
      <c r="P924" s="54"/>
      <c r="Q924" s="54"/>
      <c r="R924" s="54"/>
      <c r="S924" s="54"/>
      <c r="T924" s="54"/>
      <c r="U924" s="82"/>
    </row>
    <row r="925" spans="2:21" x14ac:dyDescent="0.2">
      <c r="B925" s="51"/>
      <c r="C925" s="51"/>
      <c r="D925" s="51"/>
      <c r="E925" s="51"/>
      <c r="F925" s="51"/>
      <c r="G925" s="51"/>
      <c r="H925" s="51"/>
      <c r="I925" s="54"/>
      <c r="J925" s="54"/>
      <c r="K925" s="53"/>
      <c r="L925" s="52"/>
      <c r="M925" s="55"/>
      <c r="N925" s="52"/>
      <c r="O925" s="53"/>
      <c r="P925" s="54"/>
      <c r="Q925" s="54"/>
      <c r="R925" s="54"/>
      <c r="S925" s="54"/>
      <c r="T925" s="54"/>
      <c r="U925" s="82"/>
    </row>
    <row r="926" spans="2:21" x14ac:dyDescent="0.2">
      <c r="B926" s="51"/>
      <c r="C926" s="51"/>
      <c r="D926" s="51"/>
      <c r="E926" s="51"/>
      <c r="F926" s="51"/>
      <c r="G926" s="51"/>
      <c r="H926" s="51"/>
      <c r="I926" s="54"/>
      <c r="J926" s="54"/>
      <c r="K926" s="53"/>
      <c r="L926" s="52"/>
      <c r="M926" s="55"/>
      <c r="N926" s="52"/>
      <c r="O926" s="53"/>
      <c r="P926" s="54"/>
      <c r="Q926" s="54"/>
      <c r="R926" s="54"/>
      <c r="S926" s="54"/>
      <c r="T926" s="54"/>
      <c r="U926" s="82"/>
    </row>
    <row r="927" spans="2:21" x14ac:dyDescent="0.2">
      <c r="B927" s="51"/>
      <c r="C927" s="51"/>
      <c r="D927" s="51"/>
      <c r="E927" s="51"/>
      <c r="F927" s="51"/>
      <c r="G927" s="51"/>
      <c r="H927" s="51"/>
      <c r="I927" s="54"/>
      <c r="J927" s="54"/>
      <c r="K927" s="53"/>
      <c r="L927" s="52"/>
      <c r="M927" s="55"/>
      <c r="N927" s="52"/>
      <c r="O927" s="53"/>
      <c r="P927" s="54"/>
      <c r="Q927" s="54"/>
      <c r="R927" s="54"/>
      <c r="S927" s="54"/>
      <c r="T927" s="54"/>
      <c r="U927" s="82"/>
    </row>
    <row r="928" spans="2:21" x14ac:dyDescent="0.2">
      <c r="B928" s="51"/>
      <c r="C928" s="51"/>
      <c r="D928" s="51"/>
      <c r="E928" s="51"/>
      <c r="F928" s="51"/>
      <c r="G928" s="51"/>
      <c r="H928" s="51"/>
      <c r="I928" s="54"/>
      <c r="J928" s="54"/>
      <c r="K928" s="53"/>
      <c r="L928" s="52"/>
      <c r="M928" s="55"/>
      <c r="N928" s="52"/>
      <c r="O928" s="53"/>
      <c r="P928" s="54"/>
      <c r="Q928" s="54"/>
      <c r="R928" s="54"/>
      <c r="S928" s="54"/>
      <c r="T928" s="54"/>
      <c r="U928" s="82"/>
    </row>
    <row r="929" spans="2:21" x14ac:dyDescent="0.2">
      <c r="B929" s="51"/>
      <c r="C929" s="51"/>
      <c r="D929" s="51"/>
      <c r="E929" s="51"/>
      <c r="F929" s="51"/>
      <c r="G929" s="51"/>
      <c r="H929" s="51"/>
      <c r="I929" s="54"/>
      <c r="J929" s="54"/>
      <c r="K929" s="53"/>
      <c r="L929" s="52"/>
      <c r="M929" s="55"/>
      <c r="N929" s="52"/>
      <c r="O929" s="53"/>
      <c r="P929" s="54"/>
      <c r="Q929" s="54"/>
      <c r="R929" s="54"/>
      <c r="S929" s="54"/>
      <c r="T929" s="54"/>
      <c r="U929" s="82"/>
    </row>
    <row r="930" spans="2:21" x14ac:dyDescent="0.2">
      <c r="B930" s="51"/>
      <c r="C930" s="51"/>
      <c r="D930" s="51"/>
      <c r="E930" s="51"/>
      <c r="F930" s="51"/>
      <c r="G930" s="51"/>
      <c r="H930" s="51"/>
      <c r="I930" s="54"/>
      <c r="J930" s="54"/>
      <c r="K930" s="53"/>
      <c r="L930" s="52"/>
      <c r="M930" s="55"/>
      <c r="N930" s="52"/>
      <c r="O930" s="53"/>
      <c r="P930" s="54"/>
      <c r="Q930" s="54"/>
      <c r="R930" s="54"/>
      <c r="S930" s="54"/>
      <c r="T930" s="54"/>
      <c r="U930" s="82"/>
    </row>
    <row r="931" spans="2:21" x14ac:dyDescent="0.2">
      <c r="B931" s="51"/>
      <c r="C931" s="51"/>
      <c r="D931" s="51"/>
      <c r="E931" s="51"/>
      <c r="F931" s="51"/>
      <c r="G931" s="51"/>
      <c r="H931" s="51"/>
      <c r="I931" s="54"/>
      <c r="J931" s="54"/>
      <c r="K931" s="53"/>
      <c r="L931" s="52"/>
      <c r="M931" s="55"/>
      <c r="N931" s="52"/>
      <c r="O931" s="53"/>
      <c r="P931" s="54"/>
      <c r="Q931" s="54"/>
      <c r="R931" s="54"/>
      <c r="S931" s="54"/>
      <c r="T931" s="54"/>
      <c r="U931" s="82"/>
    </row>
    <row r="932" spans="2:21" x14ac:dyDescent="0.2">
      <c r="B932" s="51"/>
      <c r="C932" s="51"/>
      <c r="D932" s="51"/>
      <c r="E932" s="51"/>
      <c r="F932" s="51"/>
      <c r="G932" s="51"/>
      <c r="H932" s="51"/>
      <c r="I932" s="54"/>
      <c r="J932" s="54"/>
      <c r="K932" s="53"/>
      <c r="L932" s="52"/>
      <c r="M932" s="55"/>
      <c r="N932" s="52"/>
      <c r="O932" s="53"/>
      <c r="P932" s="54"/>
      <c r="Q932" s="54"/>
      <c r="R932" s="54"/>
      <c r="S932" s="54"/>
      <c r="T932" s="54"/>
      <c r="U932" s="82"/>
    </row>
    <row r="933" spans="2:21" x14ac:dyDescent="0.2">
      <c r="B933" s="51"/>
      <c r="C933" s="51"/>
      <c r="D933" s="51"/>
      <c r="E933" s="51"/>
      <c r="F933" s="51"/>
      <c r="G933" s="51"/>
      <c r="H933" s="51"/>
      <c r="I933" s="54"/>
      <c r="J933" s="54"/>
      <c r="K933" s="53"/>
      <c r="L933" s="52"/>
      <c r="M933" s="55"/>
      <c r="N933" s="52"/>
      <c r="O933" s="53"/>
      <c r="P933" s="54"/>
      <c r="Q933" s="54"/>
      <c r="R933" s="54"/>
      <c r="S933" s="54"/>
      <c r="T933" s="54"/>
      <c r="U933" s="82"/>
    </row>
    <row r="934" spans="2:21" x14ac:dyDescent="0.2">
      <c r="B934" s="51"/>
      <c r="C934" s="51"/>
      <c r="D934" s="51"/>
      <c r="E934" s="51"/>
      <c r="F934" s="51"/>
      <c r="G934" s="51"/>
      <c r="H934" s="51"/>
      <c r="I934" s="54"/>
      <c r="J934" s="54"/>
      <c r="K934" s="53"/>
      <c r="L934" s="52"/>
      <c r="M934" s="55"/>
      <c r="N934" s="52"/>
      <c r="O934" s="53"/>
      <c r="P934" s="54"/>
      <c r="Q934" s="54"/>
      <c r="R934" s="54"/>
      <c r="S934" s="54"/>
      <c r="T934" s="54"/>
      <c r="U934" s="82"/>
    </row>
    <row r="935" spans="2:21" x14ac:dyDescent="0.2">
      <c r="B935" s="51"/>
      <c r="C935" s="51"/>
      <c r="D935" s="51"/>
      <c r="E935" s="51"/>
      <c r="F935" s="51"/>
      <c r="G935" s="51"/>
      <c r="H935" s="51"/>
      <c r="I935" s="54"/>
      <c r="J935" s="54"/>
      <c r="K935" s="53"/>
      <c r="L935" s="52"/>
      <c r="M935" s="55"/>
      <c r="N935" s="52"/>
      <c r="O935" s="53"/>
      <c r="P935" s="54"/>
      <c r="Q935" s="54"/>
      <c r="R935" s="54"/>
      <c r="S935" s="54"/>
      <c r="T935" s="54"/>
      <c r="U935" s="82"/>
    </row>
    <row r="936" spans="2:21" x14ac:dyDescent="0.2">
      <c r="B936" s="51"/>
      <c r="C936" s="51"/>
      <c r="D936" s="51"/>
      <c r="E936" s="51"/>
      <c r="F936" s="51"/>
      <c r="G936" s="51"/>
      <c r="H936" s="51"/>
      <c r="I936" s="54"/>
      <c r="J936" s="54"/>
      <c r="K936" s="53"/>
      <c r="L936" s="52"/>
      <c r="M936" s="55"/>
      <c r="N936" s="52"/>
      <c r="O936" s="53"/>
      <c r="P936" s="54"/>
      <c r="Q936" s="54"/>
      <c r="R936" s="54"/>
      <c r="S936" s="54"/>
      <c r="T936" s="54"/>
      <c r="U936" s="82"/>
    </row>
    <row r="937" spans="2:21" x14ac:dyDescent="0.2">
      <c r="B937" s="51"/>
      <c r="C937" s="51"/>
      <c r="D937" s="51"/>
      <c r="E937" s="51"/>
      <c r="F937" s="51"/>
      <c r="G937" s="51"/>
      <c r="H937" s="51"/>
      <c r="I937" s="54"/>
      <c r="J937" s="54"/>
      <c r="K937" s="53"/>
      <c r="L937" s="52"/>
      <c r="M937" s="55"/>
      <c r="N937" s="52"/>
      <c r="O937" s="53"/>
      <c r="P937" s="54"/>
      <c r="Q937" s="54"/>
      <c r="R937" s="54"/>
      <c r="S937" s="54"/>
      <c r="T937" s="54"/>
      <c r="U937" s="82"/>
    </row>
    <row r="938" spans="2:21" x14ac:dyDescent="0.2">
      <c r="B938" s="51"/>
      <c r="C938" s="51"/>
      <c r="D938" s="51"/>
      <c r="E938" s="51"/>
      <c r="F938" s="51"/>
      <c r="G938" s="51"/>
      <c r="H938" s="51"/>
      <c r="I938" s="54"/>
      <c r="J938" s="54"/>
      <c r="K938" s="53"/>
      <c r="L938" s="52"/>
      <c r="M938" s="55"/>
      <c r="N938" s="52"/>
      <c r="O938" s="53"/>
      <c r="P938" s="54"/>
      <c r="Q938" s="54"/>
      <c r="R938" s="54"/>
      <c r="S938" s="54"/>
      <c r="T938" s="54"/>
      <c r="U938" s="82"/>
    </row>
    <row r="939" spans="2:21" x14ac:dyDescent="0.2">
      <c r="B939" s="51"/>
      <c r="C939" s="51"/>
      <c r="D939" s="51"/>
      <c r="E939" s="51"/>
      <c r="F939" s="51"/>
      <c r="G939" s="51"/>
      <c r="H939" s="51"/>
      <c r="I939" s="54"/>
      <c r="J939" s="54"/>
      <c r="K939" s="53"/>
      <c r="L939" s="52"/>
      <c r="M939" s="55"/>
      <c r="N939" s="52"/>
      <c r="O939" s="53"/>
      <c r="P939" s="54"/>
      <c r="Q939" s="54"/>
      <c r="R939" s="54"/>
      <c r="S939" s="54"/>
      <c r="T939" s="54"/>
      <c r="U939" s="82"/>
    </row>
    <row r="940" spans="2:21" x14ac:dyDescent="0.2">
      <c r="B940" s="51"/>
      <c r="C940" s="51"/>
      <c r="D940" s="51"/>
      <c r="E940" s="51"/>
      <c r="F940" s="51"/>
      <c r="G940" s="51"/>
      <c r="H940" s="51"/>
      <c r="I940" s="54"/>
      <c r="J940" s="54"/>
      <c r="K940" s="53"/>
      <c r="L940" s="52"/>
      <c r="M940" s="55"/>
      <c r="N940" s="52"/>
      <c r="O940" s="53"/>
      <c r="P940" s="54"/>
      <c r="Q940" s="54"/>
      <c r="R940" s="54"/>
      <c r="S940" s="54"/>
      <c r="T940" s="54"/>
      <c r="U940" s="82"/>
    </row>
    <row r="941" spans="2:21" x14ac:dyDescent="0.2">
      <c r="B941" s="51"/>
      <c r="C941" s="51"/>
      <c r="D941" s="51"/>
      <c r="E941" s="51"/>
      <c r="F941" s="51"/>
      <c r="G941" s="51"/>
      <c r="H941" s="51"/>
      <c r="I941" s="54"/>
      <c r="J941" s="54"/>
      <c r="K941" s="53"/>
      <c r="L941" s="52"/>
      <c r="M941" s="55"/>
      <c r="N941" s="52"/>
      <c r="O941" s="53"/>
      <c r="P941" s="54"/>
      <c r="Q941" s="54"/>
      <c r="R941" s="54"/>
      <c r="S941" s="54"/>
      <c r="T941" s="54"/>
      <c r="U941" s="82"/>
    </row>
    <row r="942" spans="2:21" x14ac:dyDescent="0.2">
      <c r="B942" s="51"/>
      <c r="C942" s="51"/>
      <c r="D942" s="51"/>
      <c r="E942" s="51"/>
      <c r="F942" s="51"/>
      <c r="G942" s="51"/>
      <c r="H942" s="51"/>
      <c r="I942" s="54"/>
      <c r="J942" s="54"/>
      <c r="K942" s="53"/>
      <c r="L942" s="52"/>
      <c r="M942" s="55"/>
      <c r="N942" s="52"/>
      <c r="O942" s="53"/>
      <c r="P942" s="54"/>
      <c r="Q942" s="54"/>
      <c r="R942" s="54"/>
      <c r="S942" s="54"/>
      <c r="T942" s="54"/>
      <c r="U942" s="82"/>
    </row>
    <row r="943" spans="2:21" x14ac:dyDescent="0.2">
      <c r="B943" s="51"/>
      <c r="C943" s="51"/>
      <c r="D943" s="51"/>
      <c r="E943" s="51"/>
      <c r="F943" s="51"/>
      <c r="G943" s="51"/>
      <c r="H943" s="51"/>
      <c r="I943" s="54"/>
      <c r="J943" s="54"/>
      <c r="K943" s="53"/>
      <c r="L943" s="52"/>
      <c r="M943" s="55"/>
      <c r="N943" s="52"/>
      <c r="O943" s="53"/>
      <c r="P943" s="54"/>
      <c r="Q943" s="54"/>
      <c r="R943" s="54"/>
      <c r="S943" s="54"/>
      <c r="T943" s="54"/>
      <c r="U943" s="82"/>
    </row>
    <row r="944" spans="2:21" x14ac:dyDescent="0.2">
      <c r="B944" s="51"/>
      <c r="C944" s="51"/>
      <c r="D944" s="51"/>
      <c r="E944" s="51"/>
      <c r="F944" s="51"/>
      <c r="G944" s="51"/>
      <c r="H944" s="51"/>
      <c r="I944" s="54"/>
      <c r="J944" s="54"/>
      <c r="K944" s="53"/>
      <c r="L944" s="52"/>
      <c r="M944" s="55"/>
      <c r="N944" s="52"/>
      <c r="O944" s="53"/>
      <c r="P944" s="54"/>
      <c r="Q944" s="54"/>
      <c r="R944" s="54"/>
      <c r="S944" s="54"/>
      <c r="T944" s="54"/>
      <c r="U944" s="82"/>
    </row>
    <row r="945" spans="2:21" x14ac:dyDescent="0.2">
      <c r="B945" s="51"/>
      <c r="C945" s="51"/>
      <c r="D945" s="51"/>
      <c r="E945" s="51"/>
      <c r="F945" s="51"/>
      <c r="G945" s="51"/>
      <c r="H945" s="51"/>
      <c r="I945" s="54"/>
      <c r="J945" s="54"/>
      <c r="K945" s="53"/>
      <c r="L945" s="52"/>
      <c r="M945" s="55"/>
      <c r="N945" s="52"/>
      <c r="O945" s="53"/>
      <c r="P945" s="54"/>
      <c r="Q945" s="54"/>
      <c r="R945" s="54"/>
      <c r="S945" s="54"/>
      <c r="T945" s="54"/>
      <c r="U945" s="82"/>
    </row>
    <row r="946" spans="2:21" x14ac:dyDescent="0.2">
      <c r="B946" s="51"/>
      <c r="C946" s="51"/>
      <c r="D946" s="51"/>
      <c r="E946" s="51"/>
      <c r="F946" s="51"/>
      <c r="G946" s="51"/>
      <c r="H946" s="51"/>
      <c r="I946" s="54"/>
      <c r="J946" s="54"/>
      <c r="K946" s="53"/>
      <c r="L946" s="52"/>
      <c r="M946" s="55"/>
      <c r="N946" s="52"/>
      <c r="O946" s="53"/>
      <c r="P946" s="54"/>
      <c r="Q946" s="54"/>
      <c r="R946" s="54"/>
      <c r="S946" s="54"/>
      <c r="T946" s="54"/>
      <c r="U946" s="82"/>
    </row>
    <row r="947" spans="2:21" x14ac:dyDescent="0.2">
      <c r="B947" s="51"/>
      <c r="C947" s="51"/>
      <c r="D947" s="51"/>
      <c r="E947" s="51"/>
      <c r="F947" s="51"/>
      <c r="G947" s="51"/>
      <c r="H947" s="51"/>
      <c r="I947" s="54"/>
      <c r="J947" s="54"/>
      <c r="K947" s="53"/>
      <c r="L947" s="52"/>
      <c r="M947" s="55"/>
      <c r="N947" s="52"/>
      <c r="O947" s="53"/>
      <c r="P947" s="54"/>
      <c r="Q947" s="54"/>
      <c r="R947" s="54"/>
      <c r="S947" s="54"/>
      <c r="T947" s="54"/>
      <c r="U947" s="82"/>
    </row>
    <row r="948" spans="2:21" x14ac:dyDescent="0.2">
      <c r="B948" s="51"/>
      <c r="C948" s="51"/>
      <c r="D948" s="51"/>
      <c r="E948" s="51"/>
      <c r="F948" s="51"/>
      <c r="G948" s="51"/>
      <c r="H948" s="51"/>
      <c r="I948" s="54"/>
      <c r="J948" s="54"/>
      <c r="K948" s="53"/>
      <c r="L948" s="52"/>
      <c r="M948" s="55"/>
      <c r="N948" s="52"/>
      <c r="O948" s="53"/>
      <c r="P948" s="54"/>
      <c r="Q948" s="54"/>
      <c r="R948" s="54"/>
      <c r="S948" s="54"/>
      <c r="T948" s="54"/>
      <c r="U948" s="82"/>
    </row>
    <row r="949" spans="2:21" x14ac:dyDescent="0.2">
      <c r="B949" s="51"/>
      <c r="C949" s="51"/>
      <c r="D949" s="51"/>
      <c r="E949" s="51"/>
      <c r="F949" s="51"/>
      <c r="G949" s="51"/>
      <c r="H949" s="51"/>
      <c r="I949" s="54"/>
      <c r="J949" s="54"/>
      <c r="K949" s="53"/>
      <c r="L949" s="52"/>
      <c r="M949" s="55"/>
      <c r="N949" s="52"/>
      <c r="O949" s="53"/>
      <c r="P949" s="54"/>
      <c r="Q949" s="54"/>
      <c r="R949" s="54"/>
      <c r="S949" s="54"/>
      <c r="T949" s="54"/>
      <c r="U949" s="82"/>
    </row>
    <row r="950" spans="2:21" x14ac:dyDescent="0.2">
      <c r="B950" s="51"/>
      <c r="C950" s="51"/>
      <c r="D950" s="51"/>
      <c r="E950" s="51"/>
      <c r="F950" s="51"/>
      <c r="G950" s="51"/>
      <c r="H950" s="51"/>
      <c r="I950" s="54"/>
      <c r="J950" s="54"/>
      <c r="K950" s="53"/>
      <c r="L950" s="52"/>
      <c r="M950" s="55"/>
      <c r="N950" s="52"/>
      <c r="O950" s="53"/>
      <c r="P950" s="54"/>
      <c r="Q950" s="54"/>
      <c r="R950" s="54"/>
      <c r="S950" s="54"/>
      <c r="T950" s="54"/>
      <c r="U950" s="82"/>
    </row>
    <row r="951" spans="2:21" x14ac:dyDescent="0.2">
      <c r="B951" s="51"/>
      <c r="C951" s="51"/>
      <c r="D951" s="51"/>
      <c r="E951" s="51"/>
      <c r="F951" s="51"/>
      <c r="G951" s="51"/>
      <c r="H951" s="51"/>
      <c r="I951" s="54"/>
      <c r="J951" s="54"/>
      <c r="K951" s="53"/>
      <c r="L951" s="52"/>
      <c r="M951" s="55"/>
      <c r="N951" s="52"/>
      <c r="O951" s="53"/>
      <c r="P951" s="54"/>
      <c r="Q951" s="54"/>
      <c r="R951" s="54"/>
      <c r="S951" s="54"/>
      <c r="T951" s="54"/>
      <c r="U951" s="82"/>
    </row>
    <row r="952" spans="2:21" x14ac:dyDescent="0.2">
      <c r="B952" s="51"/>
      <c r="C952" s="51"/>
      <c r="D952" s="51"/>
      <c r="E952" s="51"/>
      <c r="F952" s="51"/>
      <c r="G952" s="51"/>
      <c r="H952" s="51"/>
      <c r="I952" s="54"/>
      <c r="J952" s="54"/>
      <c r="K952" s="53"/>
      <c r="L952" s="52"/>
      <c r="M952" s="55"/>
      <c r="N952" s="52"/>
      <c r="O952" s="53"/>
      <c r="P952" s="54"/>
      <c r="Q952" s="54"/>
      <c r="R952" s="54"/>
      <c r="S952" s="54"/>
      <c r="T952" s="54"/>
      <c r="U952" s="82"/>
    </row>
    <row r="953" spans="2:21" x14ac:dyDescent="0.2">
      <c r="B953" s="51"/>
      <c r="C953" s="51"/>
      <c r="D953" s="51"/>
      <c r="E953" s="51"/>
      <c r="F953" s="51"/>
      <c r="G953" s="51"/>
      <c r="H953" s="51"/>
      <c r="I953" s="54"/>
      <c r="J953" s="54"/>
      <c r="K953" s="53"/>
      <c r="L953" s="52"/>
      <c r="M953" s="55"/>
      <c r="N953" s="52"/>
      <c r="O953" s="53"/>
      <c r="P953" s="54"/>
      <c r="Q953" s="54"/>
      <c r="R953" s="54"/>
      <c r="S953" s="54"/>
      <c r="T953" s="54"/>
      <c r="U953" s="82"/>
    </row>
    <row r="954" spans="2:21" x14ac:dyDescent="0.2">
      <c r="B954" s="51"/>
      <c r="C954" s="51"/>
      <c r="D954" s="51"/>
      <c r="E954" s="51"/>
      <c r="F954" s="51"/>
      <c r="G954" s="51"/>
      <c r="H954" s="51"/>
      <c r="I954" s="54"/>
      <c r="J954" s="54"/>
      <c r="K954" s="53"/>
      <c r="L954" s="52"/>
      <c r="M954" s="55"/>
      <c r="N954" s="52"/>
      <c r="O954" s="53"/>
      <c r="P954" s="54"/>
      <c r="Q954" s="54"/>
      <c r="R954" s="54"/>
      <c r="S954" s="54"/>
      <c r="T954" s="54"/>
      <c r="U954" s="82"/>
    </row>
    <row r="955" spans="2:21" x14ac:dyDescent="0.2">
      <c r="B955" s="51"/>
      <c r="C955" s="51"/>
      <c r="D955" s="51"/>
      <c r="E955" s="51"/>
      <c r="F955" s="51"/>
      <c r="G955" s="51"/>
      <c r="H955" s="51"/>
      <c r="I955" s="54"/>
      <c r="J955" s="54"/>
      <c r="K955" s="53"/>
      <c r="L955" s="52"/>
      <c r="M955" s="55"/>
      <c r="N955" s="52"/>
      <c r="O955" s="53"/>
      <c r="P955" s="54"/>
      <c r="Q955" s="54"/>
      <c r="R955" s="54"/>
      <c r="S955" s="54"/>
      <c r="T955" s="54"/>
      <c r="U955" s="82"/>
    </row>
    <row r="956" spans="2:21" x14ac:dyDescent="0.2">
      <c r="B956" s="51"/>
      <c r="C956" s="51"/>
      <c r="D956" s="51"/>
      <c r="E956" s="51"/>
      <c r="F956" s="51"/>
      <c r="G956" s="51"/>
      <c r="H956" s="51"/>
      <c r="I956" s="54"/>
      <c r="J956" s="54"/>
      <c r="K956" s="53"/>
      <c r="L956" s="52"/>
      <c r="M956" s="55"/>
      <c r="N956" s="52"/>
      <c r="O956" s="53"/>
      <c r="P956" s="54"/>
      <c r="Q956" s="54"/>
      <c r="R956" s="54"/>
      <c r="S956" s="54"/>
      <c r="T956" s="54"/>
      <c r="U956" s="82"/>
    </row>
    <row r="957" spans="2:21" x14ac:dyDescent="0.2">
      <c r="B957" s="51"/>
      <c r="C957" s="51"/>
      <c r="D957" s="51"/>
      <c r="E957" s="51"/>
      <c r="F957" s="51"/>
      <c r="G957" s="51"/>
      <c r="H957" s="51"/>
      <c r="I957" s="54"/>
      <c r="J957" s="54"/>
      <c r="K957" s="53"/>
      <c r="L957" s="52"/>
      <c r="M957" s="55"/>
      <c r="N957" s="52"/>
      <c r="O957" s="53"/>
      <c r="P957" s="54"/>
      <c r="Q957" s="54"/>
      <c r="R957" s="54"/>
      <c r="S957" s="54"/>
      <c r="T957" s="54"/>
      <c r="U957" s="82"/>
    </row>
    <row r="958" spans="2:21" x14ac:dyDescent="0.2">
      <c r="B958" s="51"/>
      <c r="C958" s="51"/>
      <c r="D958" s="51"/>
      <c r="E958" s="51"/>
      <c r="F958" s="51"/>
      <c r="G958" s="51"/>
      <c r="H958" s="51"/>
      <c r="I958" s="54"/>
      <c r="J958" s="54"/>
      <c r="K958" s="53"/>
      <c r="L958" s="52"/>
      <c r="M958" s="55"/>
      <c r="N958" s="52"/>
      <c r="O958" s="53"/>
      <c r="P958" s="54"/>
      <c r="Q958" s="54"/>
      <c r="R958" s="54"/>
      <c r="S958" s="54"/>
      <c r="T958" s="54"/>
      <c r="U958" s="82"/>
    </row>
    <row r="959" spans="2:21" x14ac:dyDescent="0.2">
      <c r="B959" s="51"/>
      <c r="C959" s="51"/>
      <c r="D959" s="51"/>
      <c r="E959" s="51"/>
      <c r="F959" s="51"/>
      <c r="G959" s="51"/>
      <c r="H959" s="51"/>
      <c r="I959" s="54"/>
      <c r="J959" s="54"/>
      <c r="K959" s="53"/>
      <c r="L959" s="52"/>
      <c r="M959" s="55"/>
      <c r="N959" s="52"/>
      <c r="O959" s="53"/>
      <c r="P959" s="54"/>
      <c r="Q959" s="54"/>
      <c r="R959" s="54"/>
      <c r="S959" s="54"/>
      <c r="T959" s="54"/>
      <c r="U959" s="82"/>
    </row>
    <row r="960" spans="2:21" x14ac:dyDescent="0.2">
      <c r="B960" s="51"/>
      <c r="C960" s="51"/>
      <c r="D960" s="51"/>
      <c r="E960" s="51"/>
      <c r="F960" s="51"/>
      <c r="G960" s="51"/>
      <c r="H960" s="51"/>
      <c r="I960" s="54"/>
      <c r="J960" s="54"/>
      <c r="K960" s="53"/>
      <c r="L960" s="52"/>
      <c r="M960" s="55"/>
      <c r="N960" s="52"/>
      <c r="O960" s="53"/>
      <c r="P960" s="54"/>
      <c r="Q960" s="54"/>
      <c r="R960" s="54"/>
      <c r="S960" s="54"/>
      <c r="T960" s="54"/>
      <c r="U960" s="82"/>
    </row>
    <row r="961" spans="2:21" x14ac:dyDescent="0.2">
      <c r="B961" s="51"/>
      <c r="C961" s="51"/>
      <c r="D961" s="51"/>
      <c r="E961" s="51"/>
      <c r="F961" s="51"/>
      <c r="G961" s="51"/>
      <c r="H961" s="51"/>
      <c r="I961" s="54"/>
      <c r="J961" s="54"/>
      <c r="K961" s="53"/>
      <c r="L961" s="52"/>
      <c r="M961" s="55"/>
      <c r="N961" s="52"/>
      <c r="O961" s="53"/>
      <c r="P961" s="54"/>
      <c r="Q961" s="54"/>
      <c r="R961" s="54"/>
      <c r="S961" s="54"/>
      <c r="T961" s="54"/>
      <c r="U961" s="82"/>
    </row>
    <row r="962" spans="2:21" x14ac:dyDescent="0.2">
      <c r="B962" s="51"/>
      <c r="C962" s="51"/>
      <c r="D962" s="51"/>
      <c r="E962" s="51"/>
      <c r="F962" s="51"/>
      <c r="G962" s="51"/>
      <c r="H962" s="51"/>
      <c r="I962" s="54"/>
      <c r="J962" s="54"/>
      <c r="K962" s="53"/>
      <c r="L962" s="52"/>
      <c r="M962" s="55"/>
      <c r="N962" s="52"/>
      <c r="O962" s="53"/>
      <c r="P962" s="54"/>
      <c r="Q962" s="54"/>
      <c r="R962" s="54"/>
      <c r="S962" s="54"/>
      <c r="T962" s="54"/>
      <c r="U962" s="82"/>
    </row>
    <row r="963" spans="2:21" x14ac:dyDescent="0.2">
      <c r="B963" s="51"/>
      <c r="C963" s="51"/>
      <c r="D963" s="51"/>
      <c r="E963" s="51"/>
      <c r="F963" s="51"/>
      <c r="G963" s="51"/>
      <c r="H963" s="51"/>
      <c r="I963" s="54"/>
      <c r="J963" s="54"/>
      <c r="K963" s="53"/>
      <c r="L963" s="52"/>
      <c r="M963" s="55"/>
      <c r="N963" s="52"/>
      <c r="O963" s="53"/>
      <c r="P963" s="54"/>
      <c r="Q963" s="54"/>
      <c r="R963" s="54"/>
      <c r="S963" s="54"/>
      <c r="T963" s="54"/>
      <c r="U963" s="82"/>
    </row>
    <row r="964" spans="2:21" x14ac:dyDescent="0.2">
      <c r="B964" s="51"/>
      <c r="C964" s="51"/>
      <c r="D964" s="51"/>
      <c r="E964" s="51"/>
      <c r="F964" s="51"/>
      <c r="G964" s="51"/>
      <c r="H964" s="51"/>
      <c r="I964" s="54"/>
      <c r="J964" s="54"/>
      <c r="K964" s="53"/>
      <c r="L964" s="52"/>
      <c r="M964" s="55"/>
      <c r="N964" s="52"/>
      <c r="O964" s="53"/>
      <c r="P964" s="54"/>
      <c r="Q964" s="54"/>
      <c r="R964" s="54"/>
      <c r="S964" s="54"/>
      <c r="T964" s="54"/>
      <c r="U964" s="82"/>
    </row>
    <row r="965" spans="2:21" x14ac:dyDescent="0.2">
      <c r="B965" s="51"/>
      <c r="C965" s="51"/>
      <c r="D965" s="51"/>
      <c r="E965" s="51"/>
      <c r="F965" s="51"/>
      <c r="G965" s="51"/>
      <c r="H965" s="51"/>
      <c r="I965" s="54"/>
      <c r="J965" s="54"/>
      <c r="K965" s="53"/>
      <c r="L965" s="52"/>
      <c r="M965" s="55"/>
      <c r="N965" s="52"/>
      <c r="O965" s="53"/>
      <c r="P965" s="54"/>
      <c r="Q965" s="54"/>
      <c r="R965" s="54"/>
      <c r="S965" s="54"/>
      <c r="T965" s="54"/>
      <c r="U965" s="82"/>
    </row>
    <row r="966" spans="2:21" x14ac:dyDescent="0.2">
      <c r="B966" s="51"/>
      <c r="C966" s="51"/>
      <c r="D966" s="51"/>
      <c r="E966" s="51"/>
      <c r="F966" s="51"/>
      <c r="G966" s="51"/>
      <c r="H966" s="51"/>
      <c r="I966" s="54"/>
      <c r="J966" s="54"/>
      <c r="K966" s="53"/>
      <c r="L966" s="52"/>
      <c r="M966" s="55"/>
      <c r="N966" s="52"/>
      <c r="O966" s="53"/>
      <c r="P966" s="54"/>
      <c r="Q966" s="54"/>
      <c r="R966" s="54"/>
      <c r="S966" s="54"/>
      <c r="T966" s="54"/>
      <c r="U966" s="82"/>
    </row>
    <row r="967" spans="2:21" x14ac:dyDescent="0.2">
      <c r="B967" s="51"/>
      <c r="C967" s="51"/>
      <c r="D967" s="51"/>
      <c r="E967" s="51"/>
      <c r="F967" s="51"/>
      <c r="G967" s="51"/>
      <c r="H967" s="51"/>
      <c r="I967" s="54"/>
      <c r="J967" s="54"/>
      <c r="K967" s="53"/>
      <c r="L967" s="52"/>
      <c r="M967" s="55"/>
      <c r="N967" s="52"/>
      <c r="O967" s="53"/>
      <c r="P967" s="54"/>
      <c r="Q967" s="54"/>
      <c r="R967" s="54"/>
      <c r="S967" s="54"/>
      <c r="T967" s="54"/>
      <c r="U967" s="82"/>
    </row>
    <row r="968" spans="2:21" x14ac:dyDescent="0.2">
      <c r="B968" s="51"/>
      <c r="C968" s="51"/>
      <c r="D968" s="51"/>
      <c r="E968" s="51"/>
      <c r="F968" s="51"/>
      <c r="G968" s="51"/>
      <c r="H968" s="51"/>
      <c r="I968" s="54"/>
      <c r="J968" s="54"/>
      <c r="K968" s="53"/>
      <c r="L968" s="52"/>
      <c r="M968" s="55"/>
      <c r="N968" s="52"/>
      <c r="O968" s="53"/>
      <c r="P968" s="54"/>
      <c r="Q968" s="54"/>
      <c r="R968" s="54"/>
      <c r="S968" s="54"/>
      <c r="T968" s="54"/>
      <c r="U968" s="82"/>
    </row>
    <row r="969" spans="2:21" x14ac:dyDescent="0.2">
      <c r="B969" s="51"/>
      <c r="C969" s="51"/>
      <c r="D969" s="51"/>
      <c r="E969" s="51"/>
      <c r="F969" s="51"/>
      <c r="G969" s="51"/>
      <c r="H969" s="51"/>
      <c r="I969" s="54"/>
      <c r="J969" s="54"/>
      <c r="K969" s="53"/>
      <c r="L969" s="52"/>
      <c r="M969" s="55"/>
      <c r="N969" s="52"/>
      <c r="O969" s="53"/>
      <c r="P969" s="54"/>
      <c r="Q969" s="54"/>
      <c r="R969" s="54"/>
      <c r="S969" s="54"/>
      <c r="T969" s="54"/>
      <c r="U969" s="82"/>
    </row>
    <row r="970" spans="2:21" x14ac:dyDescent="0.2">
      <c r="B970" s="51"/>
      <c r="C970" s="51"/>
      <c r="D970" s="51"/>
      <c r="E970" s="51"/>
      <c r="F970" s="51"/>
      <c r="G970" s="51"/>
      <c r="H970" s="51"/>
      <c r="I970" s="54"/>
      <c r="J970" s="54"/>
      <c r="K970" s="53"/>
      <c r="L970" s="52"/>
      <c r="M970" s="55"/>
      <c r="N970" s="52"/>
      <c r="O970" s="53"/>
      <c r="P970" s="54"/>
      <c r="Q970" s="54"/>
      <c r="R970" s="54"/>
      <c r="S970" s="54"/>
      <c r="T970" s="54"/>
      <c r="U970" s="82"/>
    </row>
    <row r="971" spans="2:21" x14ac:dyDescent="0.2">
      <c r="B971" s="51"/>
      <c r="C971" s="51"/>
      <c r="D971" s="51"/>
      <c r="E971" s="51"/>
      <c r="F971" s="51"/>
      <c r="G971" s="51"/>
      <c r="H971" s="51"/>
      <c r="I971" s="54"/>
      <c r="J971" s="54"/>
      <c r="K971" s="53"/>
      <c r="L971" s="52"/>
      <c r="M971" s="55"/>
      <c r="N971" s="52"/>
      <c r="O971" s="53"/>
      <c r="P971" s="54"/>
      <c r="Q971" s="54"/>
      <c r="R971" s="54"/>
      <c r="S971" s="54"/>
      <c r="T971" s="54"/>
      <c r="U971" s="82"/>
    </row>
    <row r="972" spans="2:21" x14ac:dyDescent="0.2">
      <c r="B972" s="51"/>
      <c r="C972" s="51"/>
      <c r="D972" s="51"/>
      <c r="E972" s="51"/>
      <c r="F972" s="51"/>
      <c r="G972" s="51"/>
      <c r="H972" s="51"/>
      <c r="I972" s="54"/>
      <c r="J972" s="54"/>
      <c r="K972" s="53"/>
      <c r="L972" s="52"/>
      <c r="M972" s="55"/>
      <c r="N972" s="52"/>
      <c r="O972" s="53"/>
      <c r="P972" s="54"/>
      <c r="Q972" s="54"/>
      <c r="R972" s="54"/>
      <c r="S972" s="54"/>
      <c r="T972" s="54"/>
      <c r="U972" s="82"/>
    </row>
    <row r="973" spans="2:21" x14ac:dyDescent="0.2">
      <c r="B973" s="51"/>
      <c r="C973" s="51"/>
      <c r="D973" s="51"/>
      <c r="E973" s="51"/>
      <c r="F973" s="51"/>
      <c r="G973" s="51"/>
      <c r="H973" s="51"/>
      <c r="I973" s="54"/>
      <c r="J973" s="54"/>
      <c r="K973" s="53"/>
      <c r="L973" s="52"/>
      <c r="M973" s="55"/>
      <c r="N973" s="52"/>
      <c r="O973" s="53"/>
      <c r="P973" s="54"/>
      <c r="Q973" s="54"/>
      <c r="R973" s="54"/>
      <c r="S973" s="54"/>
      <c r="T973" s="54"/>
      <c r="U973" s="82"/>
    </row>
    <row r="974" spans="2:21" x14ac:dyDescent="0.2">
      <c r="B974" s="51"/>
      <c r="C974" s="51"/>
      <c r="D974" s="51"/>
      <c r="E974" s="51"/>
      <c r="F974" s="51"/>
      <c r="G974" s="51"/>
      <c r="H974" s="51"/>
      <c r="I974" s="54"/>
      <c r="J974" s="54"/>
      <c r="K974" s="53"/>
      <c r="L974" s="52"/>
      <c r="M974" s="55"/>
      <c r="N974" s="52"/>
      <c r="O974" s="53"/>
      <c r="P974" s="54"/>
      <c r="Q974" s="54"/>
      <c r="R974" s="54"/>
      <c r="S974" s="54"/>
      <c r="T974" s="54"/>
      <c r="U974" s="82"/>
    </row>
    <row r="975" spans="2:21" x14ac:dyDescent="0.2">
      <c r="B975" s="51"/>
      <c r="C975" s="51"/>
      <c r="D975" s="51"/>
      <c r="E975" s="51"/>
      <c r="F975" s="51"/>
      <c r="G975" s="51"/>
      <c r="H975" s="51"/>
      <c r="I975" s="54"/>
      <c r="J975" s="54"/>
      <c r="K975" s="53"/>
      <c r="L975" s="52"/>
      <c r="M975" s="55"/>
      <c r="N975" s="52"/>
      <c r="O975" s="53"/>
      <c r="P975" s="54"/>
      <c r="Q975" s="54"/>
      <c r="R975" s="54"/>
      <c r="S975" s="54"/>
      <c r="T975" s="54"/>
      <c r="U975" s="82"/>
    </row>
    <row r="976" spans="2:21" x14ac:dyDescent="0.2">
      <c r="B976" s="51"/>
      <c r="C976" s="51"/>
      <c r="D976" s="51"/>
      <c r="E976" s="51"/>
      <c r="F976" s="51"/>
      <c r="G976" s="51"/>
      <c r="H976" s="51"/>
      <c r="I976" s="54"/>
      <c r="J976" s="54"/>
      <c r="K976" s="53"/>
      <c r="L976" s="52"/>
      <c r="M976" s="55"/>
      <c r="N976" s="52"/>
      <c r="O976" s="53"/>
      <c r="P976" s="54"/>
      <c r="Q976" s="54"/>
      <c r="R976" s="54"/>
      <c r="S976" s="54"/>
      <c r="T976" s="54"/>
      <c r="U976" s="82"/>
    </row>
    <row r="977" spans="2:21" x14ac:dyDescent="0.2">
      <c r="B977" s="51"/>
      <c r="C977" s="51"/>
      <c r="D977" s="51"/>
      <c r="E977" s="51"/>
      <c r="F977" s="51"/>
      <c r="G977" s="51"/>
      <c r="H977" s="51"/>
      <c r="I977" s="54"/>
      <c r="J977" s="54"/>
      <c r="K977" s="53"/>
      <c r="L977" s="52"/>
      <c r="M977" s="55"/>
      <c r="N977" s="52"/>
      <c r="O977" s="53"/>
      <c r="P977" s="54"/>
      <c r="Q977" s="54"/>
      <c r="R977" s="54"/>
      <c r="S977" s="54"/>
      <c r="T977" s="54"/>
      <c r="U977" s="82"/>
    </row>
    <row r="978" spans="2:21" x14ac:dyDescent="0.2">
      <c r="B978" s="51"/>
      <c r="C978" s="51"/>
      <c r="D978" s="51"/>
      <c r="E978" s="51"/>
      <c r="F978" s="51"/>
      <c r="G978" s="51"/>
      <c r="H978" s="51"/>
      <c r="I978" s="54"/>
      <c r="J978" s="54"/>
      <c r="K978" s="53"/>
      <c r="L978" s="52"/>
      <c r="M978" s="55"/>
      <c r="N978" s="52"/>
      <c r="O978" s="53"/>
      <c r="P978" s="54"/>
      <c r="Q978" s="54"/>
      <c r="R978" s="54"/>
      <c r="S978" s="54"/>
      <c r="T978" s="54"/>
      <c r="U978" s="82"/>
    </row>
    <row r="979" spans="2:21" x14ac:dyDescent="0.2">
      <c r="B979" s="51"/>
      <c r="C979" s="51"/>
      <c r="D979" s="51"/>
      <c r="E979" s="51"/>
      <c r="F979" s="51"/>
      <c r="G979" s="51"/>
      <c r="H979" s="51"/>
      <c r="I979" s="54"/>
      <c r="J979" s="54"/>
      <c r="K979" s="53"/>
      <c r="L979" s="52"/>
      <c r="M979" s="55"/>
      <c r="N979" s="52"/>
      <c r="O979" s="53"/>
      <c r="P979" s="54"/>
      <c r="Q979" s="54"/>
      <c r="R979" s="54"/>
      <c r="S979" s="54"/>
      <c r="T979" s="54"/>
      <c r="U979" s="82"/>
    </row>
    <row r="980" spans="2:21" x14ac:dyDescent="0.2">
      <c r="B980" s="51"/>
      <c r="C980" s="51"/>
      <c r="D980" s="51"/>
      <c r="E980" s="51"/>
      <c r="F980" s="51"/>
      <c r="G980" s="51"/>
      <c r="H980" s="51"/>
      <c r="I980" s="54"/>
      <c r="J980" s="54"/>
      <c r="K980" s="53"/>
      <c r="L980" s="52"/>
      <c r="M980" s="55"/>
      <c r="N980" s="52"/>
      <c r="O980" s="53"/>
      <c r="P980" s="54"/>
      <c r="Q980" s="54"/>
      <c r="R980" s="54"/>
      <c r="S980" s="54"/>
      <c r="T980" s="54"/>
      <c r="U980" s="82"/>
    </row>
    <row r="981" spans="2:21" x14ac:dyDescent="0.2">
      <c r="B981" s="51"/>
      <c r="C981" s="51"/>
      <c r="D981" s="51"/>
      <c r="E981" s="51"/>
      <c r="F981" s="51"/>
      <c r="G981" s="51"/>
      <c r="H981" s="51"/>
      <c r="I981" s="54"/>
      <c r="J981" s="54"/>
      <c r="K981" s="53"/>
      <c r="L981" s="52"/>
      <c r="M981" s="55"/>
      <c r="N981" s="52"/>
      <c r="O981" s="53"/>
      <c r="P981" s="54"/>
      <c r="Q981" s="54"/>
      <c r="R981" s="54"/>
      <c r="S981" s="54"/>
      <c r="T981" s="54"/>
      <c r="U981" s="82"/>
    </row>
    <row r="982" spans="2:21" x14ac:dyDescent="0.2">
      <c r="B982" s="51"/>
      <c r="C982" s="51"/>
      <c r="D982" s="51"/>
      <c r="E982" s="51"/>
      <c r="F982" s="51"/>
      <c r="G982" s="51"/>
      <c r="H982" s="51"/>
      <c r="I982" s="54"/>
      <c r="J982" s="54"/>
      <c r="K982" s="53"/>
      <c r="L982" s="52"/>
      <c r="M982" s="55"/>
      <c r="N982" s="52"/>
      <c r="O982" s="53"/>
      <c r="P982" s="54"/>
      <c r="Q982" s="54"/>
      <c r="R982" s="54"/>
      <c r="S982" s="54"/>
      <c r="T982" s="54"/>
      <c r="U982" s="82"/>
    </row>
    <row r="983" spans="2:21" x14ac:dyDescent="0.2">
      <c r="B983" s="51"/>
      <c r="C983" s="51"/>
      <c r="D983" s="51"/>
      <c r="E983" s="51"/>
      <c r="F983" s="51"/>
      <c r="G983" s="51"/>
      <c r="H983" s="51"/>
      <c r="I983" s="54"/>
      <c r="J983" s="54"/>
      <c r="K983" s="53"/>
      <c r="L983" s="52"/>
      <c r="M983" s="55"/>
      <c r="N983" s="52"/>
      <c r="O983" s="53"/>
      <c r="P983" s="54"/>
      <c r="Q983" s="54"/>
      <c r="R983" s="54"/>
      <c r="S983" s="54"/>
      <c r="T983" s="54"/>
      <c r="U983" s="82"/>
    </row>
    <row r="984" spans="2:21" x14ac:dyDescent="0.2">
      <c r="B984" s="51"/>
      <c r="C984" s="51"/>
      <c r="D984" s="51"/>
      <c r="E984" s="51"/>
      <c r="F984" s="51"/>
      <c r="G984" s="51"/>
      <c r="H984" s="51"/>
      <c r="I984" s="54"/>
      <c r="J984" s="54"/>
      <c r="K984" s="53"/>
      <c r="L984" s="52"/>
      <c r="M984" s="55"/>
      <c r="N984" s="52"/>
      <c r="O984" s="53"/>
      <c r="P984" s="54"/>
      <c r="Q984" s="54"/>
      <c r="R984" s="54"/>
      <c r="S984" s="54"/>
      <c r="T984" s="54"/>
      <c r="U984" s="82"/>
    </row>
    <row r="985" spans="2:21" x14ac:dyDescent="0.2">
      <c r="B985" s="51"/>
      <c r="C985" s="51"/>
      <c r="D985" s="51"/>
      <c r="E985" s="51"/>
      <c r="F985" s="51"/>
      <c r="G985" s="51"/>
      <c r="H985" s="51"/>
      <c r="I985" s="54"/>
      <c r="J985" s="54"/>
      <c r="K985" s="53"/>
      <c r="L985" s="52"/>
      <c r="M985" s="55"/>
      <c r="N985" s="52"/>
      <c r="O985" s="53"/>
      <c r="P985" s="54"/>
      <c r="Q985" s="54"/>
      <c r="R985" s="54"/>
      <c r="S985" s="54"/>
      <c r="T985" s="54"/>
      <c r="U985" s="82"/>
    </row>
    <row r="986" spans="2:21" x14ac:dyDescent="0.2">
      <c r="B986" s="51"/>
      <c r="C986" s="51"/>
      <c r="D986" s="51"/>
      <c r="E986" s="51"/>
      <c r="F986" s="51"/>
      <c r="G986" s="51"/>
      <c r="H986" s="51"/>
      <c r="I986" s="54"/>
      <c r="J986" s="54"/>
      <c r="K986" s="53"/>
      <c r="L986" s="52"/>
      <c r="M986" s="55"/>
      <c r="N986" s="52"/>
      <c r="O986" s="53"/>
      <c r="P986" s="54"/>
      <c r="Q986" s="54"/>
      <c r="R986" s="54"/>
      <c r="S986" s="54"/>
      <c r="T986" s="54"/>
      <c r="U986" s="82"/>
    </row>
    <row r="987" spans="2:21" x14ac:dyDescent="0.2">
      <c r="B987" s="51"/>
      <c r="C987" s="51"/>
      <c r="D987" s="51"/>
      <c r="E987" s="51"/>
      <c r="F987" s="51"/>
      <c r="G987" s="51"/>
      <c r="H987" s="51"/>
      <c r="I987" s="54"/>
      <c r="J987" s="54"/>
      <c r="K987" s="53"/>
      <c r="L987" s="52"/>
      <c r="M987" s="55"/>
      <c r="N987" s="52"/>
      <c r="O987" s="53"/>
      <c r="P987" s="54"/>
      <c r="Q987" s="54"/>
      <c r="R987" s="54"/>
      <c r="S987" s="54"/>
      <c r="T987" s="54"/>
      <c r="U987" s="82"/>
    </row>
    <row r="988" spans="2:21" x14ac:dyDescent="0.2">
      <c r="B988" s="51"/>
      <c r="C988" s="51"/>
      <c r="D988" s="51"/>
      <c r="E988" s="51"/>
      <c r="F988" s="51"/>
      <c r="G988" s="51"/>
      <c r="H988" s="51"/>
      <c r="I988" s="54"/>
      <c r="J988" s="54"/>
      <c r="K988" s="53"/>
      <c r="L988" s="52"/>
      <c r="M988" s="55"/>
      <c r="N988" s="52"/>
      <c r="O988" s="53"/>
      <c r="P988" s="54"/>
      <c r="Q988" s="54"/>
      <c r="R988" s="54"/>
      <c r="S988" s="54"/>
      <c r="T988" s="54"/>
      <c r="U988" s="82"/>
    </row>
    <row r="989" spans="2:21" x14ac:dyDescent="0.2">
      <c r="B989" s="51"/>
      <c r="C989" s="51"/>
      <c r="D989" s="51"/>
      <c r="E989" s="51"/>
      <c r="F989" s="51"/>
      <c r="G989" s="51"/>
      <c r="H989" s="51"/>
      <c r="I989" s="54"/>
      <c r="J989" s="54"/>
      <c r="K989" s="53"/>
      <c r="L989" s="52"/>
      <c r="M989" s="55"/>
      <c r="N989" s="52"/>
      <c r="O989" s="53"/>
      <c r="P989" s="54"/>
      <c r="Q989" s="54"/>
      <c r="R989" s="54"/>
      <c r="S989" s="54"/>
      <c r="T989" s="54"/>
      <c r="U989" s="82"/>
    </row>
    <row r="990" spans="2:21" x14ac:dyDescent="0.2">
      <c r="B990" s="51"/>
      <c r="C990" s="51"/>
      <c r="D990" s="51"/>
      <c r="E990" s="51"/>
      <c r="F990" s="51"/>
      <c r="G990" s="51"/>
      <c r="H990" s="51"/>
      <c r="I990" s="54"/>
      <c r="J990" s="54"/>
      <c r="K990" s="53"/>
      <c r="L990" s="52"/>
      <c r="M990" s="55"/>
      <c r="N990" s="52"/>
      <c r="O990" s="53"/>
      <c r="P990" s="54"/>
      <c r="Q990" s="54"/>
      <c r="R990" s="54"/>
      <c r="S990" s="54"/>
      <c r="T990" s="54"/>
      <c r="U990" s="82"/>
    </row>
    <row r="991" spans="2:21" x14ac:dyDescent="0.2">
      <c r="B991" s="51"/>
      <c r="C991" s="51"/>
      <c r="D991" s="51"/>
      <c r="E991" s="51"/>
      <c r="F991" s="51"/>
      <c r="G991" s="51"/>
      <c r="H991" s="51"/>
      <c r="I991" s="54"/>
      <c r="J991" s="54"/>
      <c r="K991" s="53"/>
      <c r="L991" s="52"/>
      <c r="M991" s="55"/>
      <c r="N991" s="52"/>
      <c r="O991" s="53"/>
      <c r="P991" s="54"/>
      <c r="Q991" s="54"/>
      <c r="R991" s="54"/>
      <c r="S991" s="54"/>
      <c r="T991" s="54"/>
      <c r="U991" s="82"/>
    </row>
    <row r="992" spans="2:21" x14ac:dyDescent="0.2">
      <c r="B992" s="51"/>
      <c r="C992" s="51"/>
      <c r="D992" s="51"/>
      <c r="E992" s="51"/>
      <c r="F992" s="51"/>
      <c r="G992" s="51"/>
      <c r="H992" s="51"/>
      <c r="I992" s="54"/>
      <c r="J992" s="54"/>
      <c r="K992" s="53"/>
      <c r="L992" s="52"/>
      <c r="M992" s="55"/>
      <c r="N992" s="52"/>
      <c r="O992" s="53"/>
      <c r="P992" s="54"/>
      <c r="Q992" s="54"/>
      <c r="R992" s="54"/>
      <c r="S992" s="54"/>
      <c r="T992" s="54"/>
      <c r="U992" s="82"/>
    </row>
    <row r="993" spans="2:21" x14ac:dyDescent="0.2">
      <c r="B993" s="51"/>
      <c r="C993" s="51"/>
      <c r="D993" s="51"/>
      <c r="E993" s="51"/>
      <c r="F993" s="51"/>
      <c r="G993" s="51"/>
      <c r="H993" s="51"/>
      <c r="I993" s="54"/>
      <c r="J993" s="54"/>
      <c r="K993" s="53"/>
      <c r="L993" s="52"/>
      <c r="M993" s="55"/>
      <c r="N993" s="52"/>
      <c r="O993" s="53"/>
      <c r="P993" s="54"/>
      <c r="Q993" s="54"/>
      <c r="R993" s="54"/>
      <c r="S993" s="54"/>
      <c r="T993" s="54"/>
      <c r="U993" s="82"/>
    </row>
    <row r="994" spans="2:21" x14ac:dyDescent="0.2">
      <c r="B994" s="51"/>
      <c r="C994" s="51"/>
      <c r="D994" s="51"/>
      <c r="E994" s="51"/>
      <c r="F994" s="51"/>
      <c r="G994" s="51"/>
      <c r="H994" s="51"/>
      <c r="I994" s="54"/>
      <c r="J994" s="54"/>
      <c r="K994" s="53"/>
      <c r="L994" s="52"/>
      <c r="M994" s="55"/>
      <c r="N994" s="52"/>
      <c r="O994" s="53"/>
      <c r="P994" s="54"/>
      <c r="Q994" s="54"/>
      <c r="R994" s="54"/>
      <c r="S994" s="54"/>
      <c r="T994" s="54"/>
      <c r="U994" s="82"/>
    </row>
    <row r="995" spans="2:21" x14ac:dyDescent="0.2">
      <c r="B995" s="51"/>
      <c r="C995" s="51"/>
      <c r="D995" s="51"/>
      <c r="E995" s="51"/>
      <c r="F995" s="51"/>
      <c r="G995" s="51"/>
      <c r="H995" s="51"/>
      <c r="I995" s="54"/>
      <c r="J995" s="54"/>
      <c r="K995" s="53"/>
      <c r="L995" s="52"/>
      <c r="M995" s="55"/>
      <c r="N995" s="52"/>
      <c r="O995" s="53"/>
      <c r="P995" s="54"/>
      <c r="Q995" s="54"/>
      <c r="R995" s="54"/>
      <c r="S995" s="54"/>
      <c r="T995" s="54"/>
      <c r="U995" s="82"/>
    </row>
    <row r="996" spans="2:21" x14ac:dyDescent="0.2">
      <c r="B996" s="51"/>
      <c r="C996" s="51"/>
      <c r="D996" s="51"/>
      <c r="E996" s="51"/>
      <c r="F996" s="51"/>
      <c r="G996" s="51"/>
      <c r="H996" s="51"/>
      <c r="I996" s="54"/>
      <c r="J996" s="54"/>
      <c r="K996" s="53"/>
      <c r="L996" s="52"/>
      <c r="M996" s="55"/>
      <c r="N996" s="52"/>
      <c r="O996" s="53"/>
      <c r="P996" s="54"/>
      <c r="Q996" s="54"/>
      <c r="R996" s="54"/>
      <c r="S996" s="54"/>
      <c r="T996" s="54"/>
      <c r="U996" s="82"/>
    </row>
    <row r="997" spans="2:21" x14ac:dyDescent="0.2">
      <c r="B997" s="51"/>
      <c r="C997" s="51"/>
      <c r="D997" s="51"/>
      <c r="E997" s="51"/>
      <c r="F997" s="51"/>
      <c r="G997" s="51"/>
      <c r="H997" s="51"/>
      <c r="I997" s="54"/>
      <c r="J997" s="54"/>
      <c r="K997" s="53"/>
      <c r="L997" s="52"/>
      <c r="M997" s="55"/>
      <c r="N997" s="52"/>
      <c r="O997" s="53"/>
      <c r="P997" s="54"/>
      <c r="Q997" s="54"/>
      <c r="R997" s="54"/>
      <c r="S997" s="54"/>
      <c r="T997" s="54"/>
      <c r="U997" s="82"/>
    </row>
    <row r="998" spans="2:21" x14ac:dyDescent="0.2">
      <c r="B998" s="51"/>
      <c r="C998" s="51"/>
      <c r="D998" s="51"/>
      <c r="E998" s="51"/>
      <c r="F998" s="51"/>
      <c r="G998" s="51"/>
      <c r="H998" s="51"/>
      <c r="I998" s="54"/>
      <c r="J998" s="54"/>
      <c r="K998" s="53"/>
      <c r="L998" s="52"/>
      <c r="M998" s="55"/>
      <c r="N998" s="52"/>
      <c r="O998" s="53"/>
      <c r="P998" s="54"/>
      <c r="Q998" s="54"/>
      <c r="R998" s="54"/>
      <c r="S998" s="54"/>
      <c r="T998" s="54"/>
      <c r="U998" s="82"/>
    </row>
    <row r="999" spans="2:21" x14ac:dyDescent="0.2">
      <c r="B999" s="51"/>
      <c r="C999" s="51"/>
      <c r="D999" s="51"/>
      <c r="E999" s="51"/>
      <c r="F999" s="51"/>
      <c r="G999" s="51"/>
      <c r="H999" s="51"/>
      <c r="I999" s="54"/>
      <c r="J999" s="54"/>
      <c r="K999" s="53"/>
      <c r="L999" s="52"/>
      <c r="M999" s="55"/>
      <c r="N999" s="52"/>
      <c r="O999" s="53"/>
      <c r="P999" s="54"/>
      <c r="Q999" s="54"/>
      <c r="R999" s="54"/>
      <c r="S999" s="54"/>
      <c r="T999" s="54"/>
      <c r="U999" s="82"/>
    </row>
    <row r="1000" spans="2:21" x14ac:dyDescent="0.2">
      <c r="B1000" s="51"/>
      <c r="C1000" s="51"/>
      <c r="D1000" s="51"/>
      <c r="E1000" s="51"/>
      <c r="F1000" s="51"/>
      <c r="G1000" s="51"/>
      <c r="H1000" s="51"/>
      <c r="I1000" s="54"/>
      <c r="J1000" s="54"/>
      <c r="K1000" s="53"/>
      <c r="L1000" s="52"/>
      <c r="M1000" s="55"/>
      <c r="N1000" s="52"/>
      <c r="O1000" s="53"/>
      <c r="P1000" s="54"/>
      <c r="Q1000" s="54"/>
      <c r="R1000" s="54"/>
      <c r="S1000" s="54"/>
      <c r="T1000" s="54"/>
      <c r="U1000" s="82"/>
    </row>
    <row r="1001" spans="2:21" x14ac:dyDescent="0.2">
      <c r="B1001" s="51"/>
      <c r="C1001" s="51"/>
      <c r="D1001" s="51"/>
      <c r="E1001" s="51"/>
      <c r="F1001" s="51"/>
      <c r="G1001" s="51"/>
      <c r="H1001" s="51"/>
      <c r="I1001" s="54"/>
      <c r="J1001" s="54"/>
      <c r="K1001" s="53"/>
      <c r="L1001" s="52"/>
      <c r="M1001" s="55"/>
      <c r="N1001" s="52"/>
      <c r="O1001" s="53"/>
      <c r="P1001" s="54"/>
      <c r="Q1001" s="54"/>
      <c r="R1001" s="54"/>
      <c r="S1001" s="54"/>
      <c r="T1001" s="54"/>
      <c r="U1001" s="82"/>
    </row>
    <row r="1002" spans="2:21" x14ac:dyDescent="0.2">
      <c r="B1002" s="51"/>
      <c r="C1002" s="51"/>
      <c r="D1002" s="51"/>
      <c r="E1002" s="51"/>
      <c r="F1002" s="51"/>
      <c r="G1002" s="51"/>
      <c r="H1002" s="51"/>
      <c r="I1002" s="54"/>
      <c r="J1002" s="54"/>
      <c r="K1002" s="53"/>
      <c r="L1002" s="52"/>
      <c r="M1002" s="55"/>
      <c r="N1002" s="52"/>
      <c r="O1002" s="53"/>
      <c r="P1002" s="54"/>
      <c r="Q1002" s="54"/>
      <c r="R1002" s="54"/>
      <c r="S1002" s="54"/>
      <c r="T1002" s="54"/>
      <c r="U1002" s="82"/>
    </row>
    <row r="1003" spans="2:21" x14ac:dyDescent="0.2">
      <c r="B1003" s="51"/>
      <c r="C1003" s="51"/>
      <c r="D1003" s="51"/>
      <c r="E1003" s="51"/>
      <c r="F1003" s="51"/>
      <c r="G1003" s="51"/>
      <c r="H1003" s="51"/>
      <c r="I1003" s="54"/>
      <c r="J1003" s="54"/>
      <c r="K1003" s="53"/>
      <c r="L1003" s="52"/>
      <c r="M1003" s="55"/>
      <c r="N1003" s="52"/>
      <c r="O1003" s="53"/>
      <c r="P1003" s="54"/>
      <c r="Q1003" s="54"/>
      <c r="R1003" s="54"/>
      <c r="S1003" s="54"/>
      <c r="T1003" s="54"/>
      <c r="U1003" s="82"/>
    </row>
    <row r="1004" spans="2:21" x14ac:dyDescent="0.2">
      <c r="B1004" s="51"/>
      <c r="C1004" s="51"/>
      <c r="D1004" s="51"/>
      <c r="E1004" s="51"/>
      <c r="F1004" s="51"/>
      <c r="G1004" s="51"/>
      <c r="H1004" s="51"/>
      <c r="I1004" s="54"/>
      <c r="J1004" s="54"/>
      <c r="K1004" s="53"/>
      <c r="L1004" s="52"/>
      <c r="M1004" s="55"/>
      <c r="N1004" s="52"/>
      <c r="O1004" s="53"/>
      <c r="P1004" s="54"/>
      <c r="Q1004" s="54"/>
      <c r="R1004" s="54"/>
      <c r="S1004" s="54"/>
      <c r="T1004" s="54"/>
      <c r="U1004" s="82"/>
    </row>
    <row r="1005" spans="2:21" x14ac:dyDescent="0.2">
      <c r="B1005" s="51"/>
      <c r="C1005" s="51"/>
      <c r="D1005" s="51"/>
      <c r="E1005" s="51"/>
      <c r="F1005" s="51"/>
      <c r="G1005" s="51"/>
      <c r="H1005" s="51"/>
      <c r="I1005" s="54"/>
      <c r="J1005" s="54"/>
      <c r="K1005" s="53"/>
      <c r="L1005" s="52"/>
      <c r="M1005" s="55"/>
      <c r="N1005" s="52"/>
      <c r="O1005" s="53"/>
      <c r="P1005" s="54"/>
      <c r="Q1005" s="54"/>
      <c r="R1005" s="54"/>
      <c r="S1005" s="54"/>
      <c r="T1005" s="54"/>
      <c r="U1005" s="82"/>
    </row>
    <row r="1006" spans="2:21" x14ac:dyDescent="0.2">
      <c r="B1006" s="51"/>
      <c r="C1006" s="51"/>
      <c r="D1006" s="51"/>
      <c r="E1006" s="51"/>
      <c r="F1006" s="51"/>
      <c r="G1006" s="51"/>
      <c r="H1006" s="51"/>
      <c r="I1006" s="54"/>
      <c r="J1006" s="54"/>
      <c r="K1006" s="53"/>
      <c r="L1006" s="52"/>
      <c r="M1006" s="55"/>
      <c r="N1006" s="52"/>
      <c r="O1006" s="53"/>
      <c r="P1006" s="54"/>
      <c r="Q1006" s="54"/>
      <c r="R1006" s="54"/>
      <c r="S1006" s="54"/>
      <c r="T1006" s="54"/>
      <c r="U1006" s="82"/>
    </row>
    <row r="1007" spans="2:21" x14ac:dyDescent="0.2">
      <c r="B1007" s="51"/>
      <c r="C1007" s="51"/>
      <c r="D1007" s="51"/>
      <c r="E1007" s="51"/>
      <c r="F1007" s="51"/>
      <c r="G1007" s="51"/>
      <c r="H1007" s="51"/>
      <c r="I1007" s="54"/>
      <c r="J1007" s="54"/>
      <c r="K1007" s="53"/>
      <c r="L1007" s="52"/>
      <c r="M1007" s="55"/>
      <c r="N1007" s="52"/>
      <c r="O1007" s="53"/>
      <c r="P1007" s="54"/>
      <c r="Q1007" s="54"/>
      <c r="R1007" s="54"/>
      <c r="S1007" s="54"/>
      <c r="T1007" s="54"/>
      <c r="U1007" s="82"/>
    </row>
    <row r="1008" spans="2:21" x14ac:dyDescent="0.2">
      <c r="B1008" s="51"/>
      <c r="C1008" s="51"/>
      <c r="D1008" s="51"/>
      <c r="E1008" s="51"/>
      <c r="F1008" s="51"/>
      <c r="G1008" s="51"/>
      <c r="H1008" s="51"/>
      <c r="I1008" s="54"/>
      <c r="J1008" s="54"/>
      <c r="K1008" s="53"/>
      <c r="L1008" s="52"/>
      <c r="M1008" s="55"/>
      <c r="N1008" s="52"/>
      <c r="O1008" s="53"/>
      <c r="P1008" s="54"/>
      <c r="Q1008" s="54"/>
      <c r="R1008" s="54"/>
      <c r="S1008" s="54"/>
      <c r="T1008" s="54"/>
      <c r="U1008" s="82"/>
    </row>
    <row r="1009" spans="2:21" x14ac:dyDescent="0.2">
      <c r="B1009" s="51"/>
      <c r="C1009" s="51"/>
      <c r="D1009" s="51"/>
      <c r="E1009" s="51"/>
      <c r="F1009" s="51"/>
      <c r="G1009" s="51"/>
      <c r="H1009" s="51"/>
      <c r="I1009" s="54"/>
      <c r="J1009" s="54"/>
      <c r="K1009" s="53"/>
      <c r="L1009" s="52"/>
      <c r="M1009" s="55"/>
      <c r="N1009" s="52"/>
      <c r="O1009" s="53"/>
      <c r="P1009" s="54"/>
      <c r="Q1009" s="54"/>
      <c r="R1009" s="54"/>
      <c r="S1009" s="54"/>
      <c r="T1009" s="54"/>
      <c r="U1009" s="82"/>
    </row>
    <row r="1010" spans="2:21" x14ac:dyDescent="0.2">
      <c r="B1010" s="51"/>
      <c r="C1010" s="51"/>
      <c r="D1010" s="51"/>
      <c r="E1010" s="51"/>
      <c r="F1010" s="51"/>
      <c r="G1010" s="51"/>
      <c r="H1010" s="51"/>
      <c r="I1010" s="54"/>
      <c r="J1010" s="54"/>
      <c r="K1010" s="53"/>
      <c r="L1010" s="52"/>
      <c r="M1010" s="55"/>
      <c r="N1010" s="52"/>
      <c r="O1010" s="53"/>
      <c r="P1010" s="54"/>
      <c r="Q1010" s="54"/>
      <c r="R1010" s="54"/>
      <c r="S1010" s="54"/>
      <c r="T1010" s="54"/>
      <c r="U1010" s="82"/>
    </row>
    <row r="1011" spans="2:21" x14ac:dyDescent="0.2">
      <c r="B1011" s="51"/>
      <c r="C1011" s="51"/>
      <c r="D1011" s="51"/>
      <c r="E1011" s="51"/>
      <c r="F1011" s="51"/>
      <c r="G1011" s="51"/>
      <c r="H1011" s="51"/>
      <c r="I1011" s="54"/>
      <c r="J1011" s="54"/>
      <c r="K1011" s="53"/>
      <c r="L1011" s="52"/>
      <c r="M1011" s="55"/>
      <c r="N1011" s="52"/>
      <c r="O1011" s="53"/>
      <c r="P1011" s="54"/>
      <c r="Q1011" s="54"/>
      <c r="R1011" s="54"/>
      <c r="S1011" s="54"/>
      <c r="T1011" s="54"/>
      <c r="U1011" s="82"/>
    </row>
    <row r="1012" spans="2:21" x14ac:dyDescent="0.2">
      <c r="B1012" s="51"/>
      <c r="C1012" s="51"/>
      <c r="D1012" s="51"/>
      <c r="E1012" s="51"/>
      <c r="F1012" s="51"/>
      <c r="G1012" s="51"/>
      <c r="H1012" s="51"/>
      <c r="I1012" s="54"/>
      <c r="J1012" s="54"/>
      <c r="K1012" s="53"/>
      <c r="L1012" s="52"/>
      <c r="M1012" s="55"/>
      <c r="N1012" s="52"/>
      <c r="O1012" s="53"/>
      <c r="P1012" s="54"/>
      <c r="Q1012" s="54"/>
      <c r="R1012" s="54"/>
      <c r="S1012" s="54"/>
      <c r="T1012" s="54"/>
      <c r="U1012" s="82"/>
    </row>
    <row r="1013" spans="2:21" x14ac:dyDescent="0.2">
      <c r="B1013" s="51"/>
      <c r="C1013" s="51"/>
      <c r="D1013" s="51"/>
      <c r="E1013" s="51"/>
      <c r="F1013" s="51"/>
      <c r="G1013" s="51"/>
      <c r="H1013" s="51"/>
      <c r="I1013" s="54"/>
      <c r="J1013" s="54"/>
      <c r="K1013" s="53"/>
      <c r="L1013" s="52"/>
      <c r="M1013" s="55"/>
      <c r="N1013" s="52"/>
      <c r="O1013" s="53"/>
      <c r="P1013" s="54"/>
      <c r="Q1013" s="54"/>
      <c r="R1013" s="54"/>
      <c r="S1013" s="54"/>
      <c r="T1013" s="54"/>
      <c r="U1013" s="82"/>
    </row>
    <row r="1014" spans="2:21" x14ac:dyDescent="0.2">
      <c r="B1014" s="51"/>
      <c r="C1014" s="51"/>
      <c r="D1014" s="51"/>
      <c r="E1014" s="51"/>
      <c r="F1014" s="51"/>
      <c r="G1014" s="51"/>
      <c r="H1014" s="51"/>
      <c r="I1014" s="54"/>
      <c r="J1014" s="54"/>
      <c r="K1014" s="53"/>
      <c r="L1014" s="52"/>
      <c r="M1014" s="55"/>
      <c r="N1014" s="52"/>
      <c r="O1014" s="53"/>
      <c r="P1014" s="54"/>
      <c r="Q1014" s="54"/>
      <c r="R1014" s="54"/>
      <c r="S1014" s="54"/>
      <c r="T1014" s="54"/>
      <c r="U1014" s="82"/>
    </row>
    <row r="1015" spans="2:21" x14ac:dyDescent="0.2">
      <c r="B1015" s="51"/>
      <c r="C1015" s="51"/>
      <c r="D1015" s="51"/>
      <c r="E1015" s="51"/>
      <c r="F1015" s="51"/>
      <c r="G1015" s="51"/>
      <c r="H1015" s="51"/>
      <c r="I1015" s="54"/>
      <c r="J1015" s="54"/>
      <c r="K1015" s="53"/>
      <c r="L1015" s="52"/>
      <c r="M1015" s="55"/>
      <c r="N1015" s="52"/>
      <c r="O1015" s="53"/>
      <c r="P1015" s="54"/>
      <c r="Q1015" s="54"/>
      <c r="R1015" s="54"/>
      <c r="S1015" s="54"/>
      <c r="T1015" s="54"/>
      <c r="U1015" s="82"/>
    </row>
    <row r="1016" spans="2:21" x14ac:dyDescent="0.2">
      <c r="B1016" s="51"/>
      <c r="C1016" s="51"/>
      <c r="D1016" s="51"/>
      <c r="E1016" s="51"/>
      <c r="F1016" s="51"/>
      <c r="G1016" s="51"/>
      <c r="H1016" s="51"/>
      <c r="I1016" s="54"/>
      <c r="J1016" s="54"/>
      <c r="K1016" s="53"/>
      <c r="L1016" s="52"/>
      <c r="M1016" s="55"/>
      <c r="N1016" s="52"/>
      <c r="O1016" s="53"/>
      <c r="P1016" s="54"/>
      <c r="Q1016" s="54"/>
      <c r="R1016" s="54"/>
      <c r="S1016" s="54"/>
      <c r="T1016" s="54"/>
      <c r="U1016" s="82"/>
    </row>
    <row r="1017" spans="2:21" x14ac:dyDescent="0.2">
      <c r="B1017" s="51"/>
      <c r="C1017" s="51"/>
      <c r="D1017" s="51"/>
      <c r="E1017" s="51"/>
      <c r="F1017" s="51"/>
      <c r="G1017" s="51"/>
      <c r="H1017" s="51"/>
      <c r="I1017" s="54"/>
      <c r="J1017" s="54"/>
      <c r="K1017" s="53"/>
      <c r="L1017" s="52"/>
      <c r="M1017" s="55"/>
      <c r="N1017" s="52"/>
      <c r="O1017" s="53"/>
      <c r="P1017" s="54"/>
      <c r="Q1017" s="54"/>
      <c r="R1017" s="54"/>
      <c r="S1017" s="54"/>
      <c r="T1017" s="54"/>
      <c r="U1017" s="82"/>
    </row>
    <row r="1018" spans="2:21" x14ac:dyDescent="0.2">
      <c r="B1018" s="51"/>
      <c r="C1018" s="51"/>
      <c r="D1018" s="51"/>
      <c r="E1018" s="51"/>
      <c r="F1018" s="51"/>
      <c r="G1018" s="51"/>
      <c r="H1018" s="51"/>
      <c r="I1018" s="54"/>
      <c r="J1018" s="54"/>
      <c r="K1018" s="53"/>
      <c r="L1018" s="52"/>
      <c r="M1018" s="55"/>
      <c r="N1018" s="52"/>
      <c r="O1018" s="53"/>
      <c r="P1018" s="54"/>
      <c r="Q1018" s="54"/>
      <c r="R1018" s="54"/>
      <c r="S1018" s="54"/>
      <c r="T1018" s="54"/>
      <c r="U1018" s="82"/>
    </row>
    <row r="1019" spans="2:21" x14ac:dyDescent="0.2">
      <c r="B1019" s="51"/>
      <c r="C1019" s="51"/>
      <c r="D1019" s="51"/>
      <c r="E1019" s="51"/>
      <c r="F1019" s="51"/>
      <c r="G1019" s="51"/>
      <c r="H1019" s="51"/>
      <c r="I1019" s="54"/>
      <c r="J1019" s="54"/>
      <c r="K1019" s="53"/>
      <c r="L1019" s="52"/>
      <c r="M1019" s="55"/>
      <c r="N1019" s="52"/>
      <c r="O1019" s="53"/>
      <c r="P1019" s="54"/>
      <c r="Q1019" s="54"/>
      <c r="R1019" s="54"/>
      <c r="S1019" s="54"/>
      <c r="T1019" s="54"/>
      <c r="U1019" s="82"/>
    </row>
    <row r="1020" spans="2:21" x14ac:dyDescent="0.2">
      <c r="B1020" s="51"/>
      <c r="C1020" s="51"/>
      <c r="D1020" s="51"/>
      <c r="E1020" s="51"/>
      <c r="F1020" s="51"/>
      <c r="G1020" s="51"/>
      <c r="H1020" s="51"/>
      <c r="I1020" s="54"/>
      <c r="J1020" s="54"/>
      <c r="K1020" s="53"/>
      <c r="L1020" s="52"/>
      <c r="M1020" s="55"/>
      <c r="N1020" s="52"/>
      <c r="O1020" s="53"/>
      <c r="P1020" s="54"/>
      <c r="Q1020" s="54"/>
      <c r="R1020" s="54"/>
      <c r="S1020" s="54"/>
      <c r="T1020" s="54"/>
      <c r="U1020" s="82"/>
    </row>
    <row r="1021" spans="2:21" x14ac:dyDescent="0.2">
      <c r="B1021" s="51"/>
      <c r="C1021" s="51"/>
      <c r="D1021" s="51"/>
      <c r="E1021" s="51"/>
      <c r="F1021" s="51"/>
      <c r="G1021" s="51"/>
      <c r="H1021" s="51"/>
      <c r="I1021" s="54"/>
      <c r="J1021" s="54"/>
      <c r="K1021" s="53"/>
      <c r="L1021" s="52"/>
      <c r="M1021" s="55"/>
      <c r="N1021" s="52"/>
      <c r="O1021" s="53"/>
      <c r="P1021" s="54"/>
      <c r="Q1021" s="54"/>
      <c r="R1021" s="54"/>
      <c r="S1021" s="54"/>
      <c r="T1021" s="54"/>
      <c r="U1021" s="82"/>
    </row>
    <row r="1022" spans="2:21" x14ac:dyDescent="0.2">
      <c r="B1022" s="51"/>
      <c r="C1022" s="51"/>
      <c r="D1022" s="51"/>
      <c r="E1022" s="51"/>
      <c r="F1022" s="51"/>
      <c r="G1022" s="51"/>
      <c r="H1022" s="51"/>
      <c r="I1022" s="54"/>
      <c r="J1022" s="54"/>
      <c r="K1022" s="53"/>
      <c r="L1022" s="52"/>
      <c r="M1022" s="55"/>
      <c r="N1022" s="52"/>
      <c r="O1022" s="53"/>
      <c r="P1022" s="54"/>
      <c r="Q1022" s="54"/>
      <c r="R1022" s="54"/>
      <c r="S1022" s="54"/>
      <c r="T1022" s="54"/>
      <c r="U1022" s="82"/>
    </row>
    <row r="1023" spans="2:21" x14ac:dyDescent="0.2">
      <c r="B1023" s="51"/>
      <c r="C1023" s="51"/>
      <c r="D1023" s="51"/>
      <c r="E1023" s="51"/>
      <c r="F1023" s="51"/>
      <c r="G1023" s="51"/>
      <c r="H1023" s="51"/>
      <c r="I1023" s="54"/>
      <c r="J1023" s="54"/>
      <c r="K1023" s="53"/>
      <c r="L1023" s="52"/>
      <c r="M1023" s="55"/>
      <c r="N1023" s="52"/>
      <c r="O1023" s="53"/>
      <c r="P1023" s="54"/>
      <c r="Q1023" s="54"/>
      <c r="R1023" s="54"/>
      <c r="S1023" s="54"/>
      <c r="T1023" s="54"/>
      <c r="U1023" s="82"/>
    </row>
    <row r="1024" spans="2:21" x14ac:dyDescent="0.2">
      <c r="B1024" s="51"/>
      <c r="C1024" s="51"/>
      <c r="D1024" s="51"/>
      <c r="E1024" s="51"/>
      <c r="F1024" s="51"/>
      <c r="G1024" s="51"/>
      <c r="H1024" s="51"/>
      <c r="I1024" s="54"/>
      <c r="J1024" s="54"/>
      <c r="K1024" s="53"/>
      <c r="L1024" s="52"/>
      <c r="M1024" s="55"/>
      <c r="N1024" s="52"/>
      <c r="O1024" s="53"/>
      <c r="P1024" s="54"/>
      <c r="Q1024" s="54"/>
      <c r="R1024" s="54"/>
      <c r="S1024" s="54"/>
      <c r="T1024" s="54"/>
      <c r="U1024" s="82"/>
    </row>
    <row r="1025" spans="2:21" x14ac:dyDescent="0.2">
      <c r="B1025" s="51"/>
      <c r="C1025" s="51"/>
      <c r="D1025" s="51"/>
      <c r="E1025" s="51"/>
      <c r="F1025" s="51"/>
      <c r="G1025" s="51"/>
      <c r="H1025" s="51"/>
      <c r="I1025" s="54"/>
      <c r="J1025" s="54"/>
      <c r="K1025" s="53"/>
      <c r="L1025" s="52"/>
      <c r="M1025" s="55"/>
      <c r="N1025" s="52"/>
      <c r="O1025" s="53"/>
      <c r="P1025" s="54"/>
      <c r="Q1025" s="54"/>
      <c r="R1025" s="54"/>
      <c r="S1025" s="54"/>
      <c r="T1025" s="54"/>
      <c r="U1025" s="82"/>
    </row>
    <row r="1026" spans="2:21" x14ac:dyDescent="0.2">
      <c r="B1026" s="51"/>
      <c r="C1026" s="51"/>
      <c r="D1026" s="51"/>
      <c r="E1026" s="51"/>
      <c r="F1026" s="51"/>
      <c r="G1026" s="51"/>
      <c r="H1026" s="51"/>
      <c r="I1026" s="54"/>
      <c r="J1026" s="54"/>
      <c r="K1026" s="53"/>
      <c r="L1026" s="52"/>
      <c r="M1026" s="55"/>
      <c r="N1026" s="52"/>
      <c r="O1026" s="53"/>
      <c r="P1026" s="54"/>
      <c r="Q1026" s="54"/>
      <c r="R1026" s="54"/>
      <c r="S1026" s="54"/>
      <c r="T1026" s="54"/>
      <c r="U1026" s="82"/>
    </row>
    <row r="1027" spans="2:21" x14ac:dyDescent="0.2">
      <c r="B1027" s="51"/>
      <c r="C1027" s="51"/>
      <c r="D1027" s="51"/>
      <c r="E1027" s="51"/>
      <c r="F1027" s="51"/>
      <c r="G1027" s="51"/>
      <c r="H1027" s="51"/>
      <c r="I1027" s="54"/>
      <c r="J1027" s="54"/>
      <c r="K1027" s="53"/>
      <c r="L1027" s="52"/>
      <c r="M1027" s="55"/>
      <c r="N1027" s="52"/>
      <c r="O1027" s="53"/>
      <c r="P1027" s="54"/>
      <c r="Q1027" s="54"/>
      <c r="R1027" s="54"/>
      <c r="S1027" s="54"/>
      <c r="T1027" s="54"/>
      <c r="U1027" s="82"/>
    </row>
    <row r="1028" spans="2:21" x14ac:dyDescent="0.2">
      <c r="B1028" s="51"/>
      <c r="C1028" s="51"/>
      <c r="D1028" s="51"/>
      <c r="E1028" s="51"/>
      <c r="F1028" s="51"/>
      <c r="G1028" s="51"/>
      <c r="H1028" s="51"/>
      <c r="I1028" s="54"/>
      <c r="J1028" s="54"/>
      <c r="K1028" s="53"/>
      <c r="L1028" s="52"/>
      <c r="M1028" s="55"/>
      <c r="N1028" s="52"/>
      <c r="O1028" s="53"/>
      <c r="P1028" s="54"/>
      <c r="Q1028" s="54"/>
      <c r="R1028" s="54"/>
      <c r="S1028" s="54"/>
      <c r="T1028" s="54"/>
      <c r="U1028" s="82"/>
    </row>
    <row r="1029" spans="2:21" x14ac:dyDescent="0.2">
      <c r="B1029" s="51"/>
      <c r="C1029" s="51"/>
      <c r="D1029" s="51"/>
      <c r="E1029" s="51"/>
      <c r="F1029" s="51"/>
      <c r="G1029" s="51"/>
      <c r="H1029" s="51"/>
      <c r="I1029" s="54"/>
      <c r="J1029" s="54"/>
      <c r="K1029" s="53"/>
      <c r="L1029" s="52"/>
      <c r="M1029" s="55"/>
      <c r="N1029" s="52"/>
      <c r="O1029" s="53"/>
      <c r="P1029" s="54"/>
      <c r="Q1029" s="54"/>
      <c r="R1029" s="54"/>
      <c r="S1029" s="54"/>
      <c r="T1029" s="54"/>
      <c r="U1029" s="82"/>
    </row>
    <row r="1030" spans="2:21" x14ac:dyDescent="0.2">
      <c r="B1030" s="51"/>
      <c r="C1030" s="51"/>
      <c r="D1030" s="51"/>
      <c r="E1030" s="51"/>
      <c r="F1030" s="51"/>
      <c r="G1030" s="51"/>
      <c r="H1030" s="51"/>
      <c r="I1030" s="54"/>
      <c r="J1030" s="54"/>
      <c r="K1030" s="53"/>
      <c r="L1030" s="52"/>
      <c r="M1030" s="55"/>
      <c r="N1030" s="52"/>
      <c r="O1030" s="53"/>
      <c r="P1030" s="54"/>
      <c r="Q1030" s="54"/>
      <c r="R1030" s="54"/>
      <c r="S1030" s="54"/>
      <c r="T1030" s="54"/>
      <c r="U1030" s="82"/>
    </row>
    <row r="1031" spans="2:21" x14ac:dyDescent="0.2">
      <c r="B1031" s="51"/>
      <c r="C1031" s="51"/>
      <c r="D1031" s="51"/>
      <c r="E1031" s="51"/>
      <c r="F1031" s="51"/>
      <c r="G1031" s="51"/>
      <c r="H1031" s="51"/>
      <c r="I1031" s="54"/>
      <c r="J1031" s="54"/>
      <c r="K1031" s="53"/>
      <c r="L1031" s="52"/>
      <c r="M1031" s="55"/>
      <c r="N1031" s="52"/>
      <c r="O1031" s="53"/>
      <c r="P1031" s="54"/>
      <c r="Q1031" s="54"/>
      <c r="R1031" s="54"/>
      <c r="S1031" s="54"/>
      <c r="T1031" s="54"/>
      <c r="U1031" s="82"/>
    </row>
    <row r="1032" spans="2:21" x14ac:dyDescent="0.2">
      <c r="B1032" s="51"/>
      <c r="C1032" s="51"/>
      <c r="D1032" s="51"/>
      <c r="E1032" s="51"/>
      <c r="F1032" s="51"/>
      <c r="G1032" s="51"/>
      <c r="H1032" s="51"/>
      <c r="I1032" s="54"/>
      <c r="J1032" s="54"/>
      <c r="K1032" s="53"/>
      <c r="L1032" s="52"/>
      <c r="M1032" s="55"/>
      <c r="N1032" s="52"/>
      <c r="O1032" s="53"/>
      <c r="P1032" s="54"/>
      <c r="Q1032" s="54"/>
      <c r="R1032" s="54"/>
      <c r="S1032" s="54"/>
      <c r="T1032" s="54"/>
      <c r="U1032" s="82"/>
    </row>
    <row r="1033" spans="2:21" x14ac:dyDescent="0.2">
      <c r="B1033" s="51"/>
      <c r="C1033" s="51"/>
      <c r="D1033" s="51"/>
      <c r="E1033" s="51"/>
      <c r="F1033" s="51"/>
      <c r="G1033" s="51"/>
      <c r="H1033" s="51"/>
      <c r="I1033" s="54"/>
      <c r="J1033" s="54"/>
      <c r="K1033" s="53"/>
      <c r="L1033" s="52"/>
      <c r="M1033" s="55"/>
      <c r="N1033" s="52"/>
      <c r="O1033" s="53"/>
      <c r="P1033" s="54"/>
      <c r="Q1033" s="54"/>
      <c r="R1033" s="54"/>
      <c r="S1033" s="54"/>
      <c r="T1033" s="54"/>
      <c r="U1033" s="82"/>
    </row>
    <row r="1034" spans="2:21" x14ac:dyDescent="0.2">
      <c r="B1034" s="51"/>
      <c r="C1034" s="51"/>
      <c r="D1034" s="51"/>
      <c r="E1034" s="51"/>
      <c r="F1034" s="51"/>
      <c r="G1034" s="51"/>
      <c r="H1034" s="51"/>
      <c r="I1034" s="54"/>
      <c r="J1034" s="54"/>
      <c r="K1034" s="53"/>
      <c r="L1034" s="52"/>
      <c r="M1034" s="55"/>
      <c r="N1034" s="52"/>
      <c r="O1034" s="53"/>
      <c r="P1034" s="54"/>
      <c r="Q1034" s="54"/>
      <c r="R1034" s="54"/>
      <c r="S1034" s="54"/>
      <c r="T1034" s="54"/>
      <c r="U1034" s="82"/>
    </row>
    <row r="1035" spans="2:21" x14ac:dyDescent="0.2">
      <c r="B1035" s="51"/>
      <c r="C1035" s="51"/>
      <c r="D1035" s="51"/>
      <c r="E1035" s="51"/>
      <c r="F1035" s="51"/>
      <c r="G1035" s="51"/>
      <c r="H1035" s="51"/>
      <c r="I1035" s="54"/>
      <c r="J1035" s="54"/>
      <c r="K1035" s="53"/>
      <c r="L1035" s="52"/>
      <c r="M1035" s="55"/>
      <c r="N1035" s="52"/>
      <c r="O1035" s="53"/>
      <c r="P1035" s="54"/>
      <c r="Q1035" s="54"/>
      <c r="R1035" s="54"/>
      <c r="S1035" s="54"/>
      <c r="T1035" s="54"/>
      <c r="U1035" s="82"/>
    </row>
    <row r="1036" spans="2:21" x14ac:dyDescent="0.2">
      <c r="B1036" s="51"/>
      <c r="C1036" s="51"/>
      <c r="D1036" s="51"/>
      <c r="E1036" s="51"/>
      <c r="F1036" s="51"/>
      <c r="G1036" s="51"/>
      <c r="H1036" s="51"/>
      <c r="I1036" s="54"/>
      <c r="J1036" s="54"/>
      <c r="K1036" s="53"/>
      <c r="L1036" s="52"/>
      <c r="M1036" s="55"/>
      <c r="N1036" s="52"/>
      <c r="O1036" s="53"/>
      <c r="P1036" s="54"/>
      <c r="Q1036" s="54"/>
      <c r="R1036" s="54"/>
      <c r="S1036" s="54"/>
      <c r="T1036" s="54"/>
      <c r="U1036" s="82"/>
    </row>
    <row r="1037" spans="2:21" x14ac:dyDescent="0.2">
      <c r="B1037" s="51"/>
      <c r="C1037" s="51"/>
      <c r="D1037" s="51"/>
      <c r="E1037" s="51"/>
      <c r="F1037" s="51"/>
      <c r="G1037" s="51"/>
      <c r="H1037" s="51"/>
      <c r="I1037" s="54"/>
      <c r="J1037" s="54"/>
      <c r="K1037" s="53"/>
      <c r="L1037" s="52"/>
      <c r="M1037" s="55"/>
      <c r="N1037" s="52"/>
      <c r="O1037" s="53"/>
      <c r="P1037" s="54"/>
      <c r="Q1037" s="54"/>
      <c r="R1037" s="54"/>
      <c r="S1037" s="54"/>
      <c r="T1037" s="54"/>
      <c r="U1037" s="82"/>
    </row>
    <row r="1038" spans="2:21" x14ac:dyDescent="0.2">
      <c r="B1038" s="51"/>
      <c r="C1038" s="51"/>
      <c r="D1038" s="51"/>
      <c r="E1038" s="51"/>
      <c r="F1038" s="51"/>
      <c r="G1038" s="51"/>
      <c r="H1038" s="51"/>
      <c r="I1038" s="54"/>
      <c r="J1038" s="54"/>
      <c r="K1038" s="53"/>
      <c r="L1038" s="52"/>
      <c r="M1038" s="55"/>
      <c r="N1038" s="52"/>
      <c r="O1038" s="53"/>
      <c r="P1038" s="54"/>
      <c r="Q1038" s="54"/>
      <c r="R1038" s="54"/>
      <c r="S1038" s="54"/>
      <c r="T1038" s="54"/>
      <c r="U1038" s="82"/>
    </row>
    <row r="1039" spans="2:21" x14ac:dyDescent="0.2">
      <c r="B1039" s="51"/>
      <c r="C1039" s="51"/>
      <c r="D1039" s="51"/>
      <c r="E1039" s="51"/>
      <c r="F1039" s="51"/>
      <c r="G1039" s="51"/>
      <c r="H1039" s="51"/>
      <c r="I1039" s="54"/>
      <c r="J1039" s="54"/>
      <c r="K1039" s="53"/>
      <c r="L1039" s="52"/>
      <c r="M1039" s="55"/>
      <c r="N1039" s="52"/>
      <c r="O1039" s="53"/>
      <c r="P1039" s="54"/>
      <c r="Q1039" s="54"/>
      <c r="R1039" s="54"/>
      <c r="S1039" s="54"/>
      <c r="T1039" s="54"/>
      <c r="U1039" s="82"/>
    </row>
    <row r="1040" spans="2:21" x14ac:dyDescent="0.2">
      <c r="B1040" s="51"/>
      <c r="C1040" s="51"/>
      <c r="D1040" s="51"/>
      <c r="E1040" s="51"/>
      <c r="F1040" s="51"/>
      <c r="G1040" s="51"/>
      <c r="H1040" s="51"/>
      <c r="I1040" s="54"/>
      <c r="J1040" s="54"/>
      <c r="K1040" s="53"/>
      <c r="L1040" s="52"/>
      <c r="M1040" s="55"/>
      <c r="N1040" s="52"/>
      <c r="O1040" s="53"/>
      <c r="P1040" s="54"/>
      <c r="Q1040" s="54"/>
      <c r="R1040" s="54"/>
      <c r="S1040" s="54"/>
      <c r="T1040" s="54"/>
      <c r="U1040" s="82"/>
    </row>
    <row r="1041" spans="2:21" x14ac:dyDescent="0.2">
      <c r="B1041" s="51"/>
      <c r="C1041" s="51"/>
      <c r="D1041" s="51"/>
      <c r="E1041" s="51"/>
      <c r="F1041" s="51"/>
      <c r="G1041" s="51"/>
      <c r="H1041" s="51"/>
      <c r="I1041" s="54"/>
      <c r="J1041" s="54"/>
      <c r="K1041" s="53"/>
      <c r="L1041" s="52"/>
      <c r="M1041" s="55"/>
      <c r="N1041" s="52"/>
      <c r="O1041" s="53"/>
      <c r="P1041" s="54"/>
      <c r="Q1041" s="54"/>
      <c r="R1041" s="54"/>
      <c r="S1041" s="54"/>
      <c r="T1041" s="54"/>
      <c r="U1041" s="82"/>
    </row>
    <row r="1042" spans="2:21" x14ac:dyDescent="0.2">
      <c r="B1042" s="51"/>
      <c r="C1042" s="51"/>
      <c r="D1042" s="51"/>
      <c r="E1042" s="51"/>
      <c r="F1042" s="51"/>
      <c r="G1042" s="51"/>
      <c r="H1042" s="51"/>
      <c r="I1042" s="54"/>
      <c r="J1042" s="54"/>
      <c r="K1042" s="53"/>
      <c r="L1042" s="52"/>
      <c r="M1042" s="55"/>
      <c r="N1042" s="52"/>
      <c r="O1042" s="53"/>
      <c r="P1042" s="54"/>
      <c r="Q1042" s="54"/>
      <c r="R1042" s="54"/>
      <c r="S1042" s="54"/>
      <c r="T1042" s="54"/>
      <c r="U1042" s="82"/>
    </row>
    <row r="1043" spans="2:21" x14ac:dyDescent="0.2">
      <c r="B1043" s="51"/>
      <c r="C1043" s="51"/>
      <c r="D1043" s="51"/>
      <c r="E1043" s="51"/>
      <c r="F1043" s="51"/>
      <c r="G1043" s="51"/>
      <c r="H1043" s="51"/>
      <c r="I1043" s="54"/>
      <c r="J1043" s="54"/>
      <c r="K1043" s="53"/>
      <c r="L1043" s="52"/>
      <c r="M1043" s="55"/>
      <c r="N1043" s="52"/>
      <c r="O1043" s="53"/>
      <c r="P1043" s="54"/>
      <c r="Q1043" s="54"/>
      <c r="R1043" s="54"/>
      <c r="S1043" s="54"/>
      <c r="T1043" s="54"/>
      <c r="U1043" s="82"/>
    </row>
    <row r="1044" spans="2:21" x14ac:dyDescent="0.2">
      <c r="B1044" s="51"/>
      <c r="C1044" s="51"/>
      <c r="D1044" s="51"/>
      <c r="E1044" s="51"/>
      <c r="F1044" s="51"/>
      <c r="G1044" s="51"/>
      <c r="H1044" s="51"/>
      <c r="I1044" s="54"/>
      <c r="J1044" s="54"/>
      <c r="K1044" s="53"/>
      <c r="L1044" s="52"/>
      <c r="M1044" s="55"/>
      <c r="N1044" s="52"/>
      <c r="O1044" s="53"/>
      <c r="P1044" s="54"/>
      <c r="Q1044" s="54"/>
      <c r="R1044" s="54"/>
      <c r="S1044" s="54"/>
      <c r="T1044" s="54"/>
      <c r="U1044" s="82"/>
    </row>
    <row r="1045" spans="2:21" x14ac:dyDescent="0.2">
      <c r="B1045" s="51"/>
      <c r="C1045" s="51"/>
      <c r="D1045" s="51"/>
      <c r="E1045" s="51"/>
      <c r="F1045" s="51"/>
      <c r="G1045" s="51"/>
      <c r="H1045" s="51"/>
      <c r="I1045" s="54"/>
      <c r="J1045" s="54"/>
      <c r="K1045" s="53"/>
      <c r="L1045" s="52"/>
      <c r="M1045" s="55"/>
      <c r="N1045" s="52"/>
      <c r="O1045" s="53"/>
      <c r="P1045" s="54"/>
      <c r="Q1045" s="54"/>
      <c r="R1045" s="54"/>
      <c r="S1045" s="54"/>
      <c r="T1045" s="54"/>
      <c r="U1045" s="82"/>
    </row>
    <row r="1046" spans="2:21" x14ac:dyDescent="0.2">
      <c r="B1046" s="51"/>
      <c r="C1046" s="51"/>
      <c r="D1046" s="51"/>
      <c r="E1046" s="51"/>
      <c r="F1046" s="51"/>
      <c r="G1046" s="51"/>
      <c r="H1046" s="51"/>
      <c r="I1046" s="54"/>
      <c r="J1046" s="54"/>
      <c r="K1046" s="53"/>
      <c r="L1046" s="52"/>
      <c r="M1046" s="55"/>
      <c r="N1046" s="52"/>
      <c r="O1046" s="53"/>
      <c r="P1046" s="54"/>
      <c r="Q1046" s="54"/>
      <c r="R1046" s="54"/>
      <c r="S1046" s="54"/>
      <c r="T1046" s="54"/>
      <c r="U1046" s="82"/>
    </row>
    <row r="1047" spans="2:21" x14ac:dyDescent="0.2">
      <c r="B1047" s="51"/>
      <c r="C1047" s="51"/>
      <c r="D1047" s="51"/>
      <c r="E1047" s="51"/>
      <c r="F1047" s="51"/>
      <c r="G1047" s="51"/>
      <c r="H1047" s="51"/>
      <c r="I1047" s="54"/>
      <c r="J1047" s="54"/>
      <c r="K1047" s="53"/>
      <c r="L1047" s="52"/>
      <c r="M1047" s="55"/>
      <c r="N1047" s="52"/>
      <c r="O1047" s="53"/>
      <c r="P1047" s="54"/>
      <c r="Q1047" s="54"/>
      <c r="R1047" s="54"/>
      <c r="S1047" s="54"/>
      <c r="T1047" s="54"/>
      <c r="U1047" s="82"/>
    </row>
    <row r="1048" spans="2:21" x14ac:dyDescent="0.2">
      <c r="B1048" s="51"/>
      <c r="C1048" s="51"/>
      <c r="D1048" s="51"/>
      <c r="E1048" s="51"/>
      <c r="F1048" s="51"/>
      <c r="G1048" s="51"/>
      <c r="H1048" s="51"/>
      <c r="I1048" s="54"/>
      <c r="J1048" s="54"/>
      <c r="K1048" s="53"/>
      <c r="L1048" s="52"/>
      <c r="M1048" s="55"/>
      <c r="N1048" s="52"/>
      <c r="O1048" s="53"/>
      <c r="P1048" s="54"/>
      <c r="Q1048" s="54"/>
      <c r="R1048" s="54"/>
      <c r="S1048" s="54"/>
      <c r="T1048" s="54"/>
      <c r="U1048" s="82"/>
    </row>
    <row r="1049" spans="2:21" x14ac:dyDescent="0.2">
      <c r="B1049" s="51"/>
      <c r="C1049" s="51"/>
      <c r="D1049" s="51"/>
      <c r="E1049" s="51"/>
      <c r="F1049" s="51"/>
      <c r="G1049" s="51"/>
      <c r="H1049" s="51"/>
      <c r="I1049" s="54"/>
      <c r="J1049" s="54"/>
      <c r="K1049" s="53"/>
      <c r="L1049" s="52"/>
      <c r="M1049" s="55"/>
      <c r="N1049" s="52"/>
      <c r="O1049" s="53"/>
      <c r="P1049" s="54"/>
      <c r="Q1049" s="54"/>
      <c r="R1049" s="54"/>
      <c r="S1049" s="54"/>
      <c r="T1049" s="54"/>
      <c r="U1049" s="82"/>
    </row>
    <row r="1050" spans="2:21" x14ac:dyDescent="0.2">
      <c r="B1050" s="51"/>
      <c r="C1050" s="51"/>
      <c r="D1050" s="51"/>
      <c r="E1050" s="51"/>
      <c r="F1050" s="51"/>
      <c r="G1050" s="51"/>
      <c r="H1050" s="51"/>
      <c r="I1050" s="54"/>
      <c r="J1050" s="54"/>
      <c r="K1050" s="53"/>
      <c r="L1050" s="52"/>
      <c r="M1050" s="55"/>
      <c r="N1050" s="52"/>
      <c r="O1050" s="53"/>
      <c r="P1050" s="54"/>
      <c r="Q1050" s="54"/>
      <c r="R1050" s="54"/>
      <c r="S1050" s="54"/>
      <c r="T1050" s="54"/>
      <c r="U1050" s="82"/>
    </row>
    <row r="1051" spans="2:21" x14ac:dyDescent="0.2">
      <c r="B1051" s="51"/>
      <c r="C1051" s="51"/>
      <c r="D1051" s="51"/>
      <c r="E1051" s="51"/>
      <c r="F1051" s="51"/>
      <c r="G1051" s="51"/>
      <c r="H1051" s="51"/>
      <c r="I1051" s="54"/>
      <c r="J1051" s="54"/>
      <c r="K1051" s="53"/>
      <c r="L1051" s="52"/>
      <c r="M1051" s="55"/>
      <c r="N1051" s="52"/>
      <c r="O1051" s="53"/>
      <c r="P1051" s="54"/>
      <c r="Q1051" s="54"/>
      <c r="R1051" s="54"/>
      <c r="S1051" s="54"/>
      <c r="T1051" s="54"/>
      <c r="U1051" s="82"/>
    </row>
    <row r="1052" spans="2:21" x14ac:dyDescent="0.2">
      <c r="B1052" s="51"/>
      <c r="C1052" s="51"/>
      <c r="D1052" s="51"/>
      <c r="E1052" s="51"/>
      <c r="F1052" s="51"/>
      <c r="G1052" s="51"/>
      <c r="H1052" s="51"/>
      <c r="I1052" s="54"/>
      <c r="J1052" s="54"/>
      <c r="K1052" s="53"/>
      <c r="L1052" s="52"/>
      <c r="M1052" s="55"/>
      <c r="N1052" s="52"/>
      <c r="O1052" s="53"/>
      <c r="P1052" s="54"/>
      <c r="Q1052" s="54"/>
      <c r="R1052" s="54"/>
      <c r="S1052" s="54"/>
      <c r="T1052" s="54"/>
      <c r="U1052" s="82"/>
    </row>
    <row r="1053" spans="2:21" x14ac:dyDescent="0.2">
      <c r="B1053" s="51"/>
      <c r="C1053" s="51"/>
      <c r="D1053" s="51"/>
      <c r="E1053" s="51"/>
      <c r="F1053" s="51"/>
      <c r="G1053" s="51"/>
      <c r="H1053" s="51"/>
      <c r="I1053" s="54"/>
      <c r="J1053" s="54"/>
      <c r="K1053" s="53"/>
      <c r="L1053" s="52"/>
      <c r="M1053" s="55"/>
      <c r="N1053" s="52"/>
      <c r="O1053" s="53"/>
      <c r="P1053" s="54"/>
      <c r="Q1053" s="54"/>
      <c r="R1053" s="54"/>
      <c r="S1053" s="54"/>
      <c r="T1053" s="54"/>
      <c r="U1053" s="82"/>
    </row>
    <row r="1054" spans="2:21" x14ac:dyDescent="0.2">
      <c r="B1054" s="51"/>
      <c r="C1054" s="51"/>
      <c r="D1054" s="51"/>
      <c r="E1054" s="51"/>
      <c r="F1054" s="51"/>
      <c r="G1054" s="51"/>
      <c r="H1054" s="51"/>
      <c r="I1054" s="54"/>
      <c r="J1054" s="54"/>
      <c r="K1054" s="53"/>
      <c r="L1054" s="52"/>
      <c r="M1054" s="55"/>
      <c r="N1054" s="52"/>
      <c r="O1054" s="53"/>
      <c r="P1054" s="54"/>
      <c r="Q1054" s="54"/>
      <c r="R1054" s="54"/>
      <c r="S1054" s="54"/>
      <c r="T1054" s="54"/>
      <c r="U1054" s="82"/>
    </row>
    <row r="1055" spans="2:21" x14ac:dyDescent="0.2">
      <c r="B1055" s="51"/>
      <c r="C1055" s="51"/>
      <c r="D1055" s="51"/>
      <c r="E1055" s="51"/>
      <c r="F1055" s="51"/>
      <c r="G1055" s="51"/>
      <c r="H1055" s="51"/>
      <c r="I1055" s="54"/>
      <c r="J1055" s="54"/>
      <c r="K1055" s="53"/>
      <c r="L1055" s="52"/>
      <c r="M1055" s="55"/>
      <c r="N1055" s="52"/>
      <c r="O1055" s="53"/>
      <c r="P1055" s="54"/>
      <c r="Q1055" s="54"/>
      <c r="R1055" s="54"/>
      <c r="S1055" s="54"/>
      <c r="T1055" s="54"/>
      <c r="U1055" s="82"/>
    </row>
    <row r="1056" spans="2:21" x14ac:dyDescent="0.2">
      <c r="B1056" s="51"/>
      <c r="C1056" s="51"/>
      <c r="D1056" s="51"/>
      <c r="E1056" s="51"/>
      <c r="F1056" s="51"/>
      <c r="G1056" s="51"/>
      <c r="H1056" s="51"/>
      <c r="I1056" s="54"/>
      <c r="J1056" s="54"/>
      <c r="K1056" s="53"/>
      <c r="L1056" s="52"/>
      <c r="M1056" s="55"/>
      <c r="N1056" s="52"/>
      <c r="O1056" s="53"/>
      <c r="P1056" s="54"/>
      <c r="Q1056" s="54"/>
      <c r="R1056" s="54"/>
      <c r="S1056" s="54"/>
      <c r="T1056" s="54"/>
      <c r="U1056" s="82"/>
    </row>
    <row r="1057" spans="2:21" x14ac:dyDescent="0.2">
      <c r="B1057" s="51"/>
      <c r="C1057" s="51"/>
      <c r="D1057" s="51"/>
      <c r="E1057" s="51"/>
      <c r="F1057" s="51"/>
      <c r="G1057" s="51"/>
      <c r="H1057" s="51"/>
      <c r="I1057" s="54"/>
      <c r="J1057" s="54"/>
      <c r="K1057" s="53"/>
      <c r="L1057" s="52"/>
      <c r="M1057" s="55"/>
      <c r="N1057" s="52"/>
      <c r="O1057" s="53"/>
      <c r="P1057" s="54"/>
      <c r="Q1057" s="54"/>
      <c r="R1057" s="54"/>
      <c r="S1057" s="54"/>
      <c r="T1057" s="54"/>
      <c r="U1057" s="82"/>
    </row>
    <row r="1058" spans="2:21" x14ac:dyDescent="0.2">
      <c r="B1058" s="51"/>
      <c r="C1058" s="51"/>
      <c r="D1058" s="51"/>
      <c r="E1058" s="51"/>
      <c r="F1058" s="51"/>
      <c r="G1058" s="51"/>
      <c r="H1058" s="51"/>
      <c r="I1058" s="54"/>
      <c r="J1058" s="54"/>
      <c r="K1058" s="53"/>
      <c r="L1058" s="52"/>
      <c r="M1058" s="55"/>
      <c r="N1058" s="52"/>
      <c r="O1058" s="53"/>
      <c r="P1058" s="54"/>
      <c r="Q1058" s="54"/>
      <c r="R1058" s="54"/>
      <c r="S1058" s="54"/>
      <c r="T1058" s="54"/>
      <c r="U1058" s="82"/>
    </row>
    <row r="1059" spans="2:21" x14ac:dyDescent="0.2">
      <c r="B1059" s="51"/>
      <c r="C1059" s="51"/>
      <c r="D1059" s="51"/>
      <c r="E1059" s="51"/>
      <c r="F1059" s="51"/>
      <c r="G1059" s="51"/>
      <c r="H1059" s="51"/>
      <c r="I1059" s="54"/>
      <c r="J1059" s="54"/>
      <c r="K1059" s="53"/>
      <c r="L1059" s="52"/>
      <c r="M1059" s="55"/>
      <c r="N1059" s="52"/>
      <c r="O1059" s="53"/>
      <c r="P1059" s="54"/>
      <c r="Q1059" s="54"/>
      <c r="R1059" s="54"/>
      <c r="S1059" s="54"/>
      <c r="T1059" s="54"/>
      <c r="U1059" s="82"/>
    </row>
    <row r="1060" spans="2:21" x14ac:dyDescent="0.2">
      <c r="B1060" s="51"/>
      <c r="C1060" s="51"/>
      <c r="D1060" s="51"/>
      <c r="E1060" s="51"/>
      <c r="F1060" s="51"/>
      <c r="G1060" s="51"/>
      <c r="H1060" s="51"/>
      <c r="I1060" s="54"/>
      <c r="J1060" s="54"/>
      <c r="K1060" s="53"/>
      <c r="L1060" s="52"/>
      <c r="M1060" s="55"/>
      <c r="N1060" s="52"/>
      <c r="O1060" s="53"/>
      <c r="P1060" s="54"/>
      <c r="Q1060" s="54"/>
      <c r="R1060" s="54"/>
      <c r="S1060" s="54"/>
      <c r="T1060" s="54"/>
      <c r="U1060" s="82"/>
    </row>
    <row r="1061" spans="2:21" x14ac:dyDescent="0.2">
      <c r="B1061" s="51"/>
      <c r="C1061" s="51"/>
      <c r="D1061" s="51"/>
      <c r="E1061" s="51"/>
      <c r="F1061" s="51"/>
      <c r="G1061" s="51"/>
      <c r="H1061" s="51"/>
      <c r="I1061" s="54"/>
      <c r="J1061" s="54"/>
      <c r="K1061" s="53"/>
      <c r="L1061" s="52"/>
      <c r="M1061" s="55"/>
      <c r="N1061" s="52"/>
      <c r="O1061" s="53"/>
      <c r="P1061" s="54"/>
      <c r="Q1061" s="54"/>
      <c r="R1061" s="54"/>
      <c r="S1061" s="54"/>
      <c r="T1061" s="54"/>
      <c r="U1061" s="82"/>
    </row>
    <row r="1062" spans="2:21" x14ac:dyDescent="0.2">
      <c r="B1062" s="51"/>
      <c r="C1062" s="51"/>
      <c r="D1062" s="51"/>
      <c r="E1062" s="51"/>
      <c r="F1062" s="51"/>
      <c r="G1062" s="51"/>
      <c r="H1062" s="51"/>
      <c r="I1062" s="54"/>
      <c r="J1062" s="54"/>
      <c r="K1062" s="53"/>
      <c r="L1062" s="52"/>
      <c r="M1062" s="55"/>
      <c r="N1062" s="52"/>
      <c r="O1062" s="53"/>
      <c r="P1062" s="54"/>
      <c r="Q1062" s="54"/>
      <c r="R1062" s="54"/>
      <c r="S1062" s="54"/>
      <c r="T1062" s="54"/>
      <c r="U1062" s="82"/>
    </row>
    <row r="1063" spans="2:21" x14ac:dyDescent="0.2">
      <c r="B1063" s="51"/>
      <c r="C1063" s="51"/>
      <c r="D1063" s="51"/>
      <c r="E1063" s="51"/>
      <c r="F1063" s="51"/>
      <c r="G1063" s="51"/>
      <c r="H1063" s="51"/>
      <c r="I1063" s="54"/>
      <c r="J1063" s="54"/>
      <c r="K1063" s="53"/>
      <c r="L1063" s="52"/>
      <c r="M1063" s="55"/>
      <c r="N1063" s="52"/>
      <c r="O1063" s="53"/>
      <c r="P1063" s="54"/>
      <c r="Q1063" s="54"/>
      <c r="R1063" s="54"/>
      <c r="S1063" s="54"/>
      <c r="T1063" s="54"/>
      <c r="U1063" s="82"/>
    </row>
    <row r="1064" spans="2:21" x14ac:dyDescent="0.2">
      <c r="B1064" s="51"/>
      <c r="C1064" s="51"/>
      <c r="D1064" s="51"/>
      <c r="E1064" s="51"/>
      <c r="F1064" s="51"/>
      <c r="G1064" s="51"/>
      <c r="H1064" s="51"/>
      <c r="I1064" s="54"/>
      <c r="J1064" s="54"/>
      <c r="K1064" s="53"/>
      <c r="L1064" s="52"/>
      <c r="M1064" s="55"/>
      <c r="N1064" s="52"/>
      <c r="O1064" s="53"/>
      <c r="P1064" s="54"/>
      <c r="Q1064" s="54"/>
      <c r="R1064" s="54"/>
      <c r="S1064" s="54"/>
      <c r="T1064" s="54"/>
      <c r="U1064" s="82"/>
    </row>
    <row r="1065" spans="2:21" x14ac:dyDescent="0.2">
      <c r="B1065" s="51"/>
      <c r="C1065" s="51"/>
      <c r="D1065" s="51"/>
      <c r="E1065" s="51"/>
      <c r="F1065" s="51"/>
      <c r="G1065" s="51"/>
      <c r="H1065" s="51"/>
      <c r="I1065" s="54"/>
      <c r="J1065" s="54"/>
      <c r="K1065" s="53"/>
      <c r="L1065" s="52"/>
      <c r="M1065" s="55"/>
      <c r="N1065" s="52"/>
      <c r="O1065" s="53"/>
      <c r="P1065" s="54"/>
      <c r="Q1065" s="54"/>
      <c r="R1065" s="54"/>
      <c r="S1065" s="54"/>
      <c r="T1065" s="54"/>
      <c r="U1065" s="82"/>
    </row>
    <row r="1066" spans="2:21" x14ac:dyDescent="0.2">
      <c r="B1066" s="51"/>
      <c r="C1066" s="51"/>
      <c r="D1066" s="51"/>
      <c r="E1066" s="51"/>
      <c r="F1066" s="51"/>
      <c r="G1066" s="51"/>
      <c r="H1066" s="51"/>
      <c r="I1066" s="54"/>
      <c r="J1066" s="54"/>
      <c r="K1066" s="53"/>
      <c r="L1066" s="52"/>
      <c r="M1066" s="55"/>
      <c r="N1066" s="52"/>
      <c r="O1066" s="53"/>
      <c r="P1066" s="54"/>
      <c r="Q1066" s="54"/>
      <c r="R1066" s="54"/>
      <c r="S1066" s="54"/>
      <c r="T1066" s="54"/>
      <c r="U1066" s="82"/>
    </row>
    <row r="1067" spans="2:21" x14ac:dyDescent="0.2">
      <c r="B1067" s="51"/>
      <c r="C1067" s="51"/>
      <c r="D1067" s="51"/>
      <c r="E1067" s="51"/>
      <c r="F1067" s="51"/>
      <c r="G1067" s="51"/>
      <c r="H1067" s="51"/>
      <c r="I1067" s="54"/>
      <c r="J1067" s="54"/>
      <c r="K1067" s="53"/>
      <c r="L1067" s="52"/>
      <c r="M1067" s="55"/>
      <c r="N1067" s="52"/>
      <c r="O1067" s="53"/>
      <c r="P1067" s="54"/>
      <c r="Q1067" s="54"/>
      <c r="R1067" s="54"/>
      <c r="S1067" s="54"/>
      <c r="T1067" s="54"/>
      <c r="U1067" s="82"/>
    </row>
    <row r="1068" spans="2:21" x14ac:dyDescent="0.2">
      <c r="B1068" s="51"/>
      <c r="C1068" s="51"/>
      <c r="D1068" s="51"/>
      <c r="E1068" s="51"/>
      <c r="F1068" s="51"/>
      <c r="G1068" s="51"/>
      <c r="H1068" s="51"/>
      <c r="I1068" s="54"/>
      <c r="J1068" s="54"/>
      <c r="K1068" s="53"/>
      <c r="L1068" s="52"/>
      <c r="M1068" s="55"/>
      <c r="N1068" s="52"/>
      <c r="O1068" s="53"/>
      <c r="P1068" s="54"/>
      <c r="Q1068" s="54"/>
      <c r="R1068" s="54"/>
      <c r="S1068" s="54"/>
      <c r="T1068" s="54"/>
      <c r="U1068" s="82"/>
    </row>
    <row r="1069" spans="2:21" x14ac:dyDescent="0.2">
      <c r="B1069" s="51"/>
      <c r="C1069" s="51"/>
      <c r="D1069" s="51"/>
      <c r="E1069" s="51"/>
      <c r="F1069" s="51"/>
      <c r="G1069" s="51"/>
      <c r="H1069" s="51"/>
      <c r="I1069" s="54"/>
      <c r="J1069" s="54"/>
      <c r="K1069" s="53"/>
      <c r="L1069" s="52"/>
      <c r="M1069" s="55"/>
      <c r="N1069" s="52"/>
      <c r="O1069" s="53"/>
      <c r="P1069" s="54"/>
      <c r="Q1069" s="54"/>
      <c r="R1069" s="54"/>
      <c r="S1069" s="54"/>
      <c r="T1069" s="54"/>
      <c r="U1069" s="82"/>
    </row>
    <row r="1070" spans="2:21" x14ac:dyDescent="0.2">
      <c r="B1070" s="51"/>
      <c r="C1070" s="51"/>
      <c r="D1070" s="51"/>
      <c r="E1070" s="51"/>
      <c r="F1070" s="51"/>
      <c r="G1070" s="51"/>
      <c r="H1070" s="51"/>
      <c r="I1070" s="54"/>
      <c r="J1070" s="54"/>
      <c r="K1070" s="53"/>
      <c r="L1070" s="52"/>
      <c r="M1070" s="55"/>
      <c r="N1070" s="52"/>
      <c r="O1070" s="53"/>
      <c r="P1070" s="54"/>
      <c r="Q1070" s="54"/>
      <c r="R1070" s="54"/>
      <c r="S1070" s="54"/>
      <c r="T1070" s="54"/>
      <c r="U1070" s="82"/>
    </row>
    <row r="1071" spans="2:21" x14ac:dyDescent="0.2">
      <c r="B1071" s="51"/>
      <c r="C1071" s="51"/>
      <c r="D1071" s="51"/>
      <c r="E1071" s="51"/>
      <c r="F1071" s="51"/>
      <c r="G1071" s="51"/>
      <c r="H1071" s="51"/>
      <c r="I1071" s="54"/>
      <c r="J1071" s="54"/>
      <c r="K1071" s="53"/>
      <c r="L1071" s="52"/>
      <c r="M1071" s="55"/>
      <c r="N1071" s="52"/>
      <c r="O1071" s="53"/>
      <c r="P1071" s="54"/>
      <c r="Q1071" s="54"/>
      <c r="R1071" s="54"/>
      <c r="S1071" s="54"/>
      <c r="T1071" s="54"/>
      <c r="U1071" s="82"/>
    </row>
    <row r="1072" spans="2:21" x14ac:dyDescent="0.2">
      <c r="B1072" s="51"/>
      <c r="C1072" s="51"/>
      <c r="D1072" s="51"/>
      <c r="E1072" s="51"/>
      <c r="F1072" s="51"/>
      <c r="G1072" s="51"/>
      <c r="H1072" s="51"/>
      <c r="I1072" s="54"/>
      <c r="J1072" s="54"/>
      <c r="K1072" s="53"/>
      <c r="L1072" s="52"/>
      <c r="M1072" s="55"/>
      <c r="N1072" s="52"/>
      <c r="O1072" s="53"/>
      <c r="P1072" s="54"/>
      <c r="Q1072" s="54"/>
      <c r="R1072" s="54"/>
      <c r="S1072" s="54"/>
      <c r="T1072" s="54"/>
      <c r="U1072" s="82"/>
    </row>
    <row r="1073" spans="2:21" x14ac:dyDescent="0.2">
      <c r="B1073" s="51"/>
      <c r="C1073" s="51"/>
      <c r="D1073" s="51"/>
      <c r="E1073" s="51"/>
      <c r="F1073" s="51"/>
      <c r="G1073" s="51"/>
      <c r="H1073" s="51"/>
      <c r="I1073" s="54"/>
      <c r="J1073" s="54"/>
      <c r="K1073" s="53"/>
      <c r="L1073" s="52"/>
      <c r="M1073" s="55"/>
      <c r="N1073" s="52"/>
      <c r="O1073" s="53"/>
      <c r="P1073" s="54"/>
      <c r="Q1073" s="54"/>
      <c r="R1073" s="54"/>
      <c r="S1073" s="54"/>
      <c r="T1073" s="54"/>
      <c r="U1073" s="82"/>
    </row>
    <row r="1074" spans="2:21" x14ac:dyDescent="0.2">
      <c r="B1074" s="51"/>
      <c r="C1074" s="51"/>
      <c r="D1074" s="51"/>
      <c r="E1074" s="51"/>
      <c r="F1074" s="51"/>
      <c r="G1074" s="51"/>
      <c r="H1074" s="51"/>
      <c r="I1074" s="54"/>
      <c r="J1074" s="54"/>
      <c r="K1074" s="53"/>
      <c r="L1074" s="52"/>
      <c r="M1074" s="55"/>
      <c r="N1074" s="52"/>
      <c r="O1074" s="53"/>
      <c r="P1074" s="54"/>
      <c r="Q1074" s="54"/>
      <c r="R1074" s="54"/>
      <c r="S1074" s="54"/>
      <c r="T1074" s="54"/>
      <c r="U1074" s="82"/>
    </row>
    <row r="1075" spans="2:21" x14ac:dyDescent="0.2">
      <c r="B1075" s="51"/>
      <c r="C1075" s="51"/>
      <c r="D1075" s="51"/>
      <c r="E1075" s="51"/>
      <c r="F1075" s="51"/>
      <c r="G1075" s="51"/>
      <c r="H1075" s="51"/>
      <c r="I1075" s="54"/>
      <c r="J1075" s="54"/>
      <c r="K1075" s="53"/>
      <c r="L1075" s="52"/>
      <c r="M1075" s="55"/>
      <c r="N1075" s="52"/>
      <c r="O1075" s="53"/>
      <c r="P1075" s="54"/>
      <c r="Q1075" s="54"/>
      <c r="R1075" s="54"/>
      <c r="S1075" s="54"/>
      <c r="T1075" s="54"/>
      <c r="U1075" s="82"/>
    </row>
    <row r="1076" spans="2:21" x14ac:dyDescent="0.2">
      <c r="B1076" s="51"/>
      <c r="C1076" s="51"/>
      <c r="D1076" s="51"/>
      <c r="E1076" s="51"/>
      <c r="F1076" s="51"/>
      <c r="G1076" s="51"/>
      <c r="H1076" s="51"/>
      <c r="I1076" s="54"/>
      <c r="J1076" s="54"/>
      <c r="K1076" s="53"/>
      <c r="L1076" s="52"/>
      <c r="M1076" s="55"/>
      <c r="N1076" s="52"/>
      <c r="O1076" s="53"/>
      <c r="P1076" s="54"/>
      <c r="Q1076" s="54"/>
      <c r="R1076" s="54"/>
      <c r="S1076" s="54"/>
      <c r="T1076" s="54"/>
      <c r="U1076" s="82"/>
    </row>
    <row r="1077" spans="2:21" x14ac:dyDescent="0.2">
      <c r="B1077" s="51"/>
      <c r="C1077" s="51"/>
      <c r="D1077" s="51"/>
      <c r="E1077" s="51"/>
      <c r="F1077" s="51"/>
      <c r="G1077" s="51"/>
      <c r="H1077" s="51"/>
      <c r="I1077" s="54"/>
      <c r="J1077" s="54"/>
      <c r="K1077" s="53"/>
      <c r="L1077" s="52"/>
      <c r="M1077" s="55"/>
      <c r="N1077" s="52"/>
      <c r="O1077" s="53"/>
      <c r="P1077" s="54"/>
      <c r="Q1077" s="54"/>
      <c r="R1077" s="54"/>
      <c r="S1077" s="54"/>
      <c r="T1077" s="54"/>
      <c r="U1077" s="82"/>
    </row>
    <row r="1078" spans="2:21" x14ac:dyDescent="0.2">
      <c r="B1078" s="51"/>
      <c r="C1078" s="51"/>
      <c r="D1078" s="51"/>
      <c r="E1078" s="51"/>
      <c r="F1078" s="51"/>
      <c r="G1078" s="51"/>
      <c r="H1078" s="51"/>
      <c r="I1078" s="54"/>
      <c r="J1078" s="54"/>
      <c r="K1078" s="53"/>
      <c r="L1078" s="52"/>
      <c r="M1078" s="55"/>
      <c r="N1078" s="52"/>
      <c r="O1078" s="53"/>
      <c r="P1078" s="54"/>
      <c r="Q1078" s="54"/>
      <c r="R1078" s="54"/>
      <c r="S1078" s="54"/>
      <c r="T1078" s="54"/>
      <c r="U1078" s="82"/>
    </row>
    <row r="1079" spans="2:21" x14ac:dyDescent="0.2">
      <c r="B1079" s="51"/>
      <c r="C1079" s="51"/>
      <c r="D1079" s="51"/>
      <c r="E1079" s="51"/>
      <c r="F1079" s="51"/>
      <c r="G1079" s="51"/>
      <c r="H1079" s="51"/>
      <c r="I1079" s="54"/>
      <c r="J1079" s="54"/>
      <c r="K1079" s="53"/>
      <c r="L1079" s="52"/>
      <c r="M1079" s="55"/>
      <c r="N1079" s="52"/>
      <c r="O1079" s="53"/>
      <c r="P1079" s="54"/>
      <c r="Q1079" s="54"/>
      <c r="R1079" s="54"/>
      <c r="S1079" s="54"/>
      <c r="T1079" s="54"/>
      <c r="U1079" s="82"/>
    </row>
    <row r="1080" spans="2:21" x14ac:dyDescent="0.2">
      <c r="B1080" s="51"/>
      <c r="C1080" s="51"/>
      <c r="D1080" s="51"/>
      <c r="E1080" s="51"/>
      <c r="F1080" s="51"/>
      <c r="G1080" s="51"/>
      <c r="H1080" s="51"/>
      <c r="I1080" s="54"/>
      <c r="J1080" s="54"/>
      <c r="K1080" s="53"/>
      <c r="L1080" s="52"/>
      <c r="M1080" s="55"/>
      <c r="N1080" s="52"/>
      <c r="O1080" s="53"/>
      <c r="P1080" s="54"/>
      <c r="Q1080" s="54"/>
      <c r="R1080" s="54"/>
      <c r="S1080" s="54"/>
      <c r="T1080" s="54"/>
      <c r="U1080" s="82"/>
    </row>
    <row r="1081" spans="2:21" x14ac:dyDescent="0.2">
      <c r="B1081" s="51"/>
      <c r="C1081" s="51"/>
      <c r="D1081" s="51"/>
      <c r="E1081" s="51"/>
      <c r="F1081" s="51"/>
      <c r="G1081" s="51"/>
      <c r="H1081" s="51"/>
      <c r="I1081" s="54"/>
      <c r="J1081" s="54"/>
      <c r="K1081" s="53"/>
      <c r="L1081" s="52"/>
      <c r="M1081" s="55"/>
      <c r="N1081" s="52"/>
      <c r="O1081" s="53"/>
      <c r="P1081" s="54"/>
      <c r="Q1081" s="54"/>
      <c r="R1081" s="54"/>
      <c r="S1081" s="54"/>
      <c r="T1081" s="54"/>
      <c r="U1081" s="82"/>
    </row>
    <row r="1082" spans="2:21" x14ac:dyDescent="0.2">
      <c r="B1082" s="51"/>
      <c r="C1082" s="51"/>
      <c r="D1082" s="51"/>
      <c r="E1082" s="51"/>
      <c r="F1082" s="51"/>
      <c r="G1082" s="51"/>
      <c r="H1082" s="51"/>
      <c r="I1082" s="54"/>
      <c r="J1082" s="54"/>
      <c r="K1082" s="53"/>
      <c r="L1082" s="52"/>
      <c r="M1082" s="55"/>
      <c r="N1082" s="52"/>
      <c r="O1082" s="53"/>
      <c r="P1082" s="54"/>
      <c r="Q1082" s="54"/>
      <c r="R1082" s="54"/>
      <c r="S1082" s="54"/>
      <c r="T1082" s="54"/>
      <c r="U1082" s="82"/>
    </row>
    <row r="1083" spans="2:21" x14ac:dyDescent="0.2">
      <c r="B1083" s="51"/>
      <c r="C1083" s="51"/>
      <c r="D1083" s="51"/>
      <c r="E1083" s="51"/>
      <c r="F1083" s="51"/>
      <c r="G1083" s="51"/>
      <c r="H1083" s="51"/>
      <c r="I1083" s="54"/>
      <c r="J1083" s="54"/>
      <c r="K1083" s="53"/>
      <c r="L1083" s="52"/>
      <c r="M1083" s="55"/>
      <c r="N1083" s="52"/>
      <c r="O1083" s="53"/>
      <c r="P1083" s="54"/>
      <c r="Q1083" s="54"/>
      <c r="R1083" s="54"/>
      <c r="S1083" s="54"/>
      <c r="T1083" s="54"/>
      <c r="U1083" s="82"/>
    </row>
    <row r="1084" spans="2:21" x14ac:dyDescent="0.2">
      <c r="B1084" s="51"/>
      <c r="C1084" s="51"/>
      <c r="D1084" s="51"/>
      <c r="E1084" s="51"/>
      <c r="F1084" s="51"/>
      <c r="G1084" s="51"/>
      <c r="H1084" s="51"/>
      <c r="I1084" s="54"/>
      <c r="J1084" s="54"/>
      <c r="K1084" s="53"/>
      <c r="L1084" s="52"/>
      <c r="M1084" s="55"/>
      <c r="N1084" s="52"/>
      <c r="O1084" s="53"/>
      <c r="P1084" s="54"/>
      <c r="Q1084" s="54"/>
      <c r="R1084" s="54"/>
      <c r="S1084" s="54"/>
      <c r="T1084" s="54"/>
      <c r="U1084" s="82"/>
    </row>
    <row r="1085" spans="2:21" x14ac:dyDescent="0.2">
      <c r="B1085" s="51"/>
      <c r="C1085" s="51"/>
      <c r="D1085" s="51"/>
      <c r="E1085" s="51"/>
      <c r="F1085" s="51"/>
      <c r="G1085" s="51"/>
      <c r="H1085" s="51"/>
      <c r="I1085" s="54"/>
      <c r="J1085" s="54"/>
      <c r="K1085" s="53"/>
      <c r="L1085" s="52"/>
      <c r="M1085" s="55"/>
      <c r="N1085" s="52"/>
      <c r="O1085" s="53"/>
      <c r="P1085" s="54"/>
      <c r="Q1085" s="54"/>
      <c r="R1085" s="54"/>
      <c r="S1085" s="54"/>
      <c r="T1085" s="54"/>
      <c r="U1085" s="82"/>
    </row>
    <row r="1086" spans="2:21" x14ac:dyDescent="0.2">
      <c r="B1086" s="51"/>
      <c r="C1086" s="51"/>
      <c r="D1086" s="51"/>
      <c r="E1086" s="51"/>
      <c r="F1086" s="51"/>
      <c r="G1086" s="51"/>
      <c r="H1086" s="51"/>
      <c r="I1086" s="54"/>
      <c r="J1086" s="54"/>
      <c r="K1086" s="53"/>
      <c r="L1086" s="52"/>
      <c r="M1086" s="55"/>
      <c r="N1086" s="52"/>
      <c r="O1086" s="53"/>
      <c r="P1086" s="54"/>
      <c r="Q1086" s="54"/>
      <c r="R1086" s="54"/>
      <c r="S1086" s="54"/>
      <c r="T1086" s="54"/>
      <c r="U1086" s="82"/>
    </row>
    <row r="1087" spans="2:21" x14ac:dyDescent="0.2">
      <c r="B1087" s="51"/>
      <c r="C1087" s="51"/>
      <c r="D1087" s="51"/>
      <c r="E1087" s="51"/>
      <c r="F1087" s="51"/>
      <c r="G1087" s="51"/>
      <c r="H1087" s="51"/>
      <c r="I1087" s="54"/>
      <c r="J1087" s="54"/>
      <c r="K1087" s="53"/>
      <c r="L1087" s="52"/>
      <c r="M1087" s="55"/>
      <c r="N1087" s="52"/>
      <c r="O1087" s="53"/>
      <c r="P1087" s="54"/>
      <c r="Q1087" s="54"/>
      <c r="R1087" s="54"/>
      <c r="S1087" s="54"/>
      <c r="T1087" s="54"/>
      <c r="U1087" s="82"/>
    </row>
    <row r="1088" spans="2:21" x14ac:dyDescent="0.2">
      <c r="B1088" s="51"/>
      <c r="C1088" s="51"/>
      <c r="D1088" s="51"/>
      <c r="E1088" s="51"/>
      <c r="F1088" s="51"/>
      <c r="G1088" s="51"/>
      <c r="H1088" s="51"/>
      <c r="I1088" s="54"/>
      <c r="J1088" s="54"/>
      <c r="K1088" s="53"/>
      <c r="L1088" s="52"/>
      <c r="M1088" s="55"/>
      <c r="N1088" s="52"/>
      <c r="O1088" s="53"/>
      <c r="P1088" s="54"/>
      <c r="Q1088" s="54"/>
      <c r="R1088" s="54"/>
      <c r="S1088" s="54"/>
      <c r="T1088" s="54"/>
      <c r="U1088" s="82"/>
    </row>
    <row r="1089" spans="2:21" x14ac:dyDescent="0.2">
      <c r="B1089" s="51"/>
      <c r="C1089" s="51"/>
      <c r="D1089" s="51"/>
      <c r="E1089" s="51"/>
      <c r="F1089" s="51"/>
      <c r="G1089" s="51"/>
      <c r="H1089" s="51"/>
      <c r="I1089" s="54"/>
      <c r="J1089" s="54"/>
      <c r="K1089" s="53"/>
      <c r="L1089" s="52"/>
      <c r="M1089" s="55"/>
      <c r="N1089" s="52"/>
      <c r="O1089" s="53"/>
      <c r="P1089" s="54"/>
      <c r="Q1089" s="54"/>
      <c r="R1089" s="54"/>
      <c r="S1089" s="54"/>
      <c r="T1089" s="54"/>
      <c r="U1089" s="82"/>
    </row>
    <row r="1090" spans="2:21" x14ac:dyDescent="0.2">
      <c r="B1090" s="51"/>
      <c r="C1090" s="51"/>
      <c r="D1090" s="51"/>
      <c r="E1090" s="51"/>
      <c r="F1090" s="51"/>
      <c r="G1090" s="51"/>
      <c r="H1090" s="51"/>
      <c r="I1090" s="54"/>
      <c r="J1090" s="54"/>
      <c r="K1090" s="53"/>
      <c r="L1090" s="52"/>
      <c r="M1090" s="55"/>
      <c r="N1090" s="52"/>
      <c r="O1090" s="53"/>
      <c r="P1090" s="54"/>
      <c r="Q1090" s="54"/>
      <c r="R1090" s="54"/>
      <c r="S1090" s="54"/>
      <c r="T1090" s="54"/>
      <c r="U1090" s="82"/>
    </row>
    <row r="1091" spans="2:21" x14ac:dyDescent="0.2">
      <c r="B1091" s="51"/>
      <c r="C1091" s="51"/>
      <c r="D1091" s="51"/>
      <c r="E1091" s="51"/>
      <c r="F1091" s="51"/>
      <c r="G1091" s="51"/>
      <c r="H1091" s="51"/>
      <c r="I1091" s="54"/>
      <c r="J1091" s="54"/>
      <c r="K1091" s="53"/>
      <c r="L1091" s="52"/>
      <c r="M1091" s="55"/>
      <c r="N1091" s="52"/>
      <c r="O1091" s="53"/>
      <c r="P1091" s="54"/>
      <c r="Q1091" s="54"/>
      <c r="R1091" s="54"/>
      <c r="S1091" s="54"/>
      <c r="T1091" s="54"/>
      <c r="U1091" s="82"/>
    </row>
    <row r="1092" spans="2:21" x14ac:dyDescent="0.2">
      <c r="B1092" s="51"/>
      <c r="C1092" s="51"/>
      <c r="D1092" s="51"/>
      <c r="E1092" s="51"/>
      <c r="F1092" s="51"/>
      <c r="G1092" s="51"/>
      <c r="H1092" s="51"/>
      <c r="I1092" s="54"/>
      <c r="J1092" s="54"/>
      <c r="K1092" s="53"/>
      <c r="L1092" s="52"/>
      <c r="M1092" s="55"/>
      <c r="N1092" s="52"/>
      <c r="O1092" s="53"/>
      <c r="P1092" s="54"/>
      <c r="Q1092" s="54"/>
      <c r="R1092" s="54"/>
      <c r="S1092" s="54"/>
      <c r="T1092" s="54"/>
      <c r="U1092" s="82"/>
    </row>
    <row r="1093" spans="2:21" x14ac:dyDescent="0.2">
      <c r="B1093" s="51"/>
      <c r="C1093" s="51"/>
      <c r="D1093" s="51"/>
      <c r="E1093" s="51"/>
      <c r="F1093" s="51"/>
      <c r="G1093" s="51"/>
      <c r="H1093" s="51"/>
      <c r="I1093" s="54"/>
      <c r="J1093" s="54"/>
      <c r="K1093" s="53"/>
      <c r="L1093" s="52"/>
      <c r="M1093" s="55"/>
      <c r="N1093" s="52"/>
      <c r="O1093" s="53"/>
      <c r="P1093" s="54"/>
      <c r="Q1093" s="54"/>
      <c r="R1093" s="54"/>
      <c r="S1093" s="54"/>
      <c r="T1093" s="54"/>
      <c r="U1093" s="82"/>
    </row>
    <row r="1094" spans="2:21" x14ac:dyDescent="0.2">
      <c r="B1094" s="51"/>
      <c r="C1094" s="51"/>
      <c r="D1094" s="51"/>
      <c r="E1094" s="51"/>
      <c r="F1094" s="51"/>
      <c r="G1094" s="51"/>
      <c r="H1094" s="51"/>
      <c r="I1094" s="54"/>
      <c r="J1094" s="54"/>
      <c r="K1094" s="53"/>
      <c r="L1094" s="52"/>
      <c r="M1094" s="55"/>
      <c r="N1094" s="52"/>
      <c r="O1094" s="53"/>
      <c r="P1094" s="54"/>
      <c r="Q1094" s="54"/>
      <c r="R1094" s="54"/>
      <c r="S1094" s="54"/>
      <c r="T1094" s="54"/>
      <c r="U1094" s="82"/>
    </row>
    <row r="1095" spans="2:21" x14ac:dyDescent="0.2">
      <c r="B1095" s="51"/>
      <c r="C1095" s="51"/>
      <c r="D1095" s="51"/>
      <c r="E1095" s="51"/>
      <c r="F1095" s="51"/>
      <c r="G1095" s="51"/>
      <c r="H1095" s="51"/>
      <c r="I1095" s="54"/>
      <c r="J1095" s="54"/>
      <c r="K1095" s="53"/>
      <c r="L1095" s="52"/>
      <c r="M1095" s="55"/>
      <c r="N1095" s="52"/>
      <c r="O1095" s="53"/>
      <c r="P1095" s="54"/>
      <c r="Q1095" s="54"/>
      <c r="R1095" s="54"/>
      <c r="S1095" s="54"/>
      <c r="T1095" s="54"/>
      <c r="U1095" s="82"/>
    </row>
    <row r="1096" spans="2:21" x14ac:dyDescent="0.2">
      <c r="B1096" s="51"/>
      <c r="C1096" s="51"/>
      <c r="D1096" s="51"/>
      <c r="E1096" s="51"/>
      <c r="F1096" s="51"/>
      <c r="G1096" s="51"/>
      <c r="H1096" s="51"/>
      <c r="I1096" s="54"/>
      <c r="J1096" s="54"/>
      <c r="K1096" s="53"/>
      <c r="L1096" s="52"/>
      <c r="M1096" s="55"/>
      <c r="N1096" s="52"/>
      <c r="O1096" s="53"/>
      <c r="P1096" s="54"/>
      <c r="Q1096" s="54"/>
      <c r="R1096" s="54"/>
      <c r="S1096" s="54"/>
      <c r="T1096" s="54"/>
      <c r="U1096" s="82"/>
    </row>
    <row r="1097" spans="2:21" x14ac:dyDescent="0.2">
      <c r="B1097" s="51"/>
      <c r="C1097" s="51"/>
      <c r="D1097" s="51"/>
      <c r="E1097" s="51"/>
      <c r="F1097" s="51"/>
      <c r="G1097" s="51"/>
      <c r="H1097" s="51"/>
      <c r="I1097" s="54"/>
      <c r="J1097" s="54"/>
      <c r="K1097" s="53"/>
      <c r="L1097" s="52"/>
      <c r="M1097" s="55"/>
      <c r="N1097" s="52"/>
      <c r="O1097" s="53"/>
      <c r="P1097" s="54"/>
      <c r="Q1097" s="54"/>
      <c r="R1097" s="54"/>
      <c r="S1097" s="54"/>
      <c r="T1097" s="54"/>
      <c r="U1097" s="82"/>
    </row>
    <row r="1098" spans="2:21" x14ac:dyDescent="0.2">
      <c r="B1098" s="51"/>
      <c r="C1098" s="51"/>
      <c r="D1098" s="51"/>
      <c r="E1098" s="51"/>
      <c r="F1098" s="51"/>
      <c r="G1098" s="51"/>
      <c r="H1098" s="51"/>
      <c r="I1098" s="54"/>
      <c r="J1098" s="54"/>
      <c r="K1098" s="53"/>
      <c r="L1098" s="52"/>
      <c r="M1098" s="55"/>
      <c r="N1098" s="52"/>
      <c r="O1098" s="53"/>
      <c r="P1098" s="54"/>
      <c r="Q1098" s="54"/>
      <c r="R1098" s="54"/>
      <c r="S1098" s="54"/>
      <c r="T1098" s="54"/>
      <c r="U1098" s="82"/>
    </row>
    <row r="1099" spans="2:21" x14ac:dyDescent="0.2">
      <c r="B1099" s="51"/>
      <c r="C1099" s="51"/>
      <c r="D1099" s="51"/>
      <c r="E1099" s="51"/>
      <c r="F1099" s="51"/>
      <c r="G1099" s="51"/>
      <c r="H1099" s="51"/>
      <c r="I1099" s="54"/>
      <c r="J1099" s="54"/>
      <c r="K1099" s="53"/>
      <c r="L1099" s="52"/>
      <c r="M1099" s="55"/>
      <c r="N1099" s="52"/>
      <c r="O1099" s="53"/>
      <c r="P1099" s="54"/>
      <c r="Q1099" s="54"/>
      <c r="R1099" s="54"/>
      <c r="S1099" s="54"/>
      <c r="T1099" s="54"/>
      <c r="U1099" s="82"/>
    </row>
    <row r="1100" spans="2:21" x14ac:dyDescent="0.2">
      <c r="B1100" s="51"/>
      <c r="C1100" s="51"/>
      <c r="D1100" s="51"/>
      <c r="E1100" s="51"/>
      <c r="F1100" s="51"/>
      <c r="G1100" s="51"/>
      <c r="H1100" s="51"/>
      <c r="I1100" s="54"/>
      <c r="J1100" s="54"/>
      <c r="K1100" s="53"/>
      <c r="L1100" s="52"/>
      <c r="M1100" s="55"/>
      <c r="N1100" s="52"/>
      <c r="O1100" s="53"/>
      <c r="P1100" s="54"/>
      <c r="Q1100" s="54"/>
      <c r="R1100" s="54"/>
      <c r="S1100" s="54"/>
      <c r="T1100" s="54"/>
      <c r="U1100" s="82"/>
    </row>
    <row r="1101" spans="2:21" x14ac:dyDescent="0.2">
      <c r="B1101" s="51"/>
      <c r="C1101" s="51"/>
      <c r="D1101" s="51"/>
      <c r="E1101" s="51"/>
      <c r="F1101" s="51"/>
      <c r="G1101" s="51"/>
      <c r="H1101" s="51"/>
      <c r="I1101" s="54"/>
      <c r="J1101" s="54"/>
      <c r="K1101" s="53"/>
      <c r="L1101" s="52"/>
      <c r="M1101" s="55"/>
      <c r="N1101" s="52"/>
      <c r="O1101" s="53"/>
      <c r="P1101" s="54"/>
      <c r="Q1101" s="54"/>
      <c r="R1101" s="54"/>
      <c r="S1101" s="54"/>
      <c r="T1101" s="54"/>
      <c r="U1101" s="82"/>
    </row>
    <row r="1102" spans="2:21" x14ac:dyDescent="0.2">
      <c r="B1102" s="51"/>
      <c r="C1102" s="51"/>
      <c r="D1102" s="51"/>
      <c r="E1102" s="51"/>
      <c r="F1102" s="51"/>
      <c r="G1102" s="51"/>
      <c r="H1102" s="51"/>
      <c r="I1102" s="54"/>
      <c r="J1102" s="54"/>
      <c r="K1102" s="53"/>
      <c r="L1102" s="52"/>
      <c r="M1102" s="55"/>
      <c r="N1102" s="52"/>
      <c r="O1102" s="53"/>
      <c r="P1102" s="54"/>
      <c r="Q1102" s="54"/>
      <c r="R1102" s="54"/>
      <c r="S1102" s="54"/>
      <c r="T1102" s="54"/>
      <c r="U1102" s="82"/>
    </row>
    <row r="1103" spans="2:21" x14ac:dyDescent="0.2">
      <c r="B1103" s="51"/>
      <c r="C1103" s="51"/>
      <c r="D1103" s="51"/>
      <c r="E1103" s="51"/>
      <c r="F1103" s="51"/>
      <c r="G1103" s="51"/>
      <c r="H1103" s="51"/>
      <c r="I1103" s="54"/>
      <c r="J1103" s="54"/>
      <c r="K1103" s="53"/>
      <c r="L1103" s="52"/>
      <c r="M1103" s="55"/>
      <c r="N1103" s="52"/>
      <c r="O1103" s="53"/>
      <c r="P1103" s="54"/>
      <c r="Q1103" s="54"/>
      <c r="R1103" s="54"/>
      <c r="S1103" s="54"/>
      <c r="T1103" s="54"/>
      <c r="U1103" s="82"/>
    </row>
    <row r="1104" spans="2:21" x14ac:dyDescent="0.2">
      <c r="B1104" s="51"/>
      <c r="C1104" s="51"/>
      <c r="D1104" s="51"/>
      <c r="E1104" s="51"/>
      <c r="F1104" s="51"/>
      <c r="G1104" s="51"/>
      <c r="H1104" s="51"/>
      <c r="I1104" s="54"/>
      <c r="J1104" s="54"/>
      <c r="K1104" s="53"/>
      <c r="L1104" s="52"/>
      <c r="M1104" s="55"/>
      <c r="N1104" s="52"/>
      <c r="O1104" s="53"/>
      <c r="P1104" s="54"/>
      <c r="Q1104" s="54"/>
      <c r="R1104" s="54"/>
      <c r="S1104" s="54"/>
      <c r="T1104" s="54"/>
      <c r="U1104" s="82"/>
    </row>
    <row r="1105" spans="2:21" x14ac:dyDescent="0.2">
      <c r="B1105" s="51"/>
      <c r="C1105" s="51"/>
      <c r="D1105" s="51"/>
      <c r="E1105" s="51"/>
      <c r="F1105" s="51"/>
      <c r="G1105" s="51"/>
      <c r="H1105" s="51"/>
      <c r="I1105" s="54"/>
      <c r="J1105" s="54"/>
      <c r="K1105" s="53"/>
      <c r="L1105" s="52"/>
      <c r="M1105" s="55"/>
      <c r="N1105" s="52"/>
      <c r="O1105" s="53"/>
      <c r="P1105" s="54"/>
      <c r="Q1105" s="54"/>
      <c r="R1105" s="54"/>
      <c r="S1105" s="54"/>
      <c r="T1105" s="54"/>
      <c r="U1105" s="82"/>
    </row>
    <row r="1106" spans="2:21" x14ac:dyDescent="0.2">
      <c r="B1106" s="51"/>
      <c r="C1106" s="51"/>
      <c r="D1106" s="51"/>
      <c r="E1106" s="51"/>
      <c r="F1106" s="51"/>
      <c r="G1106" s="51"/>
      <c r="H1106" s="51"/>
      <c r="I1106" s="54"/>
      <c r="J1106" s="54"/>
      <c r="K1106" s="53"/>
      <c r="L1106" s="52"/>
      <c r="M1106" s="55"/>
      <c r="N1106" s="52"/>
      <c r="O1106" s="53"/>
      <c r="P1106" s="54"/>
      <c r="Q1106" s="54"/>
      <c r="R1106" s="54"/>
      <c r="S1106" s="54"/>
      <c r="T1106" s="54"/>
      <c r="U1106" s="82"/>
    </row>
    <row r="1107" spans="2:21" x14ac:dyDescent="0.2">
      <c r="B1107" s="51"/>
      <c r="C1107" s="51"/>
      <c r="D1107" s="51"/>
      <c r="E1107" s="51"/>
      <c r="F1107" s="51"/>
      <c r="G1107" s="51"/>
      <c r="H1107" s="51"/>
      <c r="I1107" s="54"/>
      <c r="J1107" s="54"/>
      <c r="K1107" s="53"/>
      <c r="L1107" s="52"/>
      <c r="M1107" s="55"/>
      <c r="N1107" s="52"/>
      <c r="O1107" s="53"/>
      <c r="P1107" s="54"/>
      <c r="Q1107" s="54"/>
      <c r="R1107" s="54"/>
      <c r="S1107" s="54"/>
      <c r="T1107" s="54"/>
      <c r="U1107" s="82"/>
    </row>
    <row r="1108" spans="2:21" x14ac:dyDescent="0.2">
      <c r="B1108" s="51"/>
      <c r="C1108" s="51"/>
      <c r="D1108" s="51"/>
      <c r="E1108" s="51"/>
      <c r="F1108" s="51"/>
      <c r="G1108" s="51"/>
      <c r="H1108" s="51"/>
      <c r="I1108" s="54"/>
      <c r="J1108" s="54"/>
      <c r="K1108" s="53"/>
      <c r="L1108" s="52"/>
      <c r="M1108" s="55"/>
      <c r="N1108" s="52"/>
      <c r="O1108" s="53"/>
      <c r="P1108" s="54"/>
      <c r="Q1108" s="54"/>
      <c r="R1108" s="54"/>
      <c r="S1108" s="54"/>
      <c r="T1108" s="54"/>
      <c r="U1108" s="82"/>
    </row>
    <row r="1109" spans="2:21" x14ac:dyDescent="0.2">
      <c r="B1109" s="51"/>
      <c r="C1109" s="51"/>
      <c r="D1109" s="51"/>
      <c r="E1109" s="51"/>
      <c r="F1109" s="51"/>
      <c r="G1109" s="51"/>
      <c r="H1109" s="51"/>
      <c r="I1109" s="54"/>
      <c r="J1109" s="54"/>
      <c r="K1109" s="53"/>
      <c r="L1109" s="52"/>
      <c r="M1109" s="55"/>
      <c r="N1109" s="52"/>
      <c r="O1109" s="53"/>
      <c r="P1109" s="54"/>
      <c r="Q1109" s="54"/>
      <c r="R1109" s="54"/>
      <c r="S1109" s="54"/>
      <c r="T1109" s="54"/>
      <c r="U1109" s="82"/>
    </row>
    <row r="1110" spans="2:21" x14ac:dyDescent="0.2">
      <c r="B1110" s="51"/>
      <c r="C1110" s="51"/>
      <c r="D1110" s="51"/>
      <c r="E1110" s="51"/>
      <c r="F1110" s="51"/>
      <c r="G1110" s="51"/>
      <c r="H1110" s="51"/>
      <c r="I1110" s="54"/>
      <c r="J1110" s="54"/>
      <c r="K1110" s="53"/>
      <c r="L1110" s="52"/>
      <c r="M1110" s="55"/>
      <c r="N1110" s="52"/>
      <c r="O1110" s="53"/>
      <c r="P1110" s="54"/>
      <c r="Q1110" s="54"/>
      <c r="R1110" s="54"/>
      <c r="S1110" s="54"/>
      <c r="T1110" s="54"/>
      <c r="U1110" s="82"/>
    </row>
    <row r="1111" spans="2:21" x14ac:dyDescent="0.2">
      <c r="B1111" s="51"/>
      <c r="C1111" s="51"/>
      <c r="D1111" s="51"/>
      <c r="E1111" s="51"/>
      <c r="F1111" s="51"/>
      <c r="G1111" s="51"/>
      <c r="H1111" s="51"/>
      <c r="I1111" s="54"/>
      <c r="J1111" s="54"/>
      <c r="K1111" s="53"/>
      <c r="L1111" s="52"/>
      <c r="M1111" s="55"/>
      <c r="N1111" s="52"/>
      <c r="O1111" s="53"/>
      <c r="P1111" s="54"/>
      <c r="Q1111" s="54"/>
      <c r="R1111" s="54"/>
      <c r="S1111" s="54"/>
      <c r="T1111" s="54"/>
      <c r="U1111" s="82"/>
    </row>
    <row r="1112" spans="2:21" x14ac:dyDescent="0.2">
      <c r="B1112" s="51"/>
      <c r="C1112" s="51"/>
      <c r="D1112" s="51"/>
      <c r="E1112" s="51"/>
      <c r="F1112" s="51"/>
      <c r="G1112" s="51"/>
      <c r="H1112" s="51"/>
      <c r="I1112" s="54"/>
      <c r="J1112" s="54"/>
      <c r="K1112" s="53"/>
      <c r="L1112" s="52"/>
      <c r="M1112" s="55"/>
      <c r="N1112" s="52"/>
      <c r="O1112" s="53"/>
      <c r="P1112" s="54"/>
      <c r="Q1112" s="54"/>
      <c r="R1112" s="54"/>
      <c r="S1112" s="54"/>
      <c r="T1112" s="54"/>
      <c r="U1112" s="82"/>
    </row>
    <row r="1113" spans="2:21" x14ac:dyDescent="0.2">
      <c r="B1113" s="51"/>
      <c r="C1113" s="51"/>
      <c r="D1113" s="51"/>
      <c r="E1113" s="51"/>
      <c r="F1113" s="51"/>
      <c r="G1113" s="51"/>
      <c r="H1113" s="51"/>
      <c r="I1113" s="54"/>
      <c r="J1113" s="54"/>
      <c r="K1113" s="53"/>
      <c r="L1113" s="52"/>
      <c r="M1113" s="55"/>
      <c r="N1113" s="52"/>
      <c r="O1113" s="53"/>
      <c r="P1113" s="54"/>
      <c r="Q1113" s="54"/>
      <c r="R1113" s="54"/>
      <c r="S1113" s="54"/>
      <c r="T1113" s="54"/>
      <c r="U1113" s="82"/>
    </row>
    <row r="1114" spans="2:21" x14ac:dyDescent="0.2">
      <c r="B1114" s="51"/>
      <c r="C1114" s="51"/>
      <c r="D1114" s="51"/>
      <c r="E1114" s="51"/>
      <c r="F1114" s="51"/>
      <c r="G1114" s="51"/>
      <c r="H1114" s="51"/>
      <c r="I1114" s="54"/>
      <c r="J1114" s="54"/>
      <c r="K1114" s="53"/>
      <c r="L1114" s="52"/>
      <c r="M1114" s="55"/>
      <c r="N1114" s="52"/>
      <c r="O1114" s="53"/>
      <c r="P1114" s="54"/>
      <c r="Q1114" s="54"/>
      <c r="R1114" s="54"/>
      <c r="S1114" s="54"/>
      <c r="T1114" s="54"/>
      <c r="U1114" s="82"/>
    </row>
    <row r="1115" spans="2:21" x14ac:dyDescent="0.2">
      <c r="B1115" s="51"/>
      <c r="C1115" s="51"/>
      <c r="D1115" s="51"/>
      <c r="E1115" s="51"/>
      <c r="F1115" s="51"/>
      <c r="G1115" s="51"/>
      <c r="H1115" s="51"/>
      <c r="I1115" s="54"/>
      <c r="J1115" s="54"/>
      <c r="K1115" s="53"/>
      <c r="L1115" s="52"/>
      <c r="M1115" s="55"/>
      <c r="N1115" s="52"/>
      <c r="O1115" s="53"/>
      <c r="P1115" s="54"/>
      <c r="Q1115" s="54"/>
      <c r="R1115" s="54"/>
      <c r="S1115" s="54"/>
      <c r="T1115" s="54"/>
      <c r="U1115" s="82"/>
    </row>
    <row r="1116" spans="2:21" x14ac:dyDescent="0.2">
      <c r="B1116" s="51"/>
      <c r="C1116" s="51"/>
      <c r="D1116" s="51"/>
      <c r="E1116" s="51"/>
      <c r="F1116" s="51"/>
      <c r="G1116" s="51"/>
      <c r="H1116" s="51"/>
      <c r="I1116" s="54"/>
      <c r="J1116" s="54"/>
      <c r="K1116" s="53"/>
      <c r="L1116" s="52"/>
      <c r="M1116" s="55"/>
      <c r="N1116" s="52"/>
      <c r="O1116" s="53"/>
      <c r="P1116" s="54"/>
      <c r="Q1116" s="54"/>
      <c r="R1116" s="54"/>
      <c r="S1116" s="54"/>
      <c r="T1116" s="54"/>
      <c r="U1116" s="82"/>
    </row>
    <row r="1117" spans="2:21" x14ac:dyDescent="0.2">
      <c r="B1117" s="51"/>
      <c r="C1117" s="51"/>
      <c r="D1117" s="51"/>
      <c r="E1117" s="51"/>
      <c r="F1117" s="51"/>
      <c r="G1117" s="51"/>
      <c r="H1117" s="51"/>
      <c r="I1117" s="54"/>
      <c r="J1117" s="54"/>
      <c r="K1117" s="53"/>
      <c r="L1117" s="52"/>
      <c r="M1117" s="55"/>
      <c r="N1117" s="52"/>
      <c r="O1117" s="53"/>
      <c r="P1117" s="54"/>
      <c r="Q1117" s="54"/>
      <c r="R1117" s="54"/>
      <c r="S1117" s="54"/>
      <c r="T1117" s="54"/>
      <c r="U1117" s="82"/>
    </row>
    <row r="1118" spans="2:21" x14ac:dyDescent="0.2">
      <c r="B1118" s="51"/>
      <c r="C1118" s="51"/>
      <c r="D1118" s="51"/>
      <c r="E1118" s="51"/>
      <c r="F1118" s="51"/>
      <c r="G1118" s="51"/>
      <c r="H1118" s="51"/>
      <c r="I1118" s="54"/>
      <c r="J1118" s="54"/>
      <c r="K1118" s="53"/>
      <c r="L1118" s="52"/>
      <c r="M1118" s="55"/>
      <c r="N1118" s="52"/>
      <c r="O1118" s="53"/>
      <c r="P1118" s="54"/>
      <c r="Q1118" s="54"/>
      <c r="R1118" s="54"/>
      <c r="S1118" s="54"/>
      <c r="T1118" s="54"/>
      <c r="U1118" s="82"/>
    </row>
    <row r="1119" spans="2:21" x14ac:dyDescent="0.2">
      <c r="B1119" s="51"/>
      <c r="C1119" s="51"/>
      <c r="D1119" s="51"/>
      <c r="E1119" s="51"/>
      <c r="F1119" s="51"/>
      <c r="G1119" s="51"/>
      <c r="H1119" s="51"/>
      <c r="I1119" s="54"/>
      <c r="J1119" s="54"/>
      <c r="K1119" s="53"/>
      <c r="L1119" s="52"/>
      <c r="M1119" s="55"/>
      <c r="N1119" s="52"/>
      <c r="O1119" s="53"/>
      <c r="P1119" s="54"/>
      <c r="Q1119" s="54"/>
      <c r="R1119" s="54"/>
      <c r="S1119" s="54"/>
      <c r="T1119" s="54"/>
      <c r="U1119" s="82"/>
    </row>
    <row r="1120" spans="2:21" x14ac:dyDescent="0.2">
      <c r="B1120" s="51"/>
      <c r="C1120" s="51"/>
      <c r="D1120" s="51"/>
      <c r="E1120" s="51"/>
      <c r="F1120" s="51"/>
      <c r="G1120" s="51"/>
      <c r="H1120" s="51"/>
      <c r="I1120" s="54"/>
      <c r="J1120" s="54"/>
      <c r="K1120" s="53"/>
      <c r="L1120" s="52"/>
      <c r="M1120" s="55"/>
      <c r="N1120" s="52"/>
      <c r="O1120" s="53"/>
      <c r="P1120" s="54"/>
      <c r="Q1120" s="54"/>
      <c r="R1120" s="54"/>
      <c r="S1120" s="54"/>
      <c r="T1120" s="54"/>
      <c r="U1120" s="82"/>
    </row>
    <row r="1121" spans="2:21" x14ac:dyDescent="0.2">
      <c r="B1121" s="51"/>
      <c r="C1121" s="51"/>
      <c r="D1121" s="51"/>
      <c r="E1121" s="51"/>
      <c r="F1121" s="51"/>
      <c r="G1121" s="51"/>
      <c r="H1121" s="51"/>
      <c r="I1121" s="54"/>
      <c r="J1121" s="54"/>
      <c r="K1121" s="53"/>
      <c r="L1121" s="52"/>
      <c r="M1121" s="55"/>
      <c r="N1121" s="52"/>
      <c r="O1121" s="53"/>
      <c r="P1121" s="54"/>
      <c r="Q1121" s="54"/>
      <c r="R1121" s="54"/>
      <c r="S1121" s="54"/>
      <c r="T1121" s="54"/>
      <c r="U1121" s="82"/>
    </row>
    <row r="1122" spans="2:21" x14ac:dyDescent="0.2">
      <c r="B1122" s="51"/>
      <c r="C1122" s="51"/>
      <c r="D1122" s="51"/>
      <c r="E1122" s="51"/>
      <c r="F1122" s="51"/>
      <c r="G1122" s="51"/>
      <c r="H1122" s="51"/>
      <c r="I1122" s="54"/>
      <c r="J1122" s="54"/>
      <c r="K1122" s="53"/>
      <c r="L1122" s="52"/>
      <c r="M1122" s="55"/>
      <c r="N1122" s="52"/>
      <c r="O1122" s="53"/>
      <c r="P1122" s="54"/>
      <c r="Q1122" s="54"/>
      <c r="R1122" s="54"/>
      <c r="S1122" s="54"/>
      <c r="T1122" s="54"/>
      <c r="U1122" s="82"/>
    </row>
    <row r="1123" spans="2:21" x14ac:dyDescent="0.2">
      <c r="B1123" s="51"/>
      <c r="C1123" s="51"/>
      <c r="D1123" s="51"/>
      <c r="E1123" s="51"/>
      <c r="F1123" s="51"/>
      <c r="G1123" s="51"/>
      <c r="H1123" s="51"/>
      <c r="I1123" s="54"/>
      <c r="J1123" s="54"/>
      <c r="K1123" s="53"/>
      <c r="L1123" s="52"/>
      <c r="M1123" s="55"/>
      <c r="N1123" s="52"/>
      <c r="O1123" s="53"/>
      <c r="P1123" s="54"/>
      <c r="Q1123" s="54"/>
      <c r="R1123" s="54"/>
      <c r="S1123" s="54"/>
      <c r="T1123" s="54"/>
      <c r="U1123" s="82"/>
    </row>
    <row r="1124" spans="2:21" x14ac:dyDescent="0.2">
      <c r="B1124" s="51"/>
      <c r="C1124" s="51"/>
      <c r="D1124" s="51"/>
      <c r="E1124" s="51"/>
      <c r="F1124" s="51"/>
      <c r="G1124" s="51"/>
      <c r="H1124" s="51"/>
      <c r="I1124" s="54"/>
      <c r="J1124" s="54"/>
      <c r="K1124" s="53"/>
      <c r="L1124" s="52"/>
      <c r="M1124" s="55"/>
      <c r="N1124" s="52"/>
      <c r="O1124" s="53"/>
      <c r="P1124" s="54"/>
      <c r="Q1124" s="54"/>
      <c r="R1124" s="54"/>
      <c r="S1124" s="54"/>
      <c r="T1124" s="54"/>
      <c r="U1124" s="82"/>
    </row>
    <row r="1125" spans="2:21" x14ac:dyDescent="0.2">
      <c r="B1125" s="51"/>
      <c r="C1125" s="51"/>
      <c r="D1125" s="51"/>
      <c r="E1125" s="51"/>
      <c r="F1125" s="51"/>
      <c r="G1125" s="51"/>
      <c r="H1125" s="51"/>
      <c r="I1125" s="54"/>
      <c r="J1125" s="54"/>
      <c r="K1125" s="53"/>
      <c r="L1125" s="52"/>
      <c r="M1125" s="55"/>
      <c r="N1125" s="52"/>
      <c r="O1125" s="53"/>
      <c r="P1125" s="54"/>
      <c r="Q1125" s="54"/>
      <c r="R1125" s="54"/>
      <c r="S1125" s="54"/>
      <c r="T1125" s="54"/>
      <c r="U1125" s="82"/>
    </row>
    <row r="1126" spans="2:21" x14ac:dyDescent="0.2">
      <c r="B1126" s="51"/>
      <c r="C1126" s="51"/>
      <c r="D1126" s="51"/>
      <c r="E1126" s="51"/>
      <c r="F1126" s="51"/>
      <c r="G1126" s="51"/>
      <c r="H1126" s="51"/>
      <c r="I1126" s="54"/>
      <c r="J1126" s="54"/>
      <c r="K1126" s="53"/>
      <c r="L1126" s="52"/>
      <c r="M1126" s="55"/>
      <c r="N1126" s="52"/>
      <c r="O1126" s="53"/>
      <c r="P1126" s="54"/>
      <c r="Q1126" s="54"/>
      <c r="R1126" s="54"/>
      <c r="S1126" s="54"/>
      <c r="T1126" s="54"/>
      <c r="U1126" s="82"/>
    </row>
    <row r="1127" spans="2:21" x14ac:dyDescent="0.2">
      <c r="B1127" s="51"/>
      <c r="C1127" s="51"/>
      <c r="D1127" s="51"/>
      <c r="E1127" s="51"/>
      <c r="F1127" s="51"/>
      <c r="G1127" s="51"/>
      <c r="H1127" s="51"/>
      <c r="I1127" s="54"/>
      <c r="J1127" s="54"/>
      <c r="K1127" s="53"/>
      <c r="L1127" s="52"/>
      <c r="M1127" s="55"/>
      <c r="N1127" s="52"/>
      <c r="O1127" s="53"/>
      <c r="P1127" s="54"/>
      <c r="Q1127" s="54"/>
      <c r="R1127" s="54"/>
      <c r="S1127" s="54"/>
      <c r="T1127" s="54"/>
      <c r="U1127" s="82"/>
    </row>
    <row r="1128" spans="2:21" x14ac:dyDescent="0.2">
      <c r="B1128" s="51"/>
      <c r="C1128" s="51"/>
      <c r="D1128" s="51"/>
      <c r="E1128" s="51"/>
      <c r="F1128" s="51"/>
      <c r="G1128" s="51"/>
      <c r="H1128" s="51"/>
      <c r="I1128" s="54"/>
      <c r="J1128" s="54"/>
      <c r="K1128" s="53"/>
      <c r="L1128" s="52"/>
      <c r="M1128" s="55"/>
      <c r="N1128" s="52"/>
      <c r="O1128" s="53"/>
      <c r="P1128" s="54"/>
      <c r="Q1128" s="54"/>
      <c r="R1128" s="54"/>
      <c r="S1128" s="54"/>
      <c r="T1128" s="54"/>
      <c r="U1128" s="82"/>
    </row>
    <row r="1129" spans="2:21" x14ac:dyDescent="0.2">
      <c r="B1129" s="51"/>
      <c r="C1129" s="51"/>
      <c r="D1129" s="51"/>
      <c r="E1129" s="51"/>
      <c r="F1129" s="51"/>
      <c r="G1129" s="51"/>
      <c r="H1129" s="51"/>
      <c r="I1129" s="54"/>
      <c r="J1129" s="54"/>
      <c r="K1129" s="53"/>
      <c r="L1129" s="52"/>
      <c r="M1129" s="55"/>
      <c r="N1129" s="52"/>
      <c r="O1129" s="53"/>
      <c r="P1129" s="54"/>
      <c r="Q1129" s="54"/>
      <c r="R1129" s="54"/>
      <c r="S1129" s="54"/>
      <c r="T1129" s="54"/>
      <c r="U1129" s="82"/>
    </row>
    <row r="1130" spans="2:21" x14ac:dyDescent="0.2">
      <c r="B1130" s="51"/>
      <c r="C1130" s="51"/>
      <c r="D1130" s="51"/>
      <c r="E1130" s="51"/>
      <c r="F1130" s="51"/>
      <c r="G1130" s="51"/>
      <c r="H1130" s="51"/>
      <c r="I1130" s="54"/>
      <c r="J1130" s="54"/>
      <c r="K1130" s="53"/>
      <c r="L1130" s="52"/>
      <c r="M1130" s="55"/>
      <c r="N1130" s="52"/>
      <c r="O1130" s="53"/>
      <c r="P1130" s="54"/>
      <c r="Q1130" s="54"/>
      <c r="R1130" s="54"/>
      <c r="S1130" s="54"/>
      <c r="T1130" s="54"/>
      <c r="U1130" s="82"/>
    </row>
    <row r="1131" spans="2:21" x14ac:dyDescent="0.2">
      <c r="B1131" s="51"/>
      <c r="C1131" s="51"/>
      <c r="D1131" s="51"/>
      <c r="E1131" s="51"/>
      <c r="F1131" s="51"/>
      <c r="G1131" s="51"/>
      <c r="H1131" s="51"/>
      <c r="I1131" s="54"/>
      <c r="J1131" s="54"/>
      <c r="K1131" s="53"/>
      <c r="L1131" s="52"/>
      <c r="M1131" s="55"/>
      <c r="N1131" s="52"/>
      <c r="O1131" s="53"/>
      <c r="P1131" s="54"/>
      <c r="Q1131" s="54"/>
      <c r="R1131" s="54"/>
      <c r="S1131" s="54"/>
      <c r="T1131" s="54"/>
      <c r="U1131" s="82"/>
    </row>
    <row r="1132" spans="2:21" x14ac:dyDescent="0.2">
      <c r="B1132" s="51"/>
      <c r="C1132" s="51"/>
      <c r="D1132" s="51"/>
      <c r="E1132" s="51"/>
      <c r="F1132" s="51"/>
      <c r="G1132" s="51"/>
      <c r="H1132" s="51"/>
      <c r="I1132" s="54"/>
      <c r="J1132" s="54"/>
      <c r="K1132" s="53"/>
      <c r="L1132" s="52"/>
      <c r="M1132" s="55"/>
      <c r="N1132" s="52"/>
      <c r="O1132" s="53"/>
      <c r="P1132" s="54"/>
      <c r="Q1132" s="54"/>
      <c r="R1132" s="54"/>
      <c r="S1132" s="54"/>
      <c r="T1132" s="54"/>
      <c r="U1132" s="82"/>
    </row>
    <row r="1133" spans="2:21" x14ac:dyDescent="0.2">
      <c r="B1133" s="51"/>
      <c r="C1133" s="51"/>
      <c r="D1133" s="51"/>
      <c r="E1133" s="51"/>
      <c r="F1133" s="51"/>
      <c r="G1133" s="51"/>
      <c r="H1133" s="51"/>
      <c r="I1133" s="54"/>
      <c r="J1133" s="54"/>
      <c r="K1133" s="53"/>
      <c r="L1133" s="52"/>
      <c r="M1133" s="55"/>
      <c r="N1133" s="52"/>
      <c r="O1133" s="53"/>
      <c r="P1133" s="54"/>
      <c r="Q1133" s="54"/>
      <c r="R1133" s="54"/>
      <c r="S1133" s="54"/>
      <c r="T1133" s="54"/>
      <c r="U1133" s="82"/>
    </row>
    <row r="1134" spans="2:21" x14ac:dyDescent="0.2">
      <c r="B1134" s="51"/>
      <c r="C1134" s="51"/>
      <c r="D1134" s="51"/>
      <c r="E1134" s="51"/>
      <c r="F1134" s="51"/>
      <c r="G1134" s="51"/>
      <c r="H1134" s="51"/>
      <c r="I1134" s="54"/>
      <c r="J1134" s="54"/>
      <c r="K1134" s="53"/>
      <c r="L1134" s="52"/>
      <c r="M1134" s="55"/>
      <c r="N1134" s="52"/>
      <c r="O1134" s="53"/>
      <c r="P1134" s="54"/>
      <c r="Q1134" s="54"/>
      <c r="R1134" s="54"/>
      <c r="S1134" s="54"/>
      <c r="T1134" s="54"/>
      <c r="U1134" s="82"/>
    </row>
    <row r="1135" spans="2:21" x14ac:dyDescent="0.2">
      <c r="B1135" s="51"/>
      <c r="C1135" s="51"/>
      <c r="D1135" s="51"/>
      <c r="E1135" s="51"/>
      <c r="F1135" s="51"/>
      <c r="G1135" s="51"/>
      <c r="H1135" s="51"/>
      <c r="I1135" s="54"/>
      <c r="J1135" s="54"/>
      <c r="K1135" s="53"/>
      <c r="L1135" s="52"/>
      <c r="M1135" s="55"/>
      <c r="N1135" s="52"/>
      <c r="O1135" s="53"/>
      <c r="P1135" s="54"/>
      <c r="Q1135" s="54"/>
      <c r="R1135" s="54"/>
      <c r="S1135" s="54"/>
      <c r="T1135" s="54"/>
      <c r="U1135" s="82"/>
    </row>
    <row r="1136" spans="2:21" x14ac:dyDescent="0.2">
      <c r="B1136" s="51"/>
      <c r="C1136" s="51"/>
      <c r="D1136" s="51"/>
      <c r="E1136" s="51"/>
      <c r="F1136" s="51"/>
      <c r="G1136" s="51"/>
      <c r="H1136" s="51"/>
      <c r="I1136" s="54"/>
      <c r="J1136" s="54"/>
      <c r="K1136" s="53"/>
      <c r="L1136" s="52"/>
      <c r="M1136" s="55"/>
      <c r="N1136" s="52"/>
      <c r="O1136" s="53"/>
      <c r="P1136" s="54"/>
      <c r="Q1136" s="54"/>
      <c r="R1136" s="54"/>
      <c r="S1136" s="54"/>
      <c r="T1136" s="54"/>
      <c r="U1136" s="82"/>
    </row>
    <row r="1137" spans="2:21" x14ac:dyDescent="0.2">
      <c r="B1137" s="51"/>
      <c r="C1137" s="51"/>
      <c r="D1137" s="51"/>
      <c r="E1137" s="51"/>
      <c r="F1137" s="51"/>
      <c r="G1137" s="51"/>
      <c r="H1137" s="51"/>
      <c r="I1137" s="54"/>
      <c r="J1137" s="54"/>
      <c r="K1137" s="53"/>
      <c r="L1137" s="52"/>
      <c r="M1137" s="55"/>
      <c r="N1137" s="52"/>
      <c r="O1137" s="53"/>
      <c r="P1137" s="54"/>
      <c r="Q1137" s="54"/>
      <c r="R1137" s="54"/>
      <c r="S1137" s="54"/>
      <c r="T1137" s="54"/>
      <c r="U1137" s="82"/>
    </row>
    <row r="1138" spans="2:21" x14ac:dyDescent="0.2">
      <c r="B1138" s="51"/>
      <c r="C1138" s="51"/>
      <c r="D1138" s="51"/>
      <c r="E1138" s="51"/>
      <c r="F1138" s="51"/>
      <c r="G1138" s="51"/>
      <c r="H1138" s="51"/>
      <c r="I1138" s="54"/>
      <c r="J1138" s="54"/>
      <c r="K1138" s="53"/>
      <c r="L1138" s="52"/>
      <c r="M1138" s="55"/>
      <c r="N1138" s="52"/>
      <c r="O1138" s="53"/>
      <c r="P1138" s="54"/>
      <c r="Q1138" s="54"/>
      <c r="R1138" s="54"/>
      <c r="S1138" s="54"/>
      <c r="T1138" s="54"/>
      <c r="U1138" s="82"/>
    </row>
    <row r="1139" spans="2:21" x14ac:dyDescent="0.2">
      <c r="B1139" s="51"/>
      <c r="C1139" s="51"/>
      <c r="D1139" s="51"/>
      <c r="E1139" s="51"/>
      <c r="F1139" s="51"/>
      <c r="G1139" s="51"/>
      <c r="H1139" s="51"/>
      <c r="I1139" s="54"/>
      <c r="J1139" s="54"/>
      <c r="K1139" s="53"/>
      <c r="L1139" s="52"/>
      <c r="M1139" s="55"/>
      <c r="N1139" s="52"/>
      <c r="O1139" s="53"/>
      <c r="P1139" s="54"/>
      <c r="Q1139" s="54"/>
      <c r="R1139" s="54"/>
      <c r="S1139" s="54"/>
      <c r="T1139" s="54"/>
      <c r="U1139" s="82"/>
    </row>
    <row r="1140" spans="2:21" x14ac:dyDescent="0.2">
      <c r="B1140" s="51"/>
      <c r="C1140" s="51"/>
      <c r="D1140" s="51"/>
      <c r="E1140" s="51"/>
      <c r="F1140" s="51"/>
      <c r="G1140" s="51"/>
      <c r="H1140" s="51"/>
      <c r="I1140" s="54"/>
      <c r="J1140" s="54"/>
      <c r="K1140" s="53"/>
      <c r="L1140" s="52"/>
      <c r="M1140" s="55"/>
      <c r="N1140" s="52"/>
      <c r="O1140" s="53"/>
      <c r="P1140" s="54"/>
      <c r="Q1140" s="54"/>
      <c r="R1140" s="54"/>
      <c r="S1140" s="54"/>
      <c r="T1140" s="54"/>
      <c r="U1140" s="82"/>
    </row>
    <row r="1141" spans="2:21" x14ac:dyDescent="0.2">
      <c r="B1141" s="51"/>
      <c r="C1141" s="51"/>
      <c r="D1141" s="51"/>
      <c r="E1141" s="51"/>
      <c r="F1141" s="51"/>
      <c r="G1141" s="51"/>
      <c r="H1141" s="51"/>
      <c r="I1141" s="54"/>
      <c r="J1141" s="54"/>
      <c r="K1141" s="53"/>
      <c r="L1141" s="52"/>
      <c r="M1141" s="55"/>
      <c r="N1141" s="52"/>
      <c r="O1141" s="53"/>
      <c r="P1141" s="54"/>
      <c r="Q1141" s="54"/>
      <c r="R1141" s="54"/>
      <c r="S1141" s="54"/>
      <c r="T1141" s="54"/>
      <c r="U1141" s="82"/>
    </row>
    <row r="1142" spans="2:21" x14ac:dyDescent="0.2">
      <c r="B1142" s="51"/>
      <c r="C1142" s="51"/>
      <c r="D1142" s="51"/>
      <c r="E1142" s="51"/>
      <c r="F1142" s="51"/>
      <c r="G1142" s="51"/>
      <c r="H1142" s="51"/>
      <c r="I1142" s="54"/>
      <c r="J1142" s="54"/>
      <c r="K1142" s="53"/>
      <c r="L1142" s="52"/>
      <c r="M1142" s="55"/>
      <c r="N1142" s="52"/>
      <c r="O1142" s="53"/>
      <c r="P1142" s="54"/>
      <c r="Q1142" s="54"/>
      <c r="R1142" s="54"/>
      <c r="S1142" s="54"/>
      <c r="T1142" s="54"/>
      <c r="U1142" s="82"/>
    </row>
    <row r="1143" spans="2:21" x14ac:dyDescent="0.2">
      <c r="B1143" s="51"/>
      <c r="C1143" s="51"/>
      <c r="D1143" s="51"/>
      <c r="E1143" s="51"/>
      <c r="F1143" s="51"/>
      <c r="G1143" s="51"/>
      <c r="H1143" s="51"/>
      <c r="I1143" s="54"/>
      <c r="J1143" s="54"/>
      <c r="K1143" s="53"/>
      <c r="L1143" s="52"/>
      <c r="M1143" s="55"/>
      <c r="N1143" s="52"/>
      <c r="O1143" s="53"/>
      <c r="P1143" s="54"/>
      <c r="Q1143" s="54"/>
      <c r="R1143" s="54"/>
      <c r="S1143" s="54"/>
      <c r="T1143" s="54"/>
      <c r="U1143" s="82"/>
    </row>
    <row r="1144" spans="2:21" x14ac:dyDescent="0.2">
      <c r="B1144" s="51"/>
      <c r="C1144" s="51"/>
      <c r="D1144" s="51"/>
      <c r="E1144" s="51"/>
      <c r="F1144" s="51"/>
      <c r="G1144" s="51"/>
      <c r="H1144" s="51"/>
      <c r="I1144" s="54"/>
      <c r="J1144" s="54"/>
      <c r="K1144" s="53"/>
      <c r="L1144" s="52"/>
      <c r="M1144" s="55"/>
      <c r="N1144" s="52"/>
      <c r="O1144" s="53"/>
      <c r="P1144" s="54"/>
      <c r="Q1144" s="54"/>
      <c r="R1144" s="54"/>
      <c r="S1144" s="54"/>
      <c r="T1144" s="54"/>
      <c r="U1144" s="82"/>
    </row>
    <row r="1145" spans="2:21" x14ac:dyDescent="0.2">
      <c r="B1145" s="51"/>
      <c r="C1145" s="51"/>
      <c r="D1145" s="51"/>
      <c r="E1145" s="51"/>
      <c r="F1145" s="51"/>
      <c r="G1145" s="51"/>
      <c r="H1145" s="51"/>
      <c r="I1145" s="54"/>
      <c r="J1145" s="54"/>
      <c r="K1145" s="53"/>
      <c r="L1145" s="52"/>
      <c r="M1145" s="55"/>
      <c r="N1145" s="52"/>
      <c r="O1145" s="53"/>
      <c r="P1145" s="54"/>
      <c r="Q1145" s="54"/>
      <c r="R1145" s="54"/>
      <c r="S1145" s="54"/>
      <c r="T1145" s="54"/>
      <c r="U1145" s="82"/>
    </row>
    <row r="1146" spans="2:21" x14ac:dyDescent="0.2">
      <c r="B1146" s="51"/>
      <c r="C1146" s="51"/>
      <c r="D1146" s="51"/>
      <c r="E1146" s="51"/>
      <c r="F1146" s="51"/>
      <c r="G1146" s="51"/>
      <c r="H1146" s="51"/>
      <c r="I1146" s="54"/>
      <c r="J1146" s="54"/>
      <c r="K1146" s="53"/>
      <c r="L1146" s="52"/>
      <c r="M1146" s="55"/>
      <c r="N1146" s="52"/>
      <c r="O1146" s="53"/>
      <c r="P1146" s="54"/>
      <c r="Q1146" s="54"/>
      <c r="R1146" s="54"/>
      <c r="S1146" s="54"/>
      <c r="T1146" s="54"/>
      <c r="U1146" s="82"/>
    </row>
    <row r="1147" spans="2:21" x14ac:dyDescent="0.2">
      <c r="B1147" s="51"/>
      <c r="C1147" s="51"/>
      <c r="D1147" s="51"/>
      <c r="E1147" s="51"/>
      <c r="F1147" s="51"/>
      <c r="G1147" s="51"/>
      <c r="H1147" s="51"/>
      <c r="I1147" s="54"/>
      <c r="J1147" s="54"/>
      <c r="K1147" s="53"/>
      <c r="L1147" s="52"/>
      <c r="M1147" s="55"/>
      <c r="N1147" s="52"/>
      <c r="O1147" s="53"/>
      <c r="P1147" s="54"/>
      <c r="Q1147" s="54"/>
      <c r="R1147" s="54"/>
      <c r="S1147" s="54"/>
      <c r="T1147" s="54"/>
      <c r="U1147" s="82"/>
    </row>
    <row r="1148" spans="2:21" x14ac:dyDescent="0.2">
      <c r="B1148" s="51"/>
      <c r="C1148" s="51"/>
      <c r="D1148" s="51"/>
      <c r="E1148" s="51"/>
      <c r="F1148" s="51"/>
      <c r="G1148" s="51"/>
      <c r="H1148" s="51"/>
      <c r="I1148" s="54"/>
      <c r="J1148" s="54"/>
      <c r="K1148" s="53"/>
      <c r="L1148" s="52"/>
      <c r="M1148" s="55"/>
      <c r="N1148" s="52"/>
      <c r="O1148" s="53"/>
      <c r="P1148" s="54"/>
      <c r="Q1148" s="54"/>
      <c r="R1148" s="54"/>
      <c r="S1148" s="54"/>
      <c r="T1148" s="54"/>
      <c r="U1148" s="82"/>
    </row>
    <row r="1149" spans="2:21" x14ac:dyDescent="0.2">
      <c r="B1149" s="51"/>
      <c r="C1149" s="51"/>
      <c r="D1149" s="51"/>
      <c r="E1149" s="51"/>
      <c r="F1149" s="51"/>
      <c r="G1149" s="51"/>
      <c r="H1149" s="51"/>
      <c r="I1149" s="54"/>
      <c r="J1149" s="54"/>
      <c r="K1149" s="53"/>
      <c r="L1149" s="52"/>
      <c r="M1149" s="55"/>
      <c r="N1149" s="52"/>
      <c r="O1149" s="53"/>
      <c r="P1149" s="54"/>
      <c r="Q1149" s="54"/>
      <c r="R1149" s="54"/>
      <c r="S1149" s="54"/>
      <c r="T1149" s="54"/>
      <c r="U1149" s="82"/>
    </row>
    <row r="1150" spans="2:21" x14ac:dyDescent="0.2">
      <c r="B1150" s="51"/>
      <c r="C1150" s="51"/>
      <c r="D1150" s="51"/>
      <c r="E1150" s="51"/>
      <c r="F1150" s="51"/>
      <c r="G1150" s="51"/>
      <c r="H1150" s="51"/>
      <c r="I1150" s="54"/>
      <c r="J1150" s="54"/>
      <c r="K1150" s="53"/>
      <c r="L1150" s="52"/>
      <c r="M1150" s="55"/>
      <c r="N1150" s="52"/>
      <c r="O1150" s="53"/>
      <c r="P1150" s="54"/>
      <c r="Q1150" s="54"/>
      <c r="R1150" s="54"/>
      <c r="S1150" s="54"/>
      <c r="T1150" s="54"/>
      <c r="U1150" s="82"/>
    </row>
    <row r="1151" spans="2:21" x14ac:dyDescent="0.2">
      <c r="B1151" s="51"/>
      <c r="C1151" s="51"/>
      <c r="D1151" s="51"/>
      <c r="E1151" s="51"/>
      <c r="F1151" s="51"/>
      <c r="G1151" s="51"/>
      <c r="H1151" s="51"/>
      <c r="I1151" s="54"/>
      <c r="J1151" s="54"/>
      <c r="K1151" s="53"/>
      <c r="L1151" s="52"/>
      <c r="M1151" s="55"/>
      <c r="N1151" s="52"/>
      <c r="O1151" s="53"/>
      <c r="P1151" s="54"/>
      <c r="Q1151" s="54"/>
      <c r="R1151" s="54"/>
      <c r="S1151" s="54"/>
      <c r="T1151" s="54"/>
      <c r="U1151" s="82"/>
    </row>
    <row r="1152" spans="2:21" x14ac:dyDescent="0.2">
      <c r="B1152" s="51"/>
      <c r="C1152" s="51"/>
      <c r="D1152" s="51"/>
      <c r="E1152" s="51"/>
      <c r="F1152" s="51"/>
      <c r="G1152" s="51"/>
      <c r="H1152" s="51"/>
      <c r="I1152" s="54"/>
      <c r="J1152" s="54"/>
      <c r="K1152" s="53"/>
      <c r="L1152" s="52"/>
      <c r="M1152" s="55"/>
      <c r="N1152" s="52"/>
      <c r="O1152" s="53"/>
      <c r="P1152" s="54"/>
      <c r="Q1152" s="54"/>
      <c r="R1152" s="54"/>
      <c r="S1152" s="54"/>
      <c r="T1152" s="54"/>
      <c r="U1152" s="82"/>
    </row>
    <row r="1153" spans="2:21" x14ac:dyDescent="0.2">
      <c r="B1153" s="51"/>
      <c r="C1153" s="51"/>
      <c r="D1153" s="51"/>
      <c r="E1153" s="51"/>
      <c r="F1153" s="51"/>
      <c r="G1153" s="51"/>
      <c r="H1153" s="51"/>
      <c r="I1153" s="54"/>
      <c r="J1153" s="54"/>
      <c r="K1153" s="53"/>
      <c r="L1153" s="52"/>
      <c r="M1153" s="55"/>
      <c r="N1153" s="52"/>
      <c r="O1153" s="53"/>
      <c r="P1153" s="54"/>
      <c r="Q1153" s="54"/>
      <c r="R1153" s="54"/>
      <c r="S1153" s="54"/>
      <c r="T1153" s="54"/>
      <c r="U1153" s="82"/>
    </row>
    <row r="1154" spans="2:21" x14ac:dyDescent="0.2">
      <c r="B1154" s="51"/>
      <c r="C1154" s="51"/>
      <c r="D1154" s="51"/>
      <c r="E1154" s="51"/>
      <c r="F1154" s="51"/>
      <c r="G1154" s="51"/>
      <c r="H1154" s="51"/>
      <c r="I1154" s="54"/>
      <c r="J1154" s="54"/>
      <c r="K1154" s="53"/>
      <c r="L1154" s="52"/>
      <c r="M1154" s="55"/>
      <c r="N1154" s="52"/>
      <c r="O1154" s="53"/>
      <c r="P1154" s="54"/>
      <c r="Q1154" s="54"/>
      <c r="R1154" s="54"/>
      <c r="S1154" s="54"/>
      <c r="T1154" s="54"/>
      <c r="U1154" s="82"/>
    </row>
    <row r="1155" spans="2:21" x14ac:dyDescent="0.2">
      <c r="B1155" s="51"/>
      <c r="C1155" s="51"/>
      <c r="D1155" s="51"/>
      <c r="E1155" s="51"/>
      <c r="F1155" s="51"/>
      <c r="G1155" s="51"/>
      <c r="H1155" s="51"/>
      <c r="I1155" s="54"/>
      <c r="J1155" s="54"/>
      <c r="K1155" s="53"/>
      <c r="L1155" s="52"/>
      <c r="M1155" s="55"/>
      <c r="N1155" s="52"/>
      <c r="O1155" s="53"/>
      <c r="P1155" s="54"/>
      <c r="Q1155" s="54"/>
      <c r="R1155" s="54"/>
      <c r="S1155" s="54"/>
      <c r="T1155" s="54"/>
      <c r="U1155" s="82"/>
    </row>
    <row r="1156" spans="2:21" x14ac:dyDescent="0.2">
      <c r="B1156" s="51"/>
      <c r="C1156" s="51"/>
      <c r="D1156" s="51"/>
      <c r="E1156" s="51"/>
      <c r="F1156" s="51"/>
      <c r="G1156" s="51"/>
      <c r="H1156" s="51"/>
      <c r="I1156" s="54"/>
      <c r="J1156" s="54"/>
      <c r="K1156" s="53"/>
      <c r="L1156" s="52"/>
      <c r="M1156" s="55"/>
      <c r="N1156" s="52"/>
      <c r="O1156" s="53"/>
      <c r="P1156" s="54"/>
      <c r="Q1156" s="54"/>
      <c r="R1156" s="54"/>
      <c r="S1156" s="54"/>
      <c r="T1156" s="54"/>
      <c r="U1156" s="82"/>
    </row>
    <row r="1157" spans="2:21" x14ac:dyDescent="0.2">
      <c r="B1157" s="51"/>
      <c r="C1157" s="51"/>
      <c r="D1157" s="51"/>
      <c r="E1157" s="51"/>
      <c r="F1157" s="51"/>
      <c r="G1157" s="51"/>
      <c r="H1157" s="51"/>
      <c r="I1157" s="54"/>
      <c r="J1157" s="54"/>
      <c r="K1157" s="53"/>
      <c r="L1157" s="52"/>
      <c r="M1157" s="55"/>
      <c r="N1157" s="52"/>
      <c r="O1157" s="53"/>
      <c r="P1157" s="54"/>
      <c r="Q1157" s="54"/>
      <c r="R1157" s="54"/>
      <c r="S1157" s="54"/>
      <c r="T1157" s="54"/>
      <c r="U1157" s="82"/>
    </row>
    <row r="1158" spans="2:21" x14ac:dyDescent="0.2">
      <c r="B1158" s="51"/>
      <c r="C1158" s="51"/>
      <c r="D1158" s="51"/>
      <c r="E1158" s="51"/>
      <c r="F1158" s="51"/>
      <c r="G1158" s="51"/>
      <c r="H1158" s="51"/>
      <c r="I1158" s="54"/>
      <c r="J1158" s="54"/>
      <c r="K1158" s="53"/>
      <c r="L1158" s="52"/>
      <c r="M1158" s="55"/>
      <c r="N1158" s="52"/>
      <c r="O1158" s="53"/>
      <c r="P1158" s="54"/>
      <c r="Q1158" s="54"/>
      <c r="R1158" s="54"/>
      <c r="S1158" s="54"/>
      <c r="T1158" s="54"/>
      <c r="U1158" s="82"/>
    </row>
    <row r="1159" spans="2:21" x14ac:dyDescent="0.2">
      <c r="B1159" s="51"/>
      <c r="C1159" s="51"/>
      <c r="D1159" s="51"/>
      <c r="E1159" s="51"/>
      <c r="F1159" s="51"/>
      <c r="G1159" s="51"/>
      <c r="H1159" s="51"/>
      <c r="I1159" s="54"/>
      <c r="J1159" s="54"/>
      <c r="K1159" s="53"/>
      <c r="L1159" s="52"/>
      <c r="M1159" s="55"/>
      <c r="N1159" s="52"/>
      <c r="O1159" s="53"/>
      <c r="P1159" s="54"/>
      <c r="Q1159" s="54"/>
      <c r="R1159" s="54"/>
      <c r="S1159" s="54"/>
      <c r="T1159" s="54"/>
      <c r="U1159" s="82"/>
    </row>
    <row r="1160" spans="2:21" x14ac:dyDescent="0.2">
      <c r="B1160" s="51"/>
      <c r="C1160" s="51"/>
      <c r="D1160" s="51"/>
      <c r="E1160" s="51"/>
      <c r="F1160" s="51"/>
      <c r="G1160" s="51"/>
      <c r="H1160" s="51"/>
      <c r="I1160" s="54"/>
      <c r="J1160" s="54"/>
      <c r="K1160" s="53"/>
      <c r="L1160" s="52"/>
      <c r="M1160" s="55"/>
      <c r="N1160" s="52"/>
      <c r="O1160" s="53"/>
      <c r="P1160" s="54"/>
      <c r="Q1160" s="54"/>
      <c r="R1160" s="54"/>
      <c r="S1160" s="54"/>
      <c r="T1160" s="54"/>
      <c r="U1160" s="82"/>
    </row>
    <row r="1161" spans="2:21" x14ac:dyDescent="0.2">
      <c r="B1161" s="51"/>
      <c r="C1161" s="51"/>
      <c r="D1161" s="51"/>
      <c r="E1161" s="51"/>
      <c r="F1161" s="51"/>
      <c r="G1161" s="51"/>
      <c r="H1161" s="51"/>
      <c r="I1161" s="54"/>
      <c r="J1161" s="54"/>
      <c r="K1161" s="53"/>
      <c r="L1161" s="52"/>
      <c r="M1161" s="55"/>
      <c r="N1161" s="52"/>
      <c r="O1161" s="53"/>
      <c r="P1161" s="54"/>
      <c r="Q1161" s="54"/>
      <c r="R1161" s="54"/>
      <c r="S1161" s="54"/>
      <c r="T1161" s="54"/>
      <c r="U1161" s="82"/>
    </row>
    <row r="1162" spans="2:21" x14ac:dyDescent="0.2">
      <c r="B1162" s="51"/>
      <c r="C1162" s="51"/>
      <c r="D1162" s="51"/>
      <c r="E1162" s="51"/>
      <c r="F1162" s="51"/>
      <c r="G1162" s="51"/>
      <c r="H1162" s="51"/>
      <c r="I1162" s="54"/>
      <c r="J1162" s="54"/>
      <c r="K1162" s="53"/>
      <c r="L1162" s="52"/>
      <c r="M1162" s="55"/>
      <c r="N1162" s="52"/>
      <c r="O1162" s="53"/>
      <c r="P1162" s="54"/>
      <c r="Q1162" s="54"/>
      <c r="R1162" s="54"/>
      <c r="S1162" s="54"/>
      <c r="T1162" s="54"/>
      <c r="U1162" s="82"/>
    </row>
    <row r="1163" spans="2:21" x14ac:dyDescent="0.2">
      <c r="B1163" s="51"/>
      <c r="C1163" s="51"/>
      <c r="D1163" s="51"/>
      <c r="E1163" s="51"/>
      <c r="F1163" s="51"/>
      <c r="G1163" s="51"/>
      <c r="H1163" s="51"/>
      <c r="I1163" s="54"/>
      <c r="J1163" s="54"/>
      <c r="K1163" s="53"/>
      <c r="L1163" s="52"/>
      <c r="M1163" s="55"/>
      <c r="N1163" s="52"/>
      <c r="O1163" s="53"/>
      <c r="P1163" s="54"/>
      <c r="Q1163" s="54"/>
      <c r="R1163" s="54"/>
      <c r="S1163" s="54"/>
      <c r="T1163" s="54"/>
      <c r="U1163" s="82"/>
    </row>
    <row r="1164" spans="2:21" x14ac:dyDescent="0.2">
      <c r="B1164" s="51"/>
      <c r="C1164" s="51"/>
      <c r="D1164" s="51"/>
      <c r="E1164" s="51"/>
      <c r="F1164" s="51"/>
      <c r="G1164" s="51"/>
      <c r="H1164" s="51"/>
      <c r="I1164" s="54"/>
      <c r="J1164" s="54"/>
      <c r="K1164" s="53"/>
      <c r="L1164" s="52"/>
      <c r="M1164" s="55"/>
      <c r="N1164" s="52"/>
      <c r="O1164" s="53"/>
      <c r="P1164" s="54"/>
      <c r="Q1164" s="54"/>
      <c r="R1164" s="54"/>
      <c r="S1164" s="54"/>
      <c r="T1164" s="54"/>
      <c r="U1164" s="82"/>
    </row>
    <row r="1165" spans="2:21" x14ac:dyDescent="0.2">
      <c r="B1165" s="51"/>
      <c r="C1165" s="51"/>
      <c r="D1165" s="51"/>
      <c r="E1165" s="51"/>
      <c r="F1165" s="51"/>
      <c r="G1165" s="51"/>
      <c r="H1165" s="51"/>
      <c r="I1165" s="54"/>
      <c r="J1165" s="54"/>
      <c r="K1165" s="53"/>
      <c r="L1165" s="52"/>
      <c r="M1165" s="55"/>
      <c r="N1165" s="52"/>
      <c r="O1165" s="53"/>
      <c r="P1165" s="54"/>
      <c r="Q1165" s="54"/>
      <c r="R1165" s="54"/>
      <c r="S1165" s="54"/>
      <c r="T1165" s="54"/>
      <c r="U1165" s="82"/>
    </row>
    <row r="1166" spans="2:21" x14ac:dyDescent="0.2">
      <c r="B1166" s="51"/>
      <c r="C1166" s="51"/>
      <c r="D1166" s="51"/>
      <c r="E1166" s="51"/>
      <c r="F1166" s="51"/>
      <c r="G1166" s="51"/>
      <c r="H1166" s="51"/>
      <c r="I1166" s="54"/>
      <c r="J1166" s="54"/>
      <c r="K1166" s="53"/>
      <c r="L1166" s="52"/>
      <c r="M1166" s="55"/>
      <c r="N1166" s="52"/>
      <c r="O1166" s="53"/>
      <c r="P1166" s="54"/>
      <c r="Q1166" s="54"/>
      <c r="R1166" s="54"/>
      <c r="S1166" s="54"/>
      <c r="T1166" s="54"/>
      <c r="U1166" s="82"/>
    </row>
    <row r="1167" spans="2:21" x14ac:dyDescent="0.2">
      <c r="B1167" s="51"/>
      <c r="C1167" s="51"/>
      <c r="D1167" s="51"/>
      <c r="E1167" s="51"/>
      <c r="F1167" s="51"/>
      <c r="G1167" s="51"/>
      <c r="H1167" s="51"/>
      <c r="I1167" s="54"/>
      <c r="J1167" s="54"/>
      <c r="K1167" s="53"/>
      <c r="L1167" s="52"/>
      <c r="M1167" s="55"/>
      <c r="N1167" s="52"/>
      <c r="O1167" s="53"/>
      <c r="P1167" s="54"/>
      <c r="Q1167" s="54"/>
      <c r="R1167" s="54"/>
      <c r="S1167" s="54"/>
      <c r="T1167" s="54"/>
      <c r="U1167" s="82"/>
    </row>
    <row r="1168" spans="2:21" x14ac:dyDescent="0.2">
      <c r="B1168" s="51"/>
      <c r="C1168" s="51"/>
      <c r="D1168" s="51"/>
      <c r="E1168" s="51"/>
      <c r="F1168" s="51"/>
      <c r="G1168" s="51"/>
      <c r="H1168" s="51"/>
      <c r="I1168" s="54"/>
      <c r="J1168" s="54"/>
      <c r="K1168" s="53"/>
      <c r="L1168" s="52"/>
      <c r="M1168" s="55"/>
      <c r="N1168" s="52"/>
      <c r="O1168" s="53"/>
      <c r="P1168" s="54"/>
      <c r="Q1168" s="54"/>
      <c r="R1168" s="54"/>
      <c r="S1168" s="54"/>
      <c r="T1168" s="54"/>
      <c r="U1168" s="82"/>
    </row>
    <row r="1169" spans="2:21" x14ac:dyDescent="0.2">
      <c r="B1169" s="51"/>
      <c r="C1169" s="51"/>
      <c r="D1169" s="51"/>
      <c r="E1169" s="51"/>
      <c r="F1169" s="51"/>
      <c r="G1169" s="51"/>
      <c r="H1169" s="51"/>
      <c r="I1169" s="54"/>
      <c r="J1169" s="54"/>
      <c r="K1169" s="53"/>
      <c r="L1169" s="52"/>
      <c r="M1169" s="55"/>
      <c r="N1169" s="52"/>
      <c r="O1169" s="53"/>
      <c r="P1169" s="54"/>
      <c r="Q1169" s="54"/>
      <c r="R1169" s="54"/>
      <c r="S1169" s="54"/>
      <c r="T1169" s="54"/>
      <c r="U1169" s="82"/>
    </row>
    <row r="1170" spans="2:21" x14ac:dyDescent="0.2">
      <c r="B1170" s="51"/>
      <c r="C1170" s="51"/>
      <c r="D1170" s="51"/>
      <c r="E1170" s="51"/>
      <c r="F1170" s="51"/>
      <c r="G1170" s="51"/>
      <c r="H1170" s="51"/>
      <c r="I1170" s="54"/>
      <c r="J1170" s="54"/>
      <c r="K1170" s="53"/>
      <c r="L1170" s="52"/>
      <c r="M1170" s="55"/>
      <c r="N1170" s="52"/>
      <c r="O1170" s="53"/>
      <c r="P1170" s="54"/>
      <c r="Q1170" s="54"/>
      <c r="R1170" s="54"/>
      <c r="S1170" s="54"/>
      <c r="T1170" s="54"/>
      <c r="U1170" s="82"/>
    </row>
    <row r="1171" spans="2:21" x14ac:dyDescent="0.2">
      <c r="B1171" s="51"/>
      <c r="C1171" s="51"/>
      <c r="D1171" s="51"/>
      <c r="E1171" s="51"/>
      <c r="F1171" s="51"/>
      <c r="G1171" s="51"/>
      <c r="H1171" s="51"/>
      <c r="I1171" s="54"/>
      <c r="J1171" s="54"/>
      <c r="K1171" s="53"/>
      <c r="L1171" s="52"/>
      <c r="M1171" s="55"/>
      <c r="N1171" s="52"/>
      <c r="O1171" s="53"/>
      <c r="P1171" s="54"/>
      <c r="Q1171" s="54"/>
      <c r="R1171" s="54"/>
      <c r="S1171" s="54"/>
      <c r="T1171" s="54"/>
      <c r="U1171" s="82"/>
    </row>
    <row r="1172" spans="2:21" x14ac:dyDescent="0.2">
      <c r="B1172" s="51"/>
      <c r="C1172" s="51"/>
      <c r="D1172" s="51"/>
      <c r="E1172" s="51"/>
      <c r="F1172" s="51"/>
      <c r="G1172" s="51"/>
      <c r="H1172" s="51"/>
      <c r="I1172" s="54"/>
      <c r="J1172" s="54"/>
      <c r="K1172" s="53"/>
      <c r="L1172" s="52"/>
      <c r="M1172" s="55"/>
      <c r="N1172" s="52"/>
      <c r="O1172" s="53"/>
      <c r="P1172" s="54"/>
      <c r="Q1172" s="54"/>
      <c r="R1172" s="54"/>
      <c r="S1172" s="54"/>
      <c r="T1172" s="54"/>
      <c r="U1172" s="82"/>
    </row>
    <row r="1173" spans="2:21" x14ac:dyDescent="0.2">
      <c r="B1173" s="51"/>
      <c r="C1173" s="51"/>
      <c r="D1173" s="51"/>
      <c r="E1173" s="51"/>
      <c r="F1173" s="51"/>
      <c r="G1173" s="51"/>
      <c r="H1173" s="51"/>
      <c r="I1173" s="54"/>
      <c r="J1173" s="54"/>
      <c r="K1173" s="53"/>
      <c r="L1173" s="52"/>
      <c r="M1173" s="55"/>
      <c r="N1173" s="52"/>
      <c r="O1173" s="53"/>
      <c r="P1173" s="54"/>
      <c r="Q1173" s="54"/>
      <c r="R1173" s="54"/>
      <c r="S1173" s="54"/>
      <c r="T1173" s="54"/>
      <c r="U1173" s="82"/>
    </row>
    <row r="1174" spans="2:21" x14ac:dyDescent="0.2">
      <c r="B1174" s="51"/>
      <c r="C1174" s="51"/>
      <c r="D1174" s="51"/>
      <c r="E1174" s="51"/>
      <c r="F1174" s="51"/>
      <c r="G1174" s="51"/>
      <c r="H1174" s="51"/>
      <c r="I1174" s="54"/>
      <c r="J1174" s="54"/>
      <c r="K1174" s="53"/>
      <c r="L1174" s="52"/>
      <c r="M1174" s="55"/>
      <c r="N1174" s="52"/>
      <c r="O1174" s="53"/>
      <c r="P1174" s="54"/>
      <c r="Q1174" s="54"/>
      <c r="R1174" s="54"/>
      <c r="S1174" s="54"/>
      <c r="T1174" s="54"/>
      <c r="U1174" s="82"/>
    </row>
    <row r="1175" spans="2:21" x14ac:dyDescent="0.2">
      <c r="B1175" s="51"/>
      <c r="C1175" s="51"/>
      <c r="D1175" s="51"/>
      <c r="E1175" s="51"/>
      <c r="F1175" s="51"/>
      <c r="G1175" s="51"/>
      <c r="H1175" s="51"/>
      <c r="I1175" s="54"/>
      <c r="J1175" s="54"/>
      <c r="K1175" s="53"/>
      <c r="L1175" s="52"/>
      <c r="M1175" s="55"/>
      <c r="N1175" s="52"/>
      <c r="O1175" s="53"/>
      <c r="P1175" s="54"/>
      <c r="Q1175" s="54"/>
      <c r="R1175" s="54"/>
      <c r="S1175" s="54"/>
      <c r="T1175" s="54"/>
      <c r="U1175" s="82"/>
    </row>
    <row r="1176" spans="2:21" x14ac:dyDescent="0.2">
      <c r="B1176" s="51"/>
      <c r="C1176" s="51"/>
      <c r="D1176" s="51"/>
      <c r="E1176" s="51"/>
      <c r="F1176" s="51"/>
      <c r="G1176" s="51"/>
      <c r="H1176" s="51"/>
      <c r="I1176" s="54"/>
      <c r="J1176" s="54"/>
      <c r="K1176" s="53"/>
      <c r="L1176" s="52"/>
      <c r="M1176" s="55"/>
      <c r="N1176" s="52"/>
      <c r="O1176" s="53"/>
      <c r="P1176" s="54"/>
      <c r="Q1176" s="54"/>
      <c r="R1176" s="54"/>
      <c r="S1176" s="54"/>
      <c r="T1176" s="54"/>
      <c r="U1176" s="82"/>
    </row>
    <row r="1177" spans="2:21" x14ac:dyDescent="0.2">
      <c r="B1177" s="51"/>
      <c r="C1177" s="51"/>
      <c r="D1177" s="51"/>
      <c r="E1177" s="51"/>
      <c r="F1177" s="51"/>
      <c r="G1177" s="51"/>
      <c r="H1177" s="51"/>
      <c r="I1177" s="54"/>
      <c r="J1177" s="54"/>
      <c r="K1177" s="53"/>
      <c r="L1177" s="52"/>
      <c r="M1177" s="55"/>
      <c r="N1177" s="52"/>
      <c r="O1177" s="53"/>
      <c r="P1177" s="54"/>
      <c r="Q1177" s="54"/>
      <c r="R1177" s="54"/>
      <c r="S1177" s="54"/>
      <c r="T1177" s="54"/>
      <c r="U1177" s="82"/>
    </row>
    <row r="1178" spans="2:21" x14ac:dyDescent="0.2">
      <c r="B1178" s="51"/>
      <c r="C1178" s="51"/>
      <c r="D1178" s="51"/>
      <c r="E1178" s="51"/>
      <c r="F1178" s="51"/>
      <c r="G1178" s="51"/>
      <c r="H1178" s="51"/>
      <c r="I1178" s="54"/>
      <c r="J1178" s="54"/>
      <c r="K1178" s="53"/>
      <c r="L1178" s="52"/>
      <c r="M1178" s="55"/>
      <c r="N1178" s="52"/>
      <c r="O1178" s="53"/>
      <c r="P1178" s="54"/>
      <c r="Q1178" s="54"/>
      <c r="R1178" s="54"/>
      <c r="S1178" s="54"/>
      <c r="T1178" s="54"/>
      <c r="U1178" s="82"/>
    </row>
    <row r="1179" spans="2:21" x14ac:dyDescent="0.2">
      <c r="B1179" s="51"/>
      <c r="C1179" s="51"/>
      <c r="D1179" s="51"/>
      <c r="E1179" s="51"/>
      <c r="F1179" s="51"/>
      <c r="G1179" s="51"/>
      <c r="H1179" s="51"/>
      <c r="I1179" s="54"/>
      <c r="J1179" s="54"/>
      <c r="K1179" s="53"/>
      <c r="L1179" s="52"/>
      <c r="M1179" s="55"/>
      <c r="N1179" s="52"/>
      <c r="O1179" s="53"/>
      <c r="P1179" s="54"/>
      <c r="Q1179" s="54"/>
      <c r="R1179" s="54"/>
      <c r="S1179" s="54"/>
      <c r="T1179" s="54"/>
      <c r="U1179" s="82"/>
    </row>
    <row r="1180" spans="2:21" x14ac:dyDescent="0.2">
      <c r="B1180" s="51"/>
      <c r="C1180" s="51"/>
      <c r="D1180" s="51"/>
      <c r="E1180" s="51"/>
      <c r="F1180" s="51"/>
      <c r="G1180" s="51"/>
      <c r="H1180" s="51"/>
      <c r="I1180" s="54"/>
      <c r="J1180" s="54"/>
      <c r="K1180" s="53"/>
      <c r="L1180" s="52"/>
      <c r="M1180" s="55"/>
      <c r="N1180" s="52"/>
      <c r="O1180" s="53"/>
      <c r="P1180" s="54"/>
      <c r="Q1180" s="54"/>
      <c r="R1180" s="54"/>
      <c r="S1180" s="54"/>
      <c r="T1180" s="54"/>
      <c r="U1180" s="82"/>
    </row>
    <row r="1181" spans="2:21" x14ac:dyDescent="0.2">
      <c r="B1181" s="51"/>
      <c r="C1181" s="51"/>
      <c r="D1181" s="51"/>
      <c r="E1181" s="51"/>
      <c r="F1181" s="51"/>
      <c r="G1181" s="51"/>
      <c r="H1181" s="51"/>
      <c r="I1181" s="54"/>
      <c r="J1181" s="54"/>
      <c r="K1181" s="53"/>
      <c r="L1181" s="52"/>
      <c r="M1181" s="55"/>
      <c r="N1181" s="52"/>
      <c r="O1181" s="53"/>
      <c r="P1181" s="54"/>
      <c r="Q1181" s="54"/>
      <c r="R1181" s="54"/>
      <c r="S1181" s="54"/>
      <c r="T1181" s="54"/>
      <c r="U1181" s="82"/>
    </row>
    <row r="1182" spans="2:21" x14ac:dyDescent="0.2">
      <c r="B1182" s="51"/>
      <c r="C1182" s="51"/>
      <c r="D1182" s="51"/>
      <c r="E1182" s="51"/>
      <c r="F1182" s="51"/>
      <c r="G1182" s="51"/>
      <c r="H1182" s="51"/>
      <c r="I1182" s="54"/>
      <c r="J1182" s="54"/>
      <c r="K1182" s="53"/>
      <c r="L1182" s="52"/>
      <c r="M1182" s="55"/>
      <c r="N1182" s="52"/>
      <c r="O1182" s="53"/>
      <c r="P1182" s="54"/>
      <c r="Q1182" s="54"/>
      <c r="R1182" s="54"/>
      <c r="S1182" s="54"/>
      <c r="T1182" s="54"/>
      <c r="U1182" s="82"/>
    </row>
    <row r="1183" spans="2:21" x14ac:dyDescent="0.2">
      <c r="B1183" s="51"/>
      <c r="C1183" s="51"/>
      <c r="D1183" s="51"/>
      <c r="E1183" s="51"/>
      <c r="F1183" s="51"/>
      <c r="G1183" s="51"/>
      <c r="H1183" s="51"/>
      <c r="I1183" s="54"/>
      <c r="J1183" s="54"/>
      <c r="K1183" s="53"/>
      <c r="L1183" s="52"/>
      <c r="M1183" s="55"/>
      <c r="N1183" s="52"/>
      <c r="O1183" s="53"/>
      <c r="P1183" s="54"/>
      <c r="Q1183" s="54"/>
      <c r="R1183" s="54"/>
      <c r="S1183" s="54"/>
      <c r="T1183" s="54"/>
      <c r="U1183" s="82"/>
    </row>
    <row r="1184" spans="2:21" x14ac:dyDescent="0.2">
      <c r="B1184" s="51"/>
      <c r="C1184" s="51"/>
      <c r="D1184" s="51"/>
      <c r="E1184" s="51"/>
      <c r="F1184" s="51"/>
      <c r="G1184" s="51"/>
      <c r="H1184" s="51"/>
      <c r="I1184" s="54"/>
      <c r="J1184" s="54"/>
      <c r="K1184" s="53"/>
      <c r="L1184" s="52"/>
      <c r="M1184" s="55"/>
      <c r="N1184" s="52"/>
      <c r="O1184" s="53"/>
      <c r="P1184" s="54"/>
      <c r="Q1184" s="54"/>
      <c r="R1184" s="54"/>
      <c r="S1184" s="54"/>
      <c r="T1184" s="54"/>
      <c r="U1184" s="82"/>
    </row>
    <row r="1185" spans="2:21" x14ac:dyDescent="0.2">
      <c r="B1185" s="51"/>
      <c r="C1185" s="51"/>
      <c r="D1185" s="51"/>
      <c r="E1185" s="51"/>
      <c r="F1185" s="51"/>
      <c r="G1185" s="51"/>
      <c r="H1185" s="51"/>
      <c r="I1185" s="54"/>
      <c r="J1185" s="54"/>
      <c r="K1185" s="53"/>
      <c r="L1185" s="52"/>
      <c r="M1185" s="55"/>
      <c r="N1185" s="52"/>
      <c r="O1185" s="53"/>
      <c r="P1185" s="54"/>
      <c r="Q1185" s="54"/>
      <c r="R1185" s="54"/>
      <c r="S1185" s="54"/>
      <c r="T1185" s="54"/>
      <c r="U1185" s="82"/>
    </row>
    <row r="1186" spans="2:21" x14ac:dyDescent="0.2">
      <c r="B1186" s="51"/>
      <c r="C1186" s="51"/>
      <c r="D1186" s="51"/>
      <c r="E1186" s="51"/>
      <c r="F1186" s="51"/>
      <c r="G1186" s="51"/>
      <c r="H1186" s="51"/>
      <c r="I1186" s="54"/>
      <c r="J1186" s="54"/>
      <c r="K1186" s="53"/>
      <c r="L1186" s="52"/>
      <c r="M1186" s="55"/>
      <c r="N1186" s="52"/>
      <c r="O1186" s="53"/>
      <c r="P1186" s="54"/>
      <c r="Q1186" s="54"/>
      <c r="R1186" s="54"/>
      <c r="S1186" s="54"/>
      <c r="T1186" s="54"/>
      <c r="U1186" s="82"/>
    </row>
    <row r="1187" spans="2:21" x14ac:dyDescent="0.2">
      <c r="B1187" s="51"/>
      <c r="C1187" s="51"/>
      <c r="D1187" s="51"/>
      <c r="E1187" s="51"/>
      <c r="F1187" s="51"/>
      <c r="G1187" s="51"/>
      <c r="H1187" s="51"/>
      <c r="I1187" s="54"/>
      <c r="J1187" s="54"/>
      <c r="K1187" s="53"/>
      <c r="L1187" s="52"/>
      <c r="M1187" s="55"/>
      <c r="N1187" s="52"/>
      <c r="O1187" s="53"/>
      <c r="P1187" s="54"/>
      <c r="Q1187" s="54"/>
      <c r="R1187" s="54"/>
      <c r="S1187" s="54"/>
      <c r="T1187" s="54"/>
      <c r="U1187" s="82"/>
    </row>
    <row r="1188" spans="2:21" x14ac:dyDescent="0.2">
      <c r="B1188" s="51"/>
      <c r="C1188" s="51"/>
      <c r="D1188" s="51"/>
      <c r="E1188" s="51"/>
      <c r="F1188" s="51"/>
      <c r="G1188" s="51"/>
      <c r="H1188" s="51"/>
      <c r="I1188" s="54"/>
      <c r="J1188" s="54"/>
      <c r="K1188" s="53"/>
      <c r="L1188" s="52"/>
      <c r="M1188" s="55"/>
      <c r="N1188" s="52"/>
      <c r="O1188" s="53"/>
      <c r="P1188" s="54"/>
      <c r="Q1188" s="54"/>
      <c r="R1188" s="54"/>
      <c r="S1188" s="54"/>
      <c r="T1188" s="54"/>
      <c r="U1188" s="82"/>
    </row>
    <row r="1189" spans="2:21" x14ac:dyDescent="0.2">
      <c r="B1189" s="51"/>
      <c r="C1189" s="51"/>
      <c r="D1189" s="51"/>
      <c r="E1189" s="51"/>
      <c r="F1189" s="51"/>
      <c r="G1189" s="51"/>
      <c r="H1189" s="51"/>
      <c r="I1189" s="54"/>
      <c r="J1189" s="54"/>
      <c r="K1189" s="53"/>
      <c r="L1189" s="52"/>
      <c r="M1189" s="55"/>
      <c r="N1189" s="52"/>
      <c r="O1189" s="53"/>
      <c r="P1189" s="54"/>
      <c r="Q1189" s="54"/>
      <c r="R1189" s="54"/>
      <c r="S1189" s="54"/>
      <c r="T1189" s="54"/>
      <c r="U1189" s="82"/>
    </row>
    <row r="1190" spans="2:21" x14ac:dyDescent="0.2">
      <c r="B1190" s="51"/>
      <c r="C1190" s="51"/>
      <c r="D1190" s="51"/>
      <c r="E1190" s="51"/>
      <c r="F1190" s="51"/>
      <c r="G1190" s="51"/>
      <c r="H1190" s="51"/>
      <c r="I1190" s="54"/>
      <c r="J1190" s="54"/>
      <c r="K1190" s="53"/>
      <c r="L1190" s="52"/>
      <c r="M1190" s="55"/>
      <c r="N1190" s="52"/>
      <c r="O1190" s="53"/>
      <c r="P1190" s="54"/>
      <c r="Q1190" s="54"/>
      <c r="R1190" s="54"/>
      <c r="S1190" s="54"/>
      <c r="T1190" s="54"/>
      <c r="U1190" s="82"/>
    </row>
    <row r="1191" spans="2:21" x14ac:dyDescent="0.2">
      <c r="B1191" s="51"/>
      <c r="C1191" s="51"/>
      <c r="D1191" s="51"/>
      <c r="E1191" s="51"/>
      <c r="F1191" s="51"/>
      <c r="G1191" s="51"/>
      <c r="H1191" s="51"/>
      <c r="I1191" s="54"/>
      <c r="J1191" s="54"/>
      <c r="K1191" s="53"/>
      <c r="L1191" s="52"/>
      <c r="M1191" s="55"/>
      <c r="N1191" s="52"/>
      <c r="O1191" s="53"/>
      <c r="P1191" s="54"/>
      <c r="Q1191" s="54"/>
      <c r="R1191" s="54"/>
      <c r="S1191" s="54"/>
      <c r="T1191" s="54"/>
      <c r="U1191" s="82"/>
    </row>
    <row r="1192" spans="2:21" x14ac:dyDescent="0.2">
      <c r="B1192" s="51"/>
      <c r="C1192" s="51"/>
      <c r="D1192" s="51"/>
      <c r="E1192" s="51"/>
      <c r="F1192" s="51"/>
      <c r="G1192" s="51"/>
      <c r="H1192" s="51"/>
      <c r="I1192" s="54"/>
      <c r="J1192" s="54"/>
      <c r="K1192" s="53"/>
      <c r="L1192" s="52"/>
      <c r="M1192" s="55"/>
      <c r="N1192" s="52"/>
      <c r="O1192" s="53"/>
      <c r="P1192" s="54"/>
      <c r="Q1192" s="54"/>
      <c r="R1192" s="54"/>
      <c r="S1192" s="54"/>
      <c r="T1192" s="54"/>
      <c r="U1192" s="82"/>
    </row>
    <row r="1193" spans="2:21" x14ac:dyDescent="0.2">
      <c r="B1193" s="51"/>
      <c r="C1193" s="51"/>
      <c r="D1193" s="51"/>
      <c r="E1193" s="51"/>
      <c r="F1193" s="51"/>
      <c r="G1193" s="51"/>
      <c r="H1193" s="51"/>
      <c r="I1193" s="54"/>
      <c r="J1193" s="54"/>
      <c r="K1193" s="53"/>
      <c r="L1193" s="52"/>
      <c r="M1193" s="55"/>
      <c r="N1193" s="52"/>
      <c r="O1193" s="53"/>
      <c r="P1193" s="54"/>
      <c r="Q1193" s="54"/>
      <c r="R1193" s="54"/>
      <c r="S1193" s="54"/>
      <c r="T1193" s="54"/>
      <c r="U1193" s="82"/>
    </row>
    <row r="1194" spans="2:21" x14ac:dyDescent="0.2">
      <c r="B1194" s="51"/>
      <c r="C1194" s="51"/>
      <c r="D1194" s="51"/>
      <c r="E1194" s="51"/>
      <c r="F1194" s="51"/>
      <c r="G1194" s="51"/>
      <c r="H1194" s="51"/>
      <c r="I1194" s="54"/>
      <c r="J1194" s="54"/>
      <c r="K1194" s="53"/>
      <c r="L1194" s="52"/>
      <c r="M1194" s="55"/>
      <c r="N1194" s="52"/>
      <c r="O1194" s="53"/>
      <c r="P1194" s="54"/>
      <c r="Q1194" s="54"/>
      <c r="R1194" s="54"/>
      <c r="S1194" s="54"/>
      <c r="T1194" s="54"/>
      <c r="U1194" s="82"/>
    </row>
    <row r="1195" spans="2:21" x14ac:dyDescent="0.2">
      <c r="B1195" s="51"/>
      <c r="C1195" s="51"/>
      <c r="D1195" s="51"/>
      <c r="E1195" s="51"/>
      <c r="F1195" s="51"/>
      <c r="G1195" s="51"/>
      <c r="H1195" s="51"/>
      <c r="I1195" s="54"/>
      <c r="J1195" s="54"/>
      <c r="K1195" s="53"/>
      <c r="L1195" s="52"/>
      <c r="M1195" s="55"/>
      <c r="N1195" s="52"/>
      <c r="O1195" s="53"/>
      <c r="P1195" s="54"/>
      <c r="Q1195" s="54"/>
      <c r="R1195" s="54"/>
      <c r="S1195" s="54"/>
      <c r="T1195" s="54"/>
      <c r="U1195" s="82"/>
    </row>
    <row r="1196" spans="2:21" x14ac:dyDescent="0.2">
      <c r="B1196" s="51"/>
      <c r="C1196" s="51"/>
      <c r="D1196" s="51"/>
      <c r="E1196" s="51"/>
      <c r="F1196" s="51"/>
      <c r="G1196" s="51"/>
      <c r="H1196" s="51"/>
      <c r="I1196" s="54"/>
      <c r="J1196" s="54"/>
      <c r="K1196" s="53"/>
      <c r="L1196" s="52"/>
      <c r="M1196" s="55"/>
      <c r="N1196" s="52"/>
      <c r="O1196" s="53"/>
      <c r="P1196" s="54"/>
      <c r="Q1196" s="54"/>
      <c r="R1196" s="54"/>
      <c r="S1196" s="54"/>
      <c r="T1196" s="54"/>
      <c r="U1196" s="82"/>
    </row>
    <row r="1197" spans="2:21" x14ac:dyDescent="0.2">
      <c r="B1197" s="51"/>
      <c r="C1197" s="51"/>
      <c r="D1197" s="51"/>
      <c r="E1197" s="51"/>
      <c r="F1197" s="51"/>
      <c r="G1197" s="51"/>
      <c r="H1197" s="51"/>
      <c r="I1197" s="54"/>
      <c r="J1197" s="54"/>
      <c r="K1197" s="53"/>
      <c r="L1197" s="52"/>
      <c r="M1197" s="55"/>
      <c r="N1197" s="52"/>
      <c r="O1197" s="53"/>
      <c r="P1197" s="54"/>
      <c r="Q1197" s="54"/>
      <c r="R1197" s="54"/>
      <c r="S1197" s="54"/>
      <c r="T1197" s="54"/>
      <c r="U1197" s="82"/>
    </row>
    <row r="1198" spans="2:21" x14ac:dyDescent="0.2">
      <c r="B1198" s="51"/>
      <c r="C1198" s="51"/>
      <c r="D1198" s="51"/>
      <c r="E1198" s="51"/>
      <c r="F1198" s="51"/>
      <c r="G1198" s="51"/>
      <c r="H1198" s="51"/>
      <c r="I1198" s="54"/>
      <c r="J1198" s="54"/>
      <c r="K1198" s="53"/>
      <c r="L1198" s="52"/>
      <c r="M1198" s="55"/>
      <c r="N1198" s="52"/>
      <c r="O1198" s="53"/>
      <c r="P1198" s="54"/>
      <c r="Q1198" s="54"/>
      <c r="R1198" s="54"/>
      <c r="S1198" s="54"/>
      <c r="T1198" s="54"/>
      <c r="U1198" s="82"/>
    </row>
    <row r="1199" spans="2:21" x14ac:dyDescent="0.2">
      <c r="B1199" s="51"/>
      <c r="C1199" s="51"/>
      <c r="D1199" s="51"/>
      <c r="E1199" s="51"/>
      <c r="F1199" s="51"/>
      <c r="G1199" s="51"/>
      <c r="H1199" s="51"/>
      <c r="I1199" s="54"/>
      <c r="J1199" s="54"/>
      <c r="K1199" s="53"/>
      <c r="L1199" s="52"/>
      <c r="M1199" s="55"/>
      <c r="N1199" s="52"/>
      <c r="O1199" s="53"/>
      <c r="P1199" s="54"/>
      <c r="Q1199" s="54"/>
      <c r="R1199" s="54"/>
      <c r="S1199" s="54"/>
      <c r="T1199" s="54"/>
      <c r="U1199" s="82"/>
    </row>
    <row r="1200" spans="2:21" x14ac:dyDescent="0.2">
      <c r="B1200" s="51"/>
      <c r="C1200" s="51"/>
      <c r="D1200" s="51"/>
      <c r="E1200" s="51"/>
      <c r="F1200" s="51"/>
      <c r="G1200" s="51"/>
      <c r="H1200" s="51"/>
      <c r="I1200" s="54"/>
      <c r="J1200" s="54"/>
      <c r="K1200" s="53"/>
      <c r="L1200" s="52"/>
      <c r="M1200" s="55"/>
      <c r="N1200" s="52"/>
      <c r="O1200" s="53"/>
      <c r="P1200" s="54"/>
      <c r="Q1200" s="54"/>
      <c r="R1200" s="54"/>
      <c r="S1200" s="54"/>
      <c r="T1200" s="54"/>
      <c r="U1200" s="82"/>
    </row>
    <row r="1201" spans="2:21" x14ac:dyDescent="0.2">
      <c r="B1201" s="51"/>
      <c r="C1201" s="51"/>
      <c r="D1201" s="51"/>
      <c r="E1201" s="51"/>
      <c r="F1201" s="51"/>
      <c r="G1201" s="51"/>
      <c r="H1201" s="51"/>
      <c r="I1201" s="54"/>
      <c r="J1201" s="54"/>
      <c r="K1201" s="53"/>
      <c r="L1201" s="52"/>
      <c r="M1201" s="55"/>
      <c r="N1201" s="52"/>
      <c r="O1201" s="53"/>
      <c r="P1201" s="54"/>
      <c r="Q1201" s="54"/>
      <c r="R1201" s="54"/>
      <c r="S1201" s="54"/>
      <c r="T1201" s="54"/>
      <c r="U1201" s="82"/>
    </row>
    <row r="1202" spans="2:21" x14ac:dyDescent="0.2">
      <c r="B1202" s="51"/>
      <c r="C1202" s="51"/>
      <c r="D1202" s="51"/>
      <c r="E1202" s="51"/>
      <c r="F1202" s="51"/>
      <c r="G1202" s="51"/>
      <c r="H1202" s="51"/>
      <c r="I1202" s="54"/>
      <c r="J1202" s="54"/>
      <c r="K1202" s="53"/>
      <c r="L1202" s="52"/>
      <c r="M1202" s="55"/>
      <c r="N1202" s="52"/>
      <c r="O1202" s="53"/>
      <c r="P1202" s="54"/>
      <c r="Q1202" s="54"/>
      <c r="R1202" s="54"/>
      <c r="S1202" s="54"/>
      <c r="T1202" s="54"/>
      <c r="U1202" s="82"/>
    </row>
    <row r="1203" spans="2:21" x14ac:dyDescent="0.2">
      <c r="B1203" s="51"/>
      <c r="C1203" s="51"/>
      <c r="D1203" s="51"/>
      <c r="E1203" s="51"/>
      <c r="F1203" s="51"/>
      <c r="G1203" s="51"/>
      <c r="H1203" s="51"/>
      <c r="I1203" s="54"/>
      <c r="J1203" s="54"/>
      <c r="K1203" s="53"/>
      <c r="L1203" s="52"/>
      <c r="M1203" s="55"/>
      <c r="N1203" s="52"/>
      <c r="O1203" s="53"/>
      <c r="P1203" s="54"/>
      <c r="Q1203" s="54"/>
      <c r="R1203" s="54"/>
      <c r="S1203" s="54"/>
      <c r="T1203" s="54"/>
      <c r="U1203" s="82"/>
    </row>
    <row r="1204" spans="2:21" x14ac:dyDescent="0.2">
      <c r="B1204" s="51"/>
      <c r="C1204" s="51"/>
      <c r="D1204" s="51"/>
      <c r="E1204" s="51"/>
      <c r="F1204" s="51"/>
      <c r="G1204" s="51"/>
      <c r="H1204" s="51"/>
      <c r="I1204" s="54"/>
      <c r="J1204" s="54"/>
      <c r="K1204" s="53"/>
      <c r="L1204" s="52"/>
      <c r="M1204" s="55"/>
      <c r="N1204" s="52"/>
      <c r="O1204" s="53"/>
      <c r="P1204" s="54"/>
      <c r="Q1204" s="54"/>
      <c r="R1204" s="54"/>
      <c r="S1204" s="54"/>
      <c r="T1204" s="54"/>
      <c r="U1204" s="82"/>
    </row>
    <row r="1205" spans="2:21" x14ac:dyDescent="0.2">
      <c r="B1205" s="51"/>
      <c r="C1205" s="51"/>
      <c r="D1205" s="51"/>
      <c r="E1205" s="51"/>
      <c r="F1205" s="51"/>
      <c r="G1205" s="51"/>
      <c r="H1205" s="51"/>
      <c r="I1205" s="54"/>
      <c r="J1205" s="54"/>
      <c r="K1205" s="53"/>
      <c r="L1205" s="52"/>
      <c r="M1205" s="55"/>
      <c r="N1205" s="52"/>
      <c r="O1205" s="53"/>
      <c r="P1205" s="54"/>
      <c r="Q1205" s="54"/>
      <c r="R1205" s="54"/>
      <c r="S1205" s="54"/>
      <c r="T1205" s="54"/>
      <c r="U1205" s="82"/>
    </row>
    <row r="1206" spans="2:21" x14ac:dyDescent="0.2">
      <c r="B1206" s="51"/>
      <c r="C1206" s="51"/>
      <c r="D1206" s="51"/>
      <c r="E1206" s="51"/>
      <c r="F1206" s="51"/>
      <c r="G1206" s="51"/>
      <c r="H1206" s="51"/>
      <c r="I1206" s="54"/>
      <c r="J1206" s="54"/>
      <c r="K1206" s="53"/>
      <c r="L1206" s="52"/>
      <c r="M1206" s="55"/>
      <c r="N1206" s="52"/>
      <c r="O1206" s="53"/>
      <c r="P1206" s="54"/>
      <c r="Q1206" s="54"/>
      <c r="R1206" s="54"/>
      <c r="S1206" s="54"/>
      <c r="T1206" s="54"/>
      <c r="U1206" s="82"/>
    </row>
    <row r="1207" spans="2:21" x14ac:dyDescent="0.2">
      <c r="B1207" s="51"/>
      <c r="C1207" s="51"/>
      <c r="D1207" s="51"/>
      <c r="E1207" s="51"/>
      <c r="F1207" s="51"/>
      <c r="G1207" s="51"/>
      <c r="H1207" s="51"/>
      <c r="I1207" s="54"/>
      <c r="J1207" s="54"/>
      <c r="K1207" s="53"/>
      <c r="L1207" s="52"/>
      <c r="M1207" s="55"/>
      <c r="N1207" s="52"/>
      <c r="O1207" s="53"/>
      <c r="P1207" s="54"/>
      <c r="Q1207" s="54"/>
      <c r="R1207" s="54"/>
      <c r="S1207" s="54"/>
      <c r="T1207" s="54"/>
      <c r="U1207" s="82"/>
    </row>
    <row r="1208" spans="2:21" x14ac:dyDescent="0.2">
      <c r="B1208" s="51"/>
      <c r="C1208" s="51"/>
      <c r="D1208" s="51"/>
      <c r="E1208" s="51"/>
      <c r="F1208" s="51"/>
      <c r="G1208" s="51"/>
      <c r="H1208" s="51"/>
      <c r="I1208" s="54"/>
      <c r="J1208" s="54"/>
      <c r="K1208" s="53"/>
      <c r="L1208" s="52"/>
      <c r="M1208" s="55"/>
      <c r="N1208" s="52"/>
      <c r="O1208" s="53"/>
      <c r="P1208" s="54"/>
      <c r="Q1208" s="54"/>
      <c r="R1208" s="54"/>
      <c r="S1208" s="54"/>
      <c r="T1208" s="54"/>
      <c r="U1208" s="82"/>
    </row>
    <row r="1209" spans="2:21" x14ac:dyDescent="0.2">
      <c r="B1209" s="51"/>
      <c r="C1209" s="51"/>
      <c r="D1209" s="51"/>
      <c r="E1209" s="51"/>
      <c r="F1209" s="51"/>
      <c r="G1209" s="51"/>
      <c r="H1209" s="51"/>
      <c r="I1209" s="54"/>
      <c r="J1209" s="54"/>
      <c r="K1209" s="53"/>
      <c r="L1209" s="52"/>
      <c r="M1209" s="55"/>
      <c r="N1209" s="52"/>
      <c r="O1209" s="53"/>
      <c r="P1209" s="54"/>
      <c r="Q1209" s="54"/>
      <c r="R1209" s="54"/>
      <c r="S1209" s="54"/>
      <c r="T1209" s="54"/>
      <c r="U1209" s="82"/>
    </row>
    <row r="1210" spans="2:21" x14ac:dyDescent="0.2">
      <c r="B1210" s="51"/>
      <c r="C1210" s="51"/>
      <c r="D1210" s="51"/>
      <c r="E1210" s="51"/>
      <c r="F1210" s="51"/>
      <c r="G1210" s="51"/>
      <c r="H1210" s="51"/>
      <c r="I1210" s="54"/>
      <c r="J1210" s="54"/>
      <c r="K1210" s="53"/>
      <c r="L1210" s="52"/>
      <c r="M1210" s="55"/>
      <c r="N1210" s="52"/>
      <c r="O1210" s="53"/>
      <c r="P1210" s="54"/>
      <c r="Q1210" s="54"/>
      <c r="R1210" s="54"/>
      <c r="S1210" s="54"/>
      <c r="T1210" s="54"/>
      <c r="U1210" s="82"/>
    </row>
    <row r="1211" spans="2:21" x14ac:dyDescent="0.2">
      <c r="B1211" s="51"/>
      <c r="C1211" s="51"/>
      <c r="D1211" s="51"/>
      <c r="E1211" s="51"/>
      <c r="F1211" s="51"/>
      <c r="G1211" s="51"/>
      <c r="H1211" s="51"/>
      <c r="I1211" s="54"/>
      <c r="J1211" s="54"/>
      <c r="K1211" s="53"/>
      <c r="L1211" s="52"/>
      <c r="M1211" s="55"/>
      <c r="N1211" s="52"/>
      <c r="O1211" s="53"/>
      <c r="P1211" s="54"/>
      <c r="Q1211" s="54"/>
      <c r="R1211" s="54"/>
      <c r="S1211" s="54"/>
      <c r="T1211" s="54"/>
      <c r="U1211" s="82"/>
    </row>
    <row r="1212" spans="2:21" x14ac:dyDescent="0.2">
      <c r="B1212" s="51"/>
      <c r="C1212" s="51"/>
      <c r="D1212" s="51"/>
      <c r="E1212" s="51"/>
      <c r="F1212" s="51"/>
      <c r="G1212" s="51"/>
      <c r="H1212" s="51"/>
      <c r="I1212" s="54"/>
      <c r="J1212" s="54"/>
      <c r="K1212" s="53"/>
      <c r="L1212" s="52"/>
      <c r="M1212" s="55"/>
      <c r="N1212" s="52"/>
      <c r="O1212" s="53"/>
      <c r="P1212" s="54"/>
      <c r="Q1212" s="54"/>
      <c r="R1212" s="54"/>
      <c r="S1212" s="54"/>
      <c r="T1212" s="54"/>
      <c r="U1212" s="82"/>
    </row>
    <row r="1213" spans="2:21" x14ac:dyDescent="0.2">
      <c r="B1213" s="51"/>
      <c r="C1213" s="51"/>
      <c r="D1213" s="51"/>
      <c r="E1213" s="51"/>
      <c r="F1213" s="51"/>
      <c r="G1213" s="51"/>
      <c r="H1213" s="51"/>
      <c r="I1213" s="54"/>
      <c r="J1213" s="54"/>
      <c r="K1213" s="53"/>
      <c r="L1213" s="52"/>
      <c r="M1213" s="55"/>
      <c r="N1213" s="52"/>
      <c r="O1213" s="53"/>
      <c r="P1213" s="54"/>
      <c r="Q1213" s="54"/>
      <c r="R1213" s="54"/>
      <c r="S1213" s="54"/>
      <c r="T1213" s="54"/>
      <c r="U1213" s="82"/>
    </row>
    <row r="1214" spans="2:21" x14ac:dyDescent="0.2">
      <c r="B1214" s="51"/>
      <c r="C1214" s="51"/>
      <c r="D1214" s="51"/>
      <c r="E1214" s="51"/>
      <c r="F1214" s="51"/>
      <c r="G1214" s="51"/>
      <c r="H1214" s="51"/>
      <c r="I1214" s="54"/>
      <c r="J1214" s="54"/>
      <c r="K1214" s="53"/>
      <c r="L1214" s="52"/>
      <c r="M1214" s="55"/>
      <c r="N1214" s="52"/>
      <c r="O1214" s="53"/>
      <c r="P1214" s="54"/>
      <c r="Q1214" s="54"/>
      <c r="R1214" s="54"/>
      <c r="S1214" s="54"/>
      <c r="T1214" s="54"/>
      <c r="U1214" s="82"/>
    </row>
    <row r="1215" spans="2:21" x14ac:dyDescent="0.2">
      <c r="B1215" s="51"/>
      <c r="C1215" s="51"/>
      <c r="D1215" s="51"/>
      <c r="E1215" s="51"/>
      <c r="F1215" s="51"/>
      <c r="G1215" s="51"/>
      <c r="H1215" s="51"/>
      <c r="I1215" s="54"/>
      <c r="J1215" s="54"/>
      <c r="K1215" s="53"/>
      <c r="L1215" s="52"/>
      <c r="M1215" s="55"/>
      <c r="N1215" s="52"/>
      <c r="O1215" s="53"/>
      <c r="P1215" s="54"/>
      <c r="Q1215" s="54"/>
      <c r="R1215" s="54"/>
      <c r="S1215" s="54"/>
      <c r="T1215" s="54"/>
      <c r="U1215" s="82"/>
    </row>
    <row r="1216" spans="2:21" x14ac:dyDescent="0.2">
      <c r="B1216" s="51"/>
      <c r="C1216" s="51"/>
      <c r="D1216" s="51"/>
      <c r="E1216" s="51"/>
      <c r="F1216" s="51"/>
      <c r="G1216" s="51"/>
      <c r="H1216" s="51"/>
      <c r="I1216" s="54"/>
      <c r="J1216" s="54"/>
      <c r="K1216" s="53"/>
      <c r="L1216" s="52"/>
      <c r="M1216" s="55"/>
      <c r="N1216" s="52"/>
      <c r="O1216" s="53"/>
      <c r="P1216" s="54"/>
      <c r="Q1216" s="54"/>
      <c r="R1216" s="54"/>
      <c r="S1216" s="54"/>
      <c r="T1216" s="54"/>
      <c r="U1216" s="82"/>
    </row>
    <row r="1217" spans="2:21" x14ac:dyDescent="0.2">
      <c r="B1217" s="51"/>
      <c r="C1217" s="51"/>
      <c r="D1217" s="51"/>
      <c r="E1217" s="51"/>
      <c r="F1217" s="51"/>
      <c r="G1217" s="51"/>
      <c r="H1217" s="51"/>
      <c r="I1217" s="54"/>
      <c r="J1217" s="54"/>
      <c r="K1217" s="53"/>
      <c r="L1217" s="52"/>
      <c r="M1217" s="55"/>
      <c r="N1217" s="52"/>
      <c r="O1217" s="53"/>
      <c r="P1217" s="54"/>
      <c r="Q1217" s="54"/>
      <c r="R1217" s="54"/>
      <c r="S1217" s="54"/>
      <c r="T1217" s="54"/>
      <c r="U1217" s="82"/>
    </row>
    <row r="1218" spans="2:21" x14ac:dyDescent="0.2">
      <c r="B1218" s="51"/>
      <c r="C1218" s="51"/>
      <c r="D1218" s="51"/>
      <c r="E1218" s="51"/>
      <c r="F1218" s="51"/>
      <c r="G1218" s="51"/>
      <c r="H1218" s="51"/>
      <c r="I1218" s="54"/>
      <c r="J1218" s="54"/>
      <c r="K1218" s="53"/>
      <c r="L1218" s="52"/>
      <c r="M1218" s="55"/>
      <c r="N1218" s="52"/>
      <c r="O1218" s="53"/>
      <c r="P1218" s="54"/>
      <c r="Q1218" s="54"/>
      <c r="R1218" s="54"/>
      <c r="S1218" s="54"/>
      <c r="T1218" s="54"/>
      <c r="U1218" s="82"/>
    </row>
    <row r="1219" spans="2:21" x14ac:dyDescent="0.2">
      <c r="B1219" s="51"/>
      <c r="C1219" s="51"/>
      <c r="D1219" s="51"/>
      <c r="E1219" s="51"/>
      <c r="F1219" s="51"/>
      <c r="G1219" s="51"/>
      <c r="H1219" s="51"/>
      <c r="I1219" s="54"/>
      <c r="J1219" s="54"/>
      <c r="K1219" s="53"/>
      <c r="L1219" s="52"/>
      <c r="M1219" s="55"/>
      <c r="N1219" s="52"/>
      <c r="O1219" s="53"/>
      <c r="P1219" s="54"/>
      <c r="Q1219" s="54"/>
      <c r="R1219" s="54"/>
      <c r="S1219" s="54"/>
      <c r="T1219" s="54"/>
      <c r="U1219" s="82"/>
    </row>
    <row r="1220" spans="2:21" x14ac:dyDescent="0.2">
      <c r="B1220" s="51"/>
      <c r="C1220" s="51"/>
      <c r="D1220" s="51"/>
      <c r="E1220" s="51"/>
      <c r="F1220" s="51"/>
      <c r="G1220" s="51"/>
      <c r="H1220" s="51"/>
      <c r="I1220" s="54"/>
      <c r="J1220" s="54"/>
      <c r="K1220" s="53"/>
      <c r="L1220" s="52"/>
      <c r="M1220" s="55"/>
      <c r="N1220" s="52"/>
      <c r="O1220" s="53"/>
      <c r="P1220" s="54"/>
      <c r="Q1220" s="54"/>
      <c r="R1220" s="54"/>
      <c r="S1220" s="54"/>
      <c r="T1220" s="54"/>
      <c r="U1220" s="82"/>
    </row>
    <row r="1221" spans="2:21" x14ac:dyDescent="0.2">
      <c r="B1221" s="51"/>
      <c r="C1221" s="51"/>
      <c r="D1221" s="51"/>
      <c r="E1221" s="51"/>
      <c r="F1221" s="51"/>
      <c r="G1221" s="51"/>
      <c r="H1221" s="51"/>
      <c r="I1221" s="54"/>
      <c r="J1221" s="54"/>
      <c r="K1221" s="53"/>
      <c r="L1221" s="52"/>
      <c r="M1221" s="55"/>
      <c r="N1221" s="52"/>
      <c r="O1221" s="53"/>
      <c r="P1221" s="54"/>
      <c r="Q1221" s="54"/>
      <c r="R1221" s="54"/>
      <c r="S1221" s="54"/>
      <c r="T1221" s="54"/>
      <c r="U1221" s="82"/>
    </row>
    <row r="1222" spans="2:21" x14ac:dyDescent="0.2">
      <c r="B1222" s="51"/>
      <c r="C1222" s="51"/>
      <c r="D1222" s="51"/>
      <c r="E1222" s="51"/>
      <c r="F1222" s="51"/>
      <c r="G1222" s="51"/>
      <c r="H1222" s="51"/>
      <c r="I1222" s="54"/>
      <c r="J1222" s="54"/>
      <c r="K1222" s="53"/>
      <c r="L1222" s="52"/>
      <c r="M1222" s="55"/>
      <c r="N1222" s="52"/>
      <c r="O1222" s="53"/>
      <c r="P1222" s="54"/>
      <c r="Q1222" s="54"/>
      <c r="R1222" s="54"/>
      <c r="S1222" s="54"/>
      <c r="T1222" s="54"/>
      <c r="U1222" s="82"/>
    </row>
    <row r="1223" spans="2:21" x14ac:dyDescent="0.2">
      <c r="B1223" s="51"/>
      <c r="C1223" s="51"/>
      <c r="D1223" s="51"/>
      <c r="E1223" s="51"/>
      <c r="F1223" s="51"/>
      <c r="G1223" s="51"/>
      <c r="H1223" s="51"/>
      <c r="I1223" s="54"/>
      <c r="J1223" s="54"/>
      <c r="K1223" s="53"/>
      <c r="L1223" s="52"/>
      <c r="M1223" s="55"/>
      <c r="N1223" s="52"/>
      <c r="O1223" s="53"/>
      <c r="P1223" s="54"/>
      <c r="Q1223" s="54"/>
      <c r="R1223" s="54"/>
      <c r="S1223" s="54"/>
      <c r="T1223" s="54"/>
      <c r="U1223" s="82"/>
    </row>
    <row r="1224" spans="2:21" x14ac:dyDescent="0.2">
      <c r="B1224" s="51"/>
      <c r="C1224" s="51"/>
      <c r="D1224" s="51"/>
      <c r="E1224" s="51"/>
      <c r="F1224" s="51"/>
      <c r="G1224" s="51"/>
      <c r="H1224" s="51"/>
      <c r="I1224" s="54"/>
      <c r="J1224" s="54"/>
      <c r="K1224" s="53"/>
      <c r="L1224" s="52"/>
      <c r="M1224" s="55"/>
      <c r="N1224" s="52"/>
      <c r="O1224" s="53"/>
      <c r="P1224" s="54"/>
      <c r="Q1224" s="54"/>
      <c r="R1224" s="54"/>
      <c r="S1224" s="54"/>
      <c r="T1224" s="54"/>
      <c r="U1224" s="82"/>
    </row>
    <row r="1225" spans="2:21" x14ac:dyDescent="0.2">
      <c r="B1225" s="51"/>
      <c r="C1225" s="51"/>
      <c r="D1225" s="51"/>
      <c r="E1225" s="51"/>
      <c r="F1225" s="51"/>
      <c r="G1225" s="51"/>
      <c r="H1225" s="51"/>
      <c r="I1225" s="54"/>
      <c r="J1225" s="54"/>
      <c r="K1225" s="53"/>
      <c r="L1225" s="52"/>
      <c r="M1225" s="55"/>
      <c r="N1225" s="52"/>
      <c r="O1225" s="53"/>
      <c r="P1225" s="54"/>
      <c r="Q1225" s="54"/>
      <c r="R1225" s="54"/>
      <c r="S1225" s="54"/>
      <c r="T1225" s="54"/>
      <c r="U1225" s="82"/>
    </row>
    <row r="1226" spans="2:21" x14ac:dyDescent="0.2">
      <c r="B1226" s="51"/>
      <c r="C1226" s="51"/>
      <c r="D1226" s="51"/>
      <c r="E1226" s="51"/>
      <c r="F1226" s="51"/>
      <c r="G1226" s="51"/>
      <c r="H1226" s="51"/>
      <c r="I1226" s="54"/>
      <c r="J1226" s="54"/>
      <c r="K1226" s="53"/>
      <c r="L1226" s="52"/>
      <c r="M1226" s="55"/>
      <c r="N1226" s="52"/>
      <c r="O1226" s="53"/>
      <c r="P1226" s="54"/>
      <c r="Q1226" s="54"/>
      <c r="R1226" s="54"/>
      <c r="S1226" s="54"/>
      <c r="T1226" s="54"/>
      <c r="U1226" s="82"/>
    </row>
    <row r="1227" spans="2:21" x14ac:dyDescent="0.2">
      <c r="B1227" s="51"/>
      <c r="C1227" s="51"/>
      <c r="D1227" s="51"/>
      <c r="E1227" s="51"/>
      <c r="F1227" s="51"/>
      <c r="G1227" s="51"/>
      <c r="H1227" s="51"/>
      <c r="I1227" s="54"/>
      <c r="J1227" s="54"/>
      <c r="K1227" s="53"/>
      <c r="L1227" s="52"/>
      <c r="M1227" s="55"/>
      <c r="N1227" s="52"/>
      <c r="O1227" s="53"/>
      <c r="P1227" s="54"/>
      <c r="Q1227" s="54"/>
      <c r="R1227" s="54"/>
      <c r="S1227" s="54"/>
      <c r="T1227" s="54"/>
      <c r="U1227" s="82"/>
    </row>
    <row r="1228" spans="2:21" x14ac:dyDescent="0.2">
      <c r="B1228" s="51"/>
      <c r="C1228" s="51"/>
      <c r="D1228" s="51"/>
      <c r="E1228" s="51"/>
      <c r="F1228" s="51"/>
      <c r="G1228" s="51"/>
      <c r="H1228" s="51"/>
      <c r="I1228" s="54"/>
      <c r="J1228" s="54"/>
      <c r="K1228" s="53"/>
      <c r="L1228" s="52"/>
      <c r="M1228" s="55"/>
      <c r="N1228" s="52"/>
      <c r="O1228" s="53"/>
      <c r="P1228" s="54"/>
      <c r="Q1228" s="54"/>
      <c r="R1228" s="54"/>
      <c r="S1228" s="54"/>
      <c r="T1228" s="54"/>
      <c r="U1228" s="82"/>
    </row>
    <row r="1229" spans="2:21" x14ac:dyDescent="0.2">
      <c r="B1229" s="51"/>
      <c r="C1229" s="51"/>
      <c r="D1229" s="51"/>
      <c r="E1229" s="51"/>
      <c r="F1229" s="51"/>
      <c r="G1229" s="51"/>
      <c r="H1229" s="51"/>
      <c r="I1229" s="54"/>
      <c r="J1229" s="54"/>
      <c r="K1229" s="53"/>
      <c r="L1229" s="52"/>
      <c r="M1229" s="55"/>
      <c r="N1229" s="52"/>
      <c r="O1229" s="53"/>
      <c r="P1229" s="54"/>
      <c r="Q1229" s="54"/>
      <c r="R1229" s="54"/>
      <c r="S1229" s="54"/>
      <c r="T1229" s="54"/>
      <c r="U1229" s="82"/>
    </row>
    <row r="1230" spans="2:21" x14ac:dyDescent="0.2">
      <c r="B1230" s="51"/>
      <c r="C1230" s="51"/>
      <c r="D1230" s="51"/>
      <c r="E1230" s="51"/>
      <c r="F1230" s="51"/>
      <c r="G1230" s="51"/>
      <c r="H1230" s="51"/>
      <c r="I1230" s="54"/>
      <c r="J1230" s="54"/>
      <c r="K1230" s="53"/>
      <c r="L1230" s="52"/>
      <c r="M1230" s="55"/>
      <c r="N1230" s="52"/>
      <c r="O1230" s="53"/>
      <c r="P1230" s="54"/>
      <c r="Q1230" s="54"/>
      <c r="R1230" s="54"/>
      <c r="S1230" s="54"/>
      <c r="T1230" s="54"/>
      <c r="U1230" s="82"/>
    </row>
    <row r="1231" spans="2:21" x14ac:dyDescent="0.2">
      <c r="B1231" s="51"/>
      <c r="C1231" s="51"/>
      <c r="D1231" s="51"/>
      <c r="E1231" s="51"/>
      <c r="F1231" s="51"/>
      <c r="G1231" s="51"/>
      <c r="H1231" s="51"/>
      <c r="I1231" s="54"/>
      <c r="J1231" s="54"/>
      <c r="K1231" s="53"/>
      <c r="L1231" s="52"/>
      <c r="M1231" s="55"/>
      <c r="N1231" s="52"/>
      <c r="O1231" s="53"/>
      <c r="P1231" s="54"/>
      <c r="Q1231" s="54"/>
      <c r="R1231" s="54"/>
      <c r="S1231" s="54"/>
      <c r="T1231" s="54"/>
      <c r="U1231" s="82"/>
    </row>
    <row r="1232" spans="2:21" x14ac:dyDescent="0.2">
      <c r="B1232" s="51"/>
      <c r="C1232" s="51"/>
      <c r="D1232" s="51"/>
      <c r="E1232" s="51"/>
      <c r="F1232" s="51"/>
      <c r="G1232" s="51"/>
      <c r="H1232" s="51"/>
      <c r="I1232" s="54"/>
      <c r="J1232" s="54"/>
      <c r="K1232" s="53"/>
      <c r="L1232" s="52"/>
      <c r="M1232" s="55"/>
      <c r="N1232" s="52"/>
      <c r="O1232" s="53"/>
      <c r="P1232" s="54"/>
      <c r="Q1232" s="54"/>
      <c r="R1232" s="54"/>
      <c r="S1232" s="54"/>
      <c r="T1232" s="54"/>
      <c r="U1232" s="82"/>
    </row>
  </sheetData>
  <sheetProtection algorithmName="SHA-512" hashValue="z46p3OFbr4tqk6KmIsxby5oFLVSCH0DJfPZZ9sMksOa7q0bKp5Tck5w1yVPNrVeblQq/zoPA/jX9eGsqs4vsow==" saltValue="dW2lkXG1fAzvpwPLuyu2jw==" spinCount="100000" sheet="1" objects="1" scenarios="1"/>
  <mergeCells count="34">
    <mergeCell ref="B13:I13"/>
    <mergeCell ref="J13:K13"/>
    <mergeCell ref="D9:G9"/>
    <mergeCell ref="B9:C9"/>
    <mergeCell ref="B10:C10"/>
    <mergeCell ref="B11:C11"/>
    <mergeCell ref="B12:C12"/>
    <mergeCell ref="D10:G10"/>
    <mergeCell ref="D11:G11"/>
    <mergeCell ref="D12:G12"/>
    <mergeCell ref="H9:I9"/>
    <mergeCell ref="H10:I10"/>
    <mergeCell ref="H11:I11"/>
    <mergeCell ref="H12:I12"/>
    <mergeCell ref="J9:K9"/>
    <mergeCell ref="J10:K10"/>
    <mergeCell ref="J11:K11"/>
    <mergeCell ref="J12:K12"/>
    <mergeCell ref="R9:S9"/>
    <mergeCell ref="R10:S10"/>
    <mergeCell ref="L12:M12"/>
    <mergeCell ref="N12:O12"/>
    <mergeCell ref="P9:Q9"/>
    <mergeCell ref="P10:Q10"/>
    <mergeCell ref="P11:Q11"/>
    <mergeCell ref="R11:S11"/>
    <mergeCell ref="L13:M13"/>
    <mergeCell ref="N13:O13"/>
    <mergeCell ref="L9:M9"/>
    <mergeCell ref="N9:O9"/>
    <mergeCell ref="L10:M10"/>
    <mergeCell ref="N10:O10"/>
    <mergeCell ref="L11:M11"/>
    <mergeCell ref="N11:O11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5644-AF0A-464B-A722-C8E8ED2D7D14}">
  <sheetPr codeName="Sht_Lookup_CostCategory"/>
  <dimension ref="A1:F7"/>
  <sheetViews>
    <sheetView workbookViewId="0">
      <selection activeCell="A7" sqref="A7"/>
    </sheetView>
  </sheetViews>
  <sheetFormatPr defaultRowHeight="14.25" x14ac:dyDescent="0.2"/>
  <cols>
    <col min="1" max="1" width="24.75" bestFit="1" customWidth="1"/>
  </cols>
  <sheetData>
    <row r="1" spans="1:6" x14ac:dyDescent="0.2">
      <c r="A1" t="s">
        <v>1036</v>
      </c>
    </row>
    <row r="2" spans="1:6" x14ac:dyDescent="0.2">
      <c r="A2" t="s">
        <v>1037</v>
      </c>
      <c r="F2" t="s">
        <v>1037</v>
      </c>
    </row>
    <row r="3" spans="1:6" x14ac:dyDescent="0.2">
      <c r="A3" t="s">
        <v>1038</v>
      </c>
      <c r="F3" t="s">
        <v>1038</v>
      </c>
    </row>
    <row r="4" spans="1:6" x14ac:dyDescent="0.2">
      <c r="A4" t="s">
        <v>1039</v>
      </c>
      <c r="F4" t="s">
        <v>1039</v>
      </c>
    </row>
    <row r="5" spans="1:6" x14ac:dyDescent="0.2">
      <c r="A5" t="s">
        <v>1040</v>
      </c>
      <c r="F5" t="s">
        <v>1040</v>
      </c>
    </row>
    <row r="6" spans="1:6" x14ac:dyDescent="0.2">
      <c r="A6" t="s">
        <v>949</v>
      </c>
      <c r="F6" t="s">
        <v>949</v>
      </c>
    </row>
    <row r="7" spans="1:6" x14ac:dyDescent="0.2">
      <c r="A7" t="s">
        <v>1041</v>
      </c>
      <c r="F7" t="s">
        <v>1041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FF24-4BEC-41B3-A495-B0E3268C098F}">
  <sheetPr codeName="Sht_Lookup_CostItem"/>
  <dimension ref="A1:H42"/>
  <sheetViews>
    <sheetView workbookViewId="0">
      <selection activeCell="K19" sqref="K19"/>
    </sheetView>
  </sheetViews>
  <sheetFormatPr defaultRowHeight="14.25" x14ac:dyDescent="0.2"/>
  <cols>
    <col min="1" max="1" width="24.125" bestFit="1" customWidth="1"/>
    <col min="2" max="2" width="11.5" bestFit="1" customWidth="1"/>
  </cols>
  <sheetData>
    <row r="1" spans="1:8" x14ac:dyDescent="0.2">
      <c r="A1" t="s">
        <v>947</v>
      </c>
      <c r="B1" t="s">
        <v>471</v>
      </c>
    </row>
    <row r="2" spans="1:8" x14ac:dyDescent="0.2">
      <c r="A2" t="s">
        <v>1037</v>
      </c>
      <c r="B2" t="s">
        <v>1042</v>
      </c>
      <c r="F2">
        <f ca="1">IFERROR(MATCH(OFFSET($A$1,ROW()-1,0,1,1),A:A,0),"")</f>
        <v>2</v>
      </c>
      <c r="G2">
        <f ca="1">COUNTIF(F$2:F$40,F2)</f>
        <v>3</v>
      </c>
    </row>
    <row r="3" spans="1:8" x14ac:dyDescent="0.2">
      <c r="A3" t="s">
        <v>1037</v>
      </c>
      <c r="B3" t="s">
        <v>1043</v>
      </c>
      <c r="F3">
        <f ca="1">IFERROR(MATCH(OFFSET($A$1,ROW()-1,0,1,1),A:A,0),"")</f>
        <v>2</v>
      </c>
      <c r="G3">
        <f t="shared" ref="G3:G28" ca="1" si="0">COUNTIF(F$2:F$40,F3)</f>
        <v>3</v>
      </c>
    </row>
    <row r="4" spans="1:8" x14ac:dyDescent="0.2">
      <c r="A4" t="s">
        <v>1037</v>
      </c>
      <c r="B4" t="s">
        <v>1044</v>
      </c>
      <c r="F4">
        <f t="shared" ref="F4:F28" ca="1" si="1">IFERROR(MATCH(OFFSET($A$1,ROW()-1,0,1,1),A:A,0),"")</f>
        <v>2</v>
      </c>
      <c r="G4">
        <f t="shared" ca="1" si="0"/>
        <v>3</v>
      </c>
    </row>
    <row r="5" spans="1:8" x14ac:dyDescent="0.2">
      <c r="A5" t="s">
        <v>1038</v>
      </c>
      <c r="B5" t="s">
        <v>1045</v>
      </c>
      <c r="F5">
        <f t="shared" ca="1" si="1"/>
        <v>5</v>
      </c>
      <c r="G5">
        <f t="shared" ca="1" si="0"/>
        <v>7</v>
      </c>
    </row>
    <row r="6" spans="1:8" x14ac:dyDescent="0.2">
      <c r="A6" t="s">
        <v>1038</v>
      </c>
      <c r="B6" t="s">
        <v>1046</v>
      </c>
      <c r="F6">
        <f t="shared" ca="1" si="1"/>
        <v>5</v>
      </c>
      <c r="G6">
        <f t="shared" ca="1" si="0"/>
        <v>7</v>
      </c>
    </row>
    <row r="7" spans="1:8" x14ac:dyDescent="0.2">
      <c r="A7" t="s">
        <v>1038</v>
      </c>
      <c r="B7" t="s">
        <v>1047</v>
      </c>
      <c r="F7">
        <f t="shared" ca="1" si="1"/>
        <v>5</v>
      </c>
      <c r="G7">
        <f t="shared" ca="1" si="0"/>
        <v>7</v>
      </c>
    </row>
    <row r="8" spans="1:8" x14ac:dyDescent="0.2">
      <c r="A8" t="s">
        <v>1038</v>
      </c>
      <c r="B8" t="s">
        <v>1038</v>
      </c>
      <c r="F8">
        <f t="shared" ca="1" si="1"/>
        <v>5</v>
      </c>
      <c r="G8">
        <f t="shared" ca="1" si="0"/>
        <v>7</v>
      </c>
    </row>
    <row r="9" spans="1:8" x14ac:dyDescent="0.2">
      <c r="A9" t="s">
        <v>1038</v>
      </c>
      <c r="B9" t="s">
        <v>1048</v>
      </c>
      <c r="F9">
        <f t="shared" ca="1" si="1"/>
        <v>5</v>
      </c>
      <c r="G9">
        <f t="shared" ca="1" si="0"/>
        <v>7</v>
      </c>
    </row>
    <row r="10" spans="1:8" x14ac:dyDescent="0.2">
      <c r="A10" t="s">
        <v>1038</v>
      </c>
      <c r="B10" t="s">
        <v>1049</v>
      </c>
      <c r="F10">
        <f t="shared" ca="1" si="1"/>
        <v>5</v>
      </c>
      <c r="G10">
        <f t="shared" ca="1" si="0"/>
        <v>7</v>
      </c>
    </row>
    <row r="11" spans="1:8" x14ac:dyDescent="0.2">
      <c r="A11" t="s">
        <v>1038</v>
      </c>
      <c r="B11" t="s">
        <v>1050</v>
      </c>
      <c r="F11">
        <f t="shared" ca="1" si="1"/>
        <v>5</v>
      </c>
      <c r="G11">
        <f t="shared" ca="1" si="0"/>
        <v>7</v>
      </c>
    </row>
    <row r="12" spans="1:8" x14ac:dyDescent="0.2">
      <c r="A12" t="s">
        <v>1039</v>
      </c>
      <c r="B12" t="s">
        <v>1051</v>
      </c>
      <c r="F12">
        <f t="shared" ca="1" si="1"/>
        <v>12</v>
      </c>
      <c r="G12">
        <f t="shared" ca="1" si="0"/>
        <v>4</v>
      </c>
    </row>
    <row r="13" spans="1:8" x14ac:dyDescent="0.2">
      <c r="A13" t="s">
        <v>1039</v>
      </c>
      <c r="B13" t="s">
        <v>1038</v>
      </c>
      <c r="F13">
        <f t="shared" ca="1" si="1"/>
        <v>12</v>
      </c>
      <c r="G13">
        <f t="shared" ca="1" si="0"/>
        <v>4</v>
      </c>
    </row>
    <row r="14" spans="1:8" x14ac:dyDescent="0.2">
      <c r="A14" t="s">
        <v>1039</v>
      </c>
      <c r="B14" t="s">
        <v>1052</v>
      </c>
      <c r="F14">
        <f t="shared" ca="1" si="1"/>
        <v>12</v>
      </c>
      <c r="G14">
        <f t="shared" ca="1" si="0"/>
        <v>4</v>
      </c>
    </row>
    <row r="15" spans="1:8" ht="15" thickBot="1" x14ac:dyDescent="0.25">
      <c r="A15" t="s">
        <v>1039</v>
      </c>
      <c r="B15" t="s">
        <v>1053</v>
      </c>
      <c r="F15">
        <f t="shared" ca="1" si="1"/>
        <v>12</v>
      </c>
      <c r="G15">
        <f t="shared" ca="1" si="0"/>
        <v>4</v>
      </c>
    </row>
    <row r="16" spans="1:8" ht="15" thickBot="1" x14ac:dyDescent="0.25">
      <c r="A16" t="s">
        <v>1040</v>
      </c>
      <c r="B16" t="s">
        <v>1054</v>
      </c>
      <c r="F16">
        <f t="shared" ca="1" si="1"/>
        <v>16</v>
      </c>
      <c r="G16">
        <f t="shared" ca="1" si="0"/>
        <v>3</v>
      </c>
      <c r="H16" s="137"/>
    </row>
    <row r="17" spans="1:8" ht="15" thickBot="1" x14ac:dyDescent="0.25">
      <c r="A17" t="s">
        <v>1040</v>
      </c>
      <c r="B17" t="s">
        <v>1055</v>
      </c>
      <c r="F17">
        <f t="shared" ca="1" si="1"/>
        <v>16</v>
      </c>
      <c r="G17">
        <f t="shared" ca="1" si="0"/>
        <v>3</v>
      </c>
      <c r="H17" s="139"/>
    </row>
    <row r="18" spans="1:8" ht="15" thickBot="1" x14ac:dyDescent="0.25">
      <c r="A18" t="s">
        <v>1040</v>
      </c>
      <c r="B18" t="s">
        <v>1056</v>
      </c>
      <c r="F18">
        <f t="shared" ca="1" si="1"/>
        <v>16</v>
      </c>
      <c r="G18">
        <f t="shared" ca="1" si="0"/>
        <v>3</v>
      </c>
      <c r="H18" s="139"/>
    </row>
    <row r="19" spans="1:8" ht="15" thickBot="1" x14ac:dyDescent="0.25">
      <c r="A19" t="s">
        <v>949</v>
      </c>
      <c r="B19" t="s">
        <v>1057</v>
      </c>
      <c r="F19">
        <f t="shared" ca="1" si="1"/>
        <v>19</v>
      </c>
      <c r="G19">
        <f t="shared" ca="1" si="0"/>
        <v>9</v>
      </c>
      <c r="H19" s="137"/>
    </row>
    <row r="20" spans="1:8" ht="15" thickBot="1" x14ac:dyDescent="0.25">
      <c r="A20" t="s">
        <v>949</v>
      </c>
      <c r="B20" t="s">
        <v>1058</v>
      </c>
      <c r="F20">
        <f t="shared" ca="1" si="1"/>
        <v>19</v>
      </c>
      <c r="G20">
        <f t="shared" ca="1" si="0"/>
        <v>9</v>
      </c>
      <c r="H20" s="139"/>
    </row>
    <row r="21" spans="1:8" ht="15" thickBot="1" x14ac:dyDescent="0.25">
      <c r="A21" t="s">
        <v>949</v>
      </c>
      <c r="B21" t="s">
        <v>1059</v>
      </c>
      <c r="F21">
        <f t="shared" ca="1" si="1"/>
        <v>19</v>
      </c>
      <c r="G21">
        <f t="shared" ca="1" si="0"/>
        <v>9</v>
      </c>
      <c r="H21" s="139"/>
    </row>
    <row r="22" spans="1:8" ht="15" thickBot="1" x14ac:dyDescent="0.25">
      <c r="A22" t="s">
        <v>949</v>
      </c>
      <c r="B22" t="s">
        <v>1060</v>
      </c>
      <c r="F22">
        <f t="shared" ca="1" si="1"/>
        <v>19</v>
      </c>
      <c r="G22">
        <f t="shared" ca="1" si="0"/>
        <v>9</v>
      </c>
      <c r="H22" s="140"/>
    </row>
    <row r="23" spans="1:8" ht="15" thickBot="1" x14ac:dyDescent="0.25">
      <c r="A23" t="s">
        <v>949</v>
      </c>
      <c r="B23" t="s">
        <v>1061</v>
      </c>
      <c r="F23">
        <f t="shared" ca="1" si="1"/>
        <v>19</v>
      </c>
      <c r="G23">
        <f t="shared" ca="1" si="0"/>
        <v>9</v>
      </c>
      <c r="H23" s="139"/>
    </row>
    <row r="24" spans="1:8" ht="15" thickBot="1" x14ac:dyDescent="0.25">
      <c r="A24" t="s">
        <v>949</v>
      </c>
      <c r="B24" t="s">
        <v>1062</v>
      </c>
      <c r="F24">
        <f t="shared" ca="1" si="1"/>
        <v>19</v>
      </c>
      <c r="G24">
        <f t="shared" ca="1" si="0"/>
        <v>9</v>
      </c>
      <c r="H24" s="139"/>
    </row>
    <row r="25" spans="1:8" ht="15" thickBot="1" x14ac:dyDescent="0.25">
      <c r="A25" t="s">
        <v>949</v>
      </c>
      <c r="B25" t="s">
        <v>1063</v>
      </c>
      <c r="F25">
        <f t="shared" ca="1" si="1"/>
        <v>19</v>
      </c>
      <c r="G25">
        <f t="shared" ca="1" si="0"/>
        <v>9</v>
      </c>
      <c r="H25" s="139"/>
    </row>
    <row r="26" spans="1:8" ht="15" thickBot="1" x14ac:dyDescent="0.25">
      <c r="A26" t="s">
        <v>949</v>
      </c>
      <c r="B26" t="s">
        <v>1064</v>
      </c>
      <c r="F26">
        <f t="shared" ca="1" si="1"/>
        <v>19</v>
      </c>
      <c r="G26">
        <f t="shared" ca="1" si="0"/>
        <v>9</v>
      </c>
      <c r="H26" s="142"/>
    </row>
    <row r="27" spans="1:8" ht="15" thickBot="1" x14ac:dyDescent="0.25">
      <c r="A27" t="s">
        <v>949</v>
      </c>
      <c r="B27" t="s">
        <v>1065</v>
      </c>
      <c r="F27">
        <f t="shared" ca="1" si="1"/>
        <v>19</v>
      </c>
      <c r="G27">
        <f t="shared" ca="1" si="0"/>
        <v>9</v>
      </c>
      <c r="H27" s="137"/>
    </row>
    <row r="28" spans="1:8" ht="15" thickBot="1" x14ac:dyDescent="0.25">
      <c r="A28" t="s">
        <v>1041</v>
      </c>
      <c r="B28" t="s">
        <v>1066</v>
      </c>
      <c r="F28">
        <f t="shared" ca="1" si="1"/>
        <v>28</v>
      </c>
      <c r="G28">
        <f t="shared" ca="1" si="0"/>
        <v>1</v>
      </c>
      <c r="H28" s="141"/>
    </row>
    <row r="29" spans="1:8" ht="15" thickBot="1" x14ac:dyDescent="0.25">
      <c r="G29" s="138"/>
      <c r="H29" s="139"/>
    </row>
    <row r="30" spans="1:8" ht="15" thickBot="1" x14ac:dyDescent="0.25">
      <c r="G30" s="138"/>
      <c r="H30" s="140"/>
    </row>
    <row r="31" spans="1:8" ht="15" thickBot="1" x14ac:dyDescent="0.25">
      <c r="G31" s="142"/>
      <c r="H31" s="142"/>
    </row>
    <row r="32" spans="1:8" ht="15" thickBot="1" x14ac:dyDescent="0.25">
      <c r="G32" s="136"/>
      <c r="H32" s="143"/>
    </row>
    <row r="33" spans="7:8" ht="15" thickBot="1" x14ac:dyDescent="0.25">
      <c r="G33" s="138"/>
      <c r="H33" s="139"/>
    </row>
    <row r="34" spans="7:8" ht="15" thickBot="1" x14ac:dyDescent="0.25">
      <c r="G34" s="138"/>
      <c r="H34" s="139"/>
    </row>
    <row r="35" spans="7:8" ht="15" thickBot="1" x14ac:dyDescent="0.25">
      <c r="G35" s="142"/>
      <c r="H35" s="144"/>
    </row>
    <row r="36" spans="7:8" ht="15" thickBot="1" x14ac:dyDescent="0.25">
      <c r="G36" s="136"/>
      <c r="H36" s="137"/>
    </row>
    <row r="37" spans="7:8" ht="15" thickBot="1" x14ac:dyDescent="0.25">
      <c r="G37" s="138"/>
      <c r="H37" s="139"/>
    </row>
    <row r="38" spans="7:8" ht="15" thickBot="1" x14ac:dyDescent="0.25">
      <c r="G38" s="138"/>
      <c r="H38" s="139"/>
    </row>
    <row r="39" spans="7:8" ht="15" thickBot="1" x14ac:dyDescent="0.25">
      <c r="G39" s="138"/>
      <c r="H39" s="139"/>
    </row>
    <row r="40" spans="7:8" ht="15" thickBot="1" x14ac:dyDescent="0.25">
      <c r="G40" s="138"/>
      <c r="H40" s="139"/>
    </row>
    <row r="41" spans="7:8" ht="15" thickBot="1" x14ac:dyDescent="0.25">
      <c r="G41" s="138"/>
      <c r="H41" s="141"/>
    </row>
    <row r="42" spans="7:8" ht="15" thickBot="1" x14ac:dyDescent="0.25">
      <c r="H42" s="139"/>
    </row>
  </sheetData>
  <sortState xmlns:xlrd2="http://schemas.microsoft.com/office/spreadsheetml/2017/richdata2" ref="A2:B8">
    <sortCondition ref="A2:A8"/>
    <sortCondition ref="B2:B8"/>
  </sortState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3F194-1B56-4340-9915-E187D91F63FA}">
  <sheetPr codeName="Sht_Lookup_AssetClass"/>
  <dimension ref="A1:D31"/>
  <sheetViews>
    <sheetView workbookViewId="0">
      <selection activeCell="C39" sqref="C39"/>
    </sheetView>
  </sheetViews>
  <sheetFormatPr defaultRowHeight="14.25" x14ac:dyDescent="0.2"/>
  <cols>
    <col min="1" max="1" width="27.75" bestFit="1" customWidth="1"/>
    <col min="2" max="2" width="11.75" bestFit="1" customWidth="1"/>
    <col min="3" max="3" width="57.375" bestFit="1" customWidth="1"/>
    <col min="4" max="4" width="18.25" bestFit="1" customWidth="1"/>
  </cols>
  <sheetData>
    <row r="1" spans="1:4" x14ac:dyDescent="0.2">
      <c r="A1" t="s">
        <v>1067</v>
      </c>
      <c r="B1" t="s">
        <v>468</v>
      </c>
      <c r="C1" t="s">
        <v>469</v>
      </c>
      <c r="D1" t="s">
        <v>1068</v>
      </c>
    </row>
    <row r="2" spans="1:4" x14ac:dyDescent="0.2">
      <c r="A2" s="4" t="s">
        <v>395</v>
      </c>
      <c r="B2" s="4" t="s">
        <v>471</v>
      </c>
      <c r="C2" s="4" t="s">
        <v>1069</v>
      </c>
      <c r="D2" s="4" t="s">
        <v>1070</v>
      </c>
    </row>
    <row r="3" spans="1:4" x14ac:dyDescent="0.2">
      <c r="A3" s="4" t="s">
        <v>396</v>
      </c>
      <c r="B3" s="4" t="s">
        <v>471</v>
      </c>
      <c r="C3" s="4" t="s">
        <v>1069</v>
      </c>
      <c r="D3" s="4" t="s">
        <v>1071</v>
      </c>
    </row>
    <row r="4" spans="1:4" x14ac:dyDescent="0.2">
      <c r="A4" s="4" t="s">
        <v>398</v>
      </c>
      <c r="B4" s="4" t="s">
        <v>471</v>
      </c>
      <c r="C4" s="4" t="s">
        <v>1069</v>
      </c>
      <c r="D4" s="4" t="s">
        <v>1071</v>
      </c>
    </row>
    <row r="5" spans="1:4" x14ac:dyDescent="0.2">
      <c r="A5" s="4" t="s">
        <v>394</v>
      </c>
      <c r="B5" s="4" t="s">
        <v>471</v>
      </c>
      <c r="C5" s="4" t="s">
        <v>1069</v>
      </c>
      <c r="D5" s="4" t="s">
        <v>1071</v>
      </c>
    </row>
    <row r="6" spans="1:4" x14ac:dyDescent="0.2">
      <c r="A6" s="4" t="s">
        <v>441</v>
      </c>
      <c r="B6" s="4" t="s">
        <v>471</v>
      </c>
      <c r="C6" s="4" t="s">
        <v>1069</v>
      </c>
      <c r="D6" s="4" t="s">
        <v>1072</v>
      </c>
    </row>
    <row r="7" spans="1:4" x14ac:dyDescent="0.2">
      <c r="A7" s="4" t="s">
        <v>432</v>
      </c>
      <c r="B7" s="4" t="s">
        <v>471</v>
      </c>
      <c r="C7" s="4" t="s">
        <v>1069</v>
      </c>
      <c r="D7" s="4" t="s">
        <v>1072</v>
      </c>
    </row>
    <row r="8" spans="1:4" x14ac:dyDescent="0.2">
      <c r="A8" s="4" t="s">
        <v>353</v>
      </c>
      <c r="B8" s="4" t="s">
        <v>471</v>
      </c>
      <c r="C8" s="4" t="s">
        <v>1069</v>
      </c>
      <c r="D8" s="4" t="s">
        <v>1072</v>
      </c>
    </row>
    <row r="9" spans="1:4" x14ac:dyDescent="0.2">
      <c r="A9" s="4" t="s">
        <v>378</v>
      </c>
      <c r="B9" s="4" t="s">
        <v>471</v>
      </c>
      <c r="C9" s="4" t="s">
        <v>1069</v>
      </c>
      <c r="D9" s="4" t="s">
        <v>1072</v>
      </c>
    </row>
    <row r="10" spans="1:4" x14ac:dyDescent="0.2">
      <c r="A10" s="4" t="s">
        <v>251</v>
      </c>
      <c r="B10" s="4" t="s">
        <v>471</v>
      </c>
      <c r="C10" s="4" t="s">
        <v>1069</v>
      </c>
      <c r="D10" s="4" t="s">
        <v>1073</v>
      </c>
    </row>
    <row r="11" spans="1:4" x14ac:dyDescent="0.2">
      <c r="A11" s="4" t="s">
        <v>272</v>
      </c>
      <c r="B11" s="4" t="s">
        <v>471</v>
      </c>
      <c r="C11" s="4" t="s">
        <v>1069</v>
      </c>
      <c r="D11" s="4" t="s">
        <v>1074</v>
      </c>
    </row>
    <row r="12" spans="1:4" x14ac:dyDescent="0.2">
      <c r="A12" s="4" t="s">
        <v>281</v>
      </c>
      <c r="B12" s="4" t="s">
        <v>471</v>
      </c>
      <c r="C12" s="4" t="s">
        <v>1069</v>
      </c>
      <c r="D12" s="4" t="s">
        <v>1075</v>
      </c>
    </row>
    <row r="13" spans="1:4" x14ac:dyDescent="0.2">
      <c r="A13" s="4" t="s">
        <v>1076</v>
      </c>
      <c r="B13" s="4" t="s">
        <v>471</v>
      </c>
      <c r="C13" s="4" t="s">
        <v>1069</v>
      </c>
      <c r="D13" s="4"/>
    </row>
    <row r="14" spans="1:4" x14ac:dyDescent="0.2">
      <c r="A14" s="4" t="s">
        <v>287</v>
      </c>
      <c r="B14" s="4" t="s">
        <v>471</v>
      </c>
      <c r="C14" s="4" t="s">
        <v>1069</v>
      </c>
      <c r="D14" s="4" t="s">
        <v>1074</v>
      </c>
    </row>
    <row r="15" spans="1:4" x14ac:dyDescent="0.2">
      <c r="A15" s="4" t="s">
        <v>316</v>
      </c>
      <c r="B15" s="4" t="s">
        <v>471</v>
      </c>
      <c r="C15" s="4" t="s">
        <v>1069</v>
      </c>
      <c r="D15" s="4" t="s">
        <v>1077</v>
      </c>
    </row>
    <row r="16" spans="1:4" x14ac:dyDescent="0.2">
      <c r="A16" s="4" t="s">
        <v>364</v>
      </c>
      <c r="B16" s="4" t="s">
        <v>471</v>
      </c>
      <c r="C16" s="4" t="s">
        <v>1069</v>
      </c>
      <c r="D16" s="4" t="s">
        <v>1073</v>
      </c>
    </row>
    <row r="17" spans="1:4" x14ac:dyDescent="0.2">
      <c r="A17" s="4" t="s">
        <v>339</v>
      </c>
      <c r="B17" s="4" t="s">
        <v>471</v>
      </c>
      <c r="C17" s="4" t="s">
        <v>1069</v>
      </c>
      <c r="D17" s="4" t="s">
        <v>1075</v>
      </c>
    </row>
    <row r="18" spans="1:4" x14ac:dyDescent="0.2">
      <c r="A18" s="4" t="s">
        <v>289</v>
      </c>
      <c r="B18" s="4" t="s">
        <v>471</v>
      </c>
      <c r="C18" s="4" t="s">
        <v>1069</v>
      </c>
      <c r="D18" s="4" t="s">
        <v>1078</v>
      </c>
    </row>
    <row r="19" spans="1:4" x14ac:dyDescent="0.2">
      <c r="A19" s="4" t="s">
        <v>372</v>
      </c>
      <c r="B19" s="4" t="s">
        <v>471</v>
      </c>
      <c r="C19" s="4" t="s">
        <v>1069</v>
      </c>
      <c r="D19" s="4" t="s">
        <v>1079</v>
      </c>
    </row>
    <row r="20" spans="1:4" x14ac:dyDescent="0.2">
      <c r="A20" s="4" t="s">
        <v>375</v>
      </c>
      <c r="B20" s="4" t="s">
        <v>471</v>
      </c>
      <c r="C20" s="4" t="s">
        <v>1069</v>
      </c>
      <c r="D20" s="4" t="s">
        <v>1080</v>
      </c>
    </row>
    <row r="21" spans="1:4" x14ac:dyDescent="0.2">
      <c r="A21" s="4" t="s">
        <v>328</v>
      </c>
      <c r="B21" s="4" t="s">
        <v>471</v>
      </c>
      <c r="C21" s="4" t="s">
        <v>1069</v>
      </c>
      <c r="D21" s="4" t="s">
        <v>1080</v>
      </c>
    </row>
    <row r="22" spans="1:4" x14ac:dyDescent="0.2">
      <c r="A22" s="4" t="s">
        <v>454</v>
      </c>
      <c r="B22" s="4" t="s">
        <v>471</v>
      </c>
      <c r="C22" s="4" t="s">
        <v>1069</v>
      </c>
      <c r="D22" s="4" t="s">
        <v>1081</v>
      </c>
    </row>
    <row r="23" spans="1:4" x14ac:dyDescent="0.2">
      <c r="A23" s="4" t="s">
        <v>460</v>
      </c>
      <c r="B23" s="4" t="s">
        <v>471</v>
      </c>
      <c r="C23" s="4" t="s">
        <v>1069</v>
      </c>
      <c r="D23" s="4" t="s">
        <v>1080</v>
      </c>
    </row>
    <row r="24" spans="1:4" x14ac:dyDescent="0.2">
      <c r="A24" s="4" t="s">
        <v>415</v>
      </c>
      <c r="B24" s="4" t="s">
        <v>471</v>
      </c>
      <c r="C24" s="4" t="s">
        <v>1069</v>
      </c>
      <c r="D24" s="4" t="s">
        <v>1080</v>
      </c>
    </row>
    <row r="25" spans="1:4" x14ac:dyDescent="0.2">
      <c r="A25" s="4" t="s">
        <v>222</v>
      </c>
      <c r="B25" s="4" t="s">
        <v>471</v>
      </c>
      <c r="C25" s="4" t="s">
        <v>1069</v>
      </c>
      <c r="D25" s="4" t="s">
        <v>1080</v>
      </c>
    </row>
    <row r="26" spans="1:4" x14ac:dyDescent="0.2">
      <c r="A26" s="4" t="s">
        <v>383</v>
      </c>
      <c r="B26" s="4" t="s">
        <v>471</v>
      </c>
      <c r="C26" s="4" t="s">
        <v>1069</v>
      </c>
      <c r="D26" s="4" t="s">
        <v>1080</v>
      </c>
    </row>
    <row r="27" spans="1:4" x14ac:dyDescent="0.2">
      <c r="A27" s="4" t="s">
        <v>367</v>
      </c>
      <c r="B27" s="4" t="s">
        <v>471</v>
      </c>
      <c r="C27" s="4" t="s">
        <v>1069</v>
      </c>
      <c r="D27" s="4" t="s">
        <v>1082</v>
      </c>
    </row>
    <row r="28" spans="1:4" x14ac:dyDescent="0.2">
      <c r="A28" s="4" t="s">
        <v>381</v>
      </c>
      <c r="B28" s="4" t="s">
        <v>471</v>
      </c>
      <c r="C28" s="4" t="s">
        <v>1069</v>
      </c>
      <c r="D28" s="4" t="s">
        <v>1082</v>
      </c>
    </row>
    <row r="29" spans="1:4" x14ac:dyDescent="0.2">
      <c r="A29" s="4" t="s">
        <v>368</v>
      </c>
      <c r="B29" s="4" t="s">
        <v>471</v>
      </c>
      <c r="C29" s="4" t="s">
        <v>1069</v>
      </c>
      <c r="D29" s="4" t="s">
        <v>1082</v>
      </c>
    </row>
    <row r="30" spans="1:4" x14ac:dyDescent="0.2">
      <c r="A30" s="4" t="s">
        <v>284</v>
      </c>
      <c r="B30" s="4" t="s">
        <v>471</v>
      </c>
      <c r="C30" s="4" t="s">
        <v>1069</v>
      </c>
      <c r="D30" s="4" t="s">
        <v>1083</v>
      </c>
    </row>
    <row r="31" spans="1:4" x14ac:dyDescent="0.2">
      <c r="A31" s="4" t="s">
        <v>258</v>
      </c>
      <c r="B31" s="4" t="s">
        <v>471</v>
      </c>
      <c r="C31" s="4" t="s">
        <v>1069</v>
      </c>
      <c r="D31" s="4" t="s">
        <v>1084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690D7-4ACF-4462-95CE-A0FADC9F3B1D}">
  <sheetPr codeName="Assetic_DisposedValuations">
    <tabColor rgb="FF008DA8"/>
  </sheetPr>
  <dimension ref="A1:L58"/>
  <sheetViews>
    <sheetView workbookViewId="0">
      <selection activeCell="D2" sqref="D2:D58"/>
    </sheetView>
  </sheetViews>
  <sheetFormatPr defaultRowHeight="14.25" x14ac:dyDescent="0.2"/>
  <cols>
    <col min="1" max="1" width="16.75" bestFit="1" customWidth="1"/>
    <col min="2" max="2" width="7.375" bestFit="1" customWidth="1"/>
    <col min="3" max="3" width="15.875" bestFit="1" customWidth="1"/>
    <col min="4" max="4" width="24" bestFit="1" customWidth="1"/>
    <col min="5" max="5" width="12.625" style="120" bestFit="1" customWidth="1"/>
    <col min="6" max="6" width="19.5" bestFit="1" customWidth="1"/>
    <col min="7" max="7" width="12.25" bestFit="1" customWidth="1"/>
    <col min="8" max="8" width="16.5" bestFit="1" customWidth="1"/>
    <col min="9" max="9" width="15.75" bestFit="1" customWidth="1"/>
    <col min="10" max="10" width="11.5" bestFit="1" customWidth="1"/>
    <col min="11" max="11" width="73.875" bestFit="1" customWidth="1"/>
    <col min="12" max="12" width="10" bestFit="1" customWidth="1"/>
  </cols>
  <sheetData>
    <row r="1" spans="1:12" ht="50.1" customHeight="1" x14ac:dyDescent="0.2">
      <c r="A1" t="s">
        <v>1085</v>
      </c>
      <c r="B1" t="s">
        <v>1086</v>
      </c>
      <c r="C1" t="s">
        <v>955</v>
      </c>
      <c r="D1" t="s">
        <v>973</v>
      </c>
      <c r="E1" s="120" t="s">
        <v>970</v>
      </c>
      <c r="F1" t="s">
        <v>991</v>
      </c>
      <c r="G1" t="s">
        <v>1087</v>
      </c>
      <c r="H1" t="s">
        <v>1088</v>
      </c>
      <c r="I1" t="s">
        <v>1089</v>
      </c>
      <c r="J1" s="102" t="s">
        <v>1090</v>
      </c>
      <c r="K1" s="102" t="s">
        <v>475</v>
      </c>
      <c r="L1" s="102" t="s">
        <v>935</v>
      </c>
    </row>
    <row r="2" spans="1:12" x14ac:dyDescent="0.2">
      <c r="B2">
        <v>214143</v>
      </c>
      <c r="C2" t="s">
        <v>56</v>
      </c>
      <c r="D2" t="s">
        <v>1564</v>
      </c>
      <c r="E2" s="120">
        <v>45974</v>
      </c>
      <c r="F2" t="s">
        <v>1562</v>
      </c>
      <c r="G2" t="s">
        <v>1433</v>
      </c>
      <c r="J2" t="s">
        <v>1295</v>
      </c>
      <c r="K2" t="s">
        <v>1296</v>
      </c>
    </row>
    <row r="3" spans="1:12" x14ac:dyDescent="0.2">
      <c r="B3">
        <v>214143</v>
      </c>
      <c r="C3" t="s">
        <v>63</v>
      </c>
      <c r="D3" t="s">
        <v>1565</v>
      </c>
      <c r="E3" s="120">
        <v>45974</v>
      </c>
      <c r="F3" t="s">
        <v>1562</v>
      </c>
      <c r="G3" t="s">
        <v>1433</v>
      </c>
      <c r="J3" t="s">
        <v>1295</v>
      </c>
      <c r="K3" t="s">
        <v>1296</v>
      </c>
    </row>
    <row r="4" spans="1:12" x14ac:dyDescent="0.2">
      <c r="B4">
        <v>214144</v>
      </c>
      <c r="C4" t="s">
        <v>56</v>
      </c>
      <c r="D4" t="s">
        <v>1566</v>
      </c>
      <c r="E4" s="120">
        <v>45974</v>
      </c>
      <c r="F4" t="s">
        <v>1562</v>
      </c>
      <c r="G4" t="s">
        <v>1433</v>
      </c>
      <c r="J4" t="s">
        <v>1295</v>
      </c>
      <c r="K4" t="s">
        <v>1296</v>
      </c>
    </row>
    <row r="5" spans="1:12" x14ac:dyDescent="0.2">
      <c r="B5">
        <v>214144</v>
      </c>
      <c r="C5" t="s">
        <v>63</v>
      </c>
      <c r="D5" t="s">
        <v>1567</v>
      </c>
      <c r="E5" s="120">
        <v>45974</v>
      </c>
      <c r="F5" t="s">
        <v>1562</v>
      </c>
      <c r="G5" t="s">
        <v>1433</v>
      </c>
      <c r="J5" t="s">
        <v>1295</v>
      </c>
      <c r="K5" t="s">
        <v>1296</v>
      </c>
    </row>
    <row r="6" spans="1:12" x14ac:dyDescent="0.2">
      <c r="B6">
        <v>214145</v>
      </c>
      <c r="C6" t="s">
        <v>56</v>
      </c>
      <c r="D6" t="s">
        <v>1568</v>
      </c>
      <c r="E6" s="120">
        <v>45974</v>
      </c>
      <c r="F6" t="s">
        <v>1562</v>
      </c>
      <c r="G6" t="s">
        <v>1433</v>
      </c>
      <c r="J6" t="s">
        <v>1295</v>
      </c>
      <c r="K6" t="s">
        <v>1296</v>
      </c>
    </row>
    <row r="7" spans="1:12" x14ac:dyDescent="0.2">
      <c r="B7">
        <v>214145</v>
      </c>
      <c r="C7" t="s">
        <v>63</v>
      </c>
      <c r="D7" t="s">
        <v>1569</v>
      </c>
      <c r="E7" s="120">
        <v>45974</v>
      </c>
      <c r="F7" t="s">
        <v>1562</v>
      </c>
      <c r="G7" t="s">
        <v>1433</v>
      </c>
      <c r="J7" t="s">
        <v>1295</v>
      </c>
      <c r="K7" t="s">
        <v>1296</v>
      </c>
    </row>
    <row r="8" spans="1:12" x14ac:dyDescent="0.2">
      <c r="B8">
        <v>214146</v>
      </c>
      <c r="C8" t="s">
        <v>56</v>
      </c>
      <c r="D8" t="s">
        <v>1570</v>
      </c>
      <c r="E8" s="120">
        <v>45974</v>
      </c>
      <c r="F8" t="s">
        <v>1562</v>
      </c>
      <c r="G8" t="s">
        <v>1433</v>
      </c>
      <c r="J8" t="s">
        <v>1295</v>
      </c>
      <c r="K8" t="s">
        <v>1296</v>
      </c>
    </row>
    <row r="9" spans="1:12" x14ac:dyDescent="0.2">
      <c r="B9">
        <v>214146</v>
      </c>
      <c r="C9" t="s">
        <v>63</v>
      </c>
      <c r="D9" t="s">
        <v>1571</v>
      </c>
      <c r="E9" s="120">
        <v>45974</v>
      </c>
      <c r="F9" t="s">
        <v>1562</v>
      </c>
      <c r="G9" t="s">
        <v>1433</v>
      </c>
      <c r="J9" t="s">
        <v>1295</v>
      </c>
      <c r="K9" t="s">
        <v>1296</v>
      </c>
    </row>
    <row r="10" spans="1:12" x14ac:dyDescent="0.2">
      <c r="B10">
        <v>214147</v>
      </c>
      <c r="C10" t="s">
        <v>56</v>
      </c>
      <c r="D10" t="s">
        <v>1572</v>
      </c>
      <c r="E10" s="120">
        <v>45974</v>
      </c>
      <c r="F10" t="s">
        <v>1562</v>
      </c>
      <c r="G10" t="s">
        <v>1433</v>
      </c>
      <c r="J10" t="s">
        <v>1295</v>
      </c>
      <c r="K10" t="s">
        <v>1296</v>
      </c>
    </row>
    <row r="11" spans="1:12" x14ac:dyDescent="0.2">
      <c r="B11">
        <v>214147</v>
      </c>
      <c r="C11" t="s">
        <v>63</v>
      </c>
      <c r="D11" t="s">
        <v>1573</v>
      </c>
      <c r="E11" s="120">
        <v>45974</v>
      </c>
      <c r="F11" t="s">
        <v>1562</v>
      </c>
      <c r="G11" t="s">
        <v>1433</v>
      </c>
      <c r="J11" t="s">
        <v>1295</v>
      </c>
      <c r="K11" t="s">
        <v>1296</v>
      </c>
    </row>
    <row r="12" spans="1:12" x14ac:dyDescent="0.2">
      <c r="B12">
        <v>214148</v>
      </c>
      <c r="C12" t="s">
        <v>56</v>
      </c>
      <c r="D12" t="s">
        <v>1574</v>
      </c>
      <c r="E12" s="120">
        <v>45974</v>
      </c>
      <c r="F12" t="s">
        <v>1562</v>
      </c>
      <c r="G12" t="s">
        <v>1433</v>
      </c>
      <c r="J12" t="s">
        <v>1295</v>
      </c>
      <c r="K12" t="s">
        <v>1296</v>
      </c>
    </row>
    <row r="13" spans="1:12" x14ac:dyDescent="0.2">
      <c r="B13">
        <v>214148</v>
      </c>
      <c r="C13" t="s">
        <v>63</v>
      </c>
      <c r="D13" t="s">
        <v>1575</v>
      </c>
      <c r="E13" s="120">
        <v>45974</v>
      </c>
      <c r="F13" t="s">
        <v>1562</v>
      </c>
      <c r="G13" t="s">
        <v>1433</v>
      </c>
      <c r="J13" t="s">
        <v>1295</v>
      </c>
      <c r="K13" t="s">
        <v>1296</v>
      </c>
    </row>
    <row r="14" spans="1:12" x14ac:dyDescent="0.2">
      <c r="B14">
        <v>214149</v>
      </c>
      <c r="C14" t="s">
        <v>56</v>
      </c>
      <c r="D14" t="s">
        <v>1576</v>
      </c>
      <c r="E14" s="120">
        <v>45974</v>
      </c>
      <c r="F14" t="s">
        <v>1562</v>
      </c>
      <c r="G14" t="s">
        <v>1433</v>
      </c>
      <c r="J14" t="s">
        <v>1295</v>
      </c>
      <c r="K14" t="s">
        <v>1296</v>
      </c>
    </row>
    <row r="15" spans="1:12" x14ac:dyDescent="0.2">
      <c r="B15">
        <v>214149</v>
      </c>
      <c r="C15" t="s">
        <v>63</v>
      </c>
      <c r="D15" t="s">
        <v>1577</v>
      </c>
      <c r="E15" s="120">
        <v>45974</v>
      </c>
      <c r="F15" t="s">
        <v>1562</v>
      </c>
      <c r="G15" t="s">
        <v>1433</v>
      </c>
      <c r="J15" t="s">
        <v>1295</v>
      </c>
      <c r="K15" t="s">
        <v>1296</v>
      </c>
    </row>
    <row r="16" spans="1:12" x14ac:dyDescent="0.2">
      <c r="B16">
        <v>214150</v>
      </c>
      <c r="C16" t="s">
        <v>56</v>
      </c>
      <c r="D16" t="s">
        <v>1578</v>
      </c>
      <c r="E16" s="120">
        <v>45974</v>
      </c>
      <c r="F16" t="s">
        <v>1562</v>
      </c>
      <c r="G16" t="s">
        <v>1433</v>
      </c>
      <c r="J16" t="s">
        <v>1295</v>
      </c>
      <c r="K16" t="s">
        <v>1296</v>
      </c>
    </row>
    <row r="17" spans="2:11" x14ac:dyDescent="0.2">
      <c r="B17">
        <v>214150</v>
      </c>
      <c r="C17" t="s">
        <v>63</v>
      </c>
      <c r="D17" t="s">
        <v>1579</v>
      </c>
      <c r="E17" s="120">
        <v>45974</v>
      </c>
      <c r="F17" t="s">
        <v>1562</v>
      </c>
      <c r="G17" t="s">
        <v>1433</v>
      </c>
      <c r="J17" t="s">
        <v>1295</v>
      </c>
      <c r="K17" t="s">
        <v>1296</v>
      </c>
    </row>
    <row r="18" spans="2:11" x14ac:dyDescent="0.2">
      <c r="B18">
        <v>214151</v>
      </c>
      <c r="C18" t="s">
        <v>56</v>
      </c>
      <c r="D18" t="s">
        <v>1580</v>
      </c>
      <c r="E18" s="120">
        <v>45974</v>
      </c>
      <c r="F18" t="s">
        <v>1562</v>
      </c>
      <c r="G18" t="s">
        <v>1433</v>
      </c>
      <c r="J18" t="s">
        <v>1295</v>
      </c>
      <c r="K18" t="s">
        <v>1296</v>
      </c>
    </row>
    <row r="19" spans="2:11" x14ac:dyDescent="0.2">
      <c r="B19">
        <v>214151</v>
      </c>
      <c r="C19" t="s">
        <v>63</v>
      </c>
      <c r="D19" t="s">
        <v>1581</v>
      </c>
      <c r="E19" s="120">
        <v>45974</v>
      </c>
      <c r="F19" t="s">
        <v>1562</v>
      </c>
      <c r="G19" t="s">
        <v>1433</v>
      </c>
      <c r="J19" t="s">
        <v>1295</v>
      </c>
      <c r="K19" t="s">
        <v>1296</v>
      </c>
    </row>
    <row r="20" spans="2:11" x14ac:dyDescent="0.2">
      <c r="B20">
        <v>214152</v>
      </c>
      <c r="C20" t="s">
        <v>56</v>
      </c>
      <c r="D20" t="s">
        <v>1582</v>
      </c>
      <c r="E20" s="120">
        <v>45974</v>
      </c>
      <c r="F20" t="s">
        <v>1562</v>
      </c>
      <c r="G20" t="s">
        <v>1433</v>
      </c>
      <c r="J20" t="s">
        <v>1295</v>
      </c>
      <c r="K20" t="s">
        <v>1296</v>
      </c>
    </row>
    <row r="21" spans="2:11" x14ac:dyDescent="0.2">
      <c r="B21">
        <v>214152</v>
      </c>
      <c r="C21" t="s">
        <v>63</v>
      </c>
      <c r="D21" t="s">
        <v>1583</v>
      </c>
      <c r="E21" s="120">
        <v>45974</v>
      </c>
      <c r="F21" t="s">
        <v>1562</v>
      </c>
      <c r="G21" t="s">
        <v>1433</v>
      </c>
      <c r="J21" t="s">
        <v>1295</v>
      </c>
      <c r="K21" t="s">
        <v>1296</v>
      </c>
    </row>
    <row r="22" spans="2:11" x14ac:dyDescent="0.2">
      <c r="B22">
        <v>214153</v>
      </c>
      <c r="C22" t="s">
        <v>56</v>
      </c>
      <c r="D22" t="s">
        <v>1584</v>
      </c>
      <c r="E22" s="120">
        <v>45974</v>
      </c>
      <c r="F22" t="s">
        <v>1562</v>
      </c>
      <c r="G22" t="s">
        <v>1433</v>
      </c>
      <c r="J22" t="s">
        <v>1295</v>
      </c>
      <c r="K22" t="s">
        <v>1296</v>
      </c>
    </row>
    <row r="23" spans="2:11" x14ac:dyDescent="0.2">
      <c r="B23">
        <v>214153</v>
      </c>
      <c r="C23" t="s">
        <v>63</v>
      </c>
      <c r="D23" t="s">
        <v>1585</v>
      </c>
      <c r="E23" s="120">
        <v>45974</v>
      </c>
      <c r="F23" t="s">
        <v>1562</v>
      </c>
      <c r="G23" t="s">
        <v>1433</v>
      </c>
      <c r="J23" t="s">
        <v>1295</v>
      </c>
      <c r="K23" t="s">
        <v>1296</v>
      </c>
    </row>
    <row r="24" spans="2:11" x14ac:dyDescent="0.2">
      <c r="B24">
        <v>214154</v>
      </c>
      <c r="C24" t="s">
        <v>56</v>
      </c>
      <c r="D24" t="s">
        <v>1586</v>
      </c>
      <c r="E24" s="120">
        <v>45974</v>
      </c>
      <c r="F24" t="s">
        <v>1562</v>
      </c>
      <c r="G24" t="s">
        <v>1433</v>
      </c>
      <c r="J24" t="s">
        <v>1295</v>
      </c>
      <c r="K24" t="s">
        <v>1296</v>
      </c>
    </row>
    <row r="25" spans="2:11" x14ac:dyDescent="0.2">
      <c r="B25">
        <v>214154</v>
      </c>
      <c r="C25" t="s">
        <v>63</v>
      </c>
      <c r="D25" t="s">
        <v>1587</v>
      </c>
      <c r="E25" s="120">
        <v>45974</v>
      </c>
      <c r="F25" t="s">
        <v>1562</v>
      </c>
      <c r="G25" t="s">
        <v>1433</v>
      </c>
      <c r="J25" t="s">
        <v>1295</v>
      </c>
      <c r="K25" t="s">
        <v>1296</v>
      </c>
    </row>
    <row r="26" spans="2:11" x14ac:dyDescent="0.2">
      <c r="B26">
        <v>214155</v>
      </c>
      <c r="C26" t="s">
        <v>56</v>
      </c>
      <c r="D26" t="s">
        <v>1588</v>
      </c>
      <c r="E26" s="120">
        <v>45974</v>
      </c>
      <c r="F26" t="s">
        <v>1562</v>
      </c>
      <c r="G26" t="s">
        <v>1433</v>
      </c>
      <c r="J26" t="s">
        <v>1295</v>
      </c>
      <c r="K26" t="s">
        <v>1296</v>
      </c>
    </row>
    <row r="27" spans="2:11" x14ac:dyDescent="0.2">
      <c r="B27">
        <v>214155</v>
      </c>
      <c r="C27" t="s">
        <v>63</v>
      </c>
      <c r="D27" t="s">
        <v>1589</v>
      </c>
      <c r="E27" s="120">
        <v>45974</v>
      </c>
      <c r="F27" t="s">
        <v>1562</v>
      </c>
      <c r="G27" t="s">
        <v>1433</v>
      </c>
      <c r="J27" t="s">
        <v>1295</v>
      </c>
      <c r="K27" t="s">
        <v>1296</v>
      </c>
    </row>
    <row r="28" spans="2:11" x14ac:dyDescent="0.2">
      <c r="B28">
        <v>214156</v>
      </c>
      <c r="C28" t="s">
        <v>56</v>
      </c>
      <c r="D28" t="s">
        <v>1590</v>
      </c>
      <c r="E28" s="120">
        <v>45974</v>
      </c>
      <c r="F28" t="s">
        <v>1562</v>
      </c>
      <c r="G28" t="s">
        <v>1433</v>
      </c>
      <c r="J28" t="s">
        <v>1295</v>
      </c>
      <c r="K28" t="s">
        <v>1296</v>
      </c>
    </row>
    <row r="29" spans="2:11" x14ac:dyDescent="0.2">
      <c r="B29">
        <v>214156</v>
      </c>
      <c r="C29" t="s">
        <v>63</v>
      </c>
      <c r="D29" t="s">
        <v>1591</v>
      </c>
      <c r="E29" s="120">
        <v>45974</v>
      </c>
      <c r="F29" t="s">
        <v>1562</v>
      </c>
      <c r="G29" t="s">
        <v>1433</v>
      </c>
      <c r="J29" t="s">
        <v>1295</v>
      </c>
      <c r="K29" t="s">
        <v>1296</v>
      </c>
    </row>
    <row r="30" spans="2:11" x14ac:dyDescent="0.2">
      <c r="B30">
        <v>214157</v>
      </c>
      <c r="C30" t="s">
        <v>56</v>
      </c>
      <c r="D30" t="s">
        <v>1592</v>
      </c>
      <c r="E30" s="120">
        <v>45974</v>
      </c>
      <c r="F30" t="s">
        <v>1562</v>
      </c>
      <c r="G30" t="s">
        <v>1433</v>
      </c>
      <c r="J30" t="s">
        <v>1295</v>
      </c>
      <c r="K30" t="s">
        <v>1296</v>
      </c>
    </row>
    <row r="31" spans="2:11" x14ac:dyDescent="0.2">
      <c r="B31">
        <v>214157</v>
      </c>
      <c r="C31" t="s">
        <v>63</v>
      </c>
      <c r="D31" t="s">
        <v>1593</v>
      </c>
      <c r="E31" s="120">
        <v>45974</v>
      </c>
      <c r="F31" t="s">
        <v>1562</v>
      </c>
      <c r="G31" t="s">
        <v>1433</v>
      </c>
      <c r="J31" t="s">
        <v>1295</v>
      </c>
      <c r="K31" t="s">
        <v>1296</v>
      </c>
    </row>
    <row r="32" spans="2:11" x14ac:dyDescent="0.2">
      <c r="B32">
        <v>214158</v>
      </c>
      <c r="C32" t="s">
        <v>56</v>
      </c>
      <c r="D32" t="s">
        <v>1594</v>
      </c>
      <c r="E32" s="120">
        <v>45974</v>
      </c>
      <c r="F32" t="s">
        <v>1562</v>
      </c>
      <c r="G32" t="s">
        <v>1433</v>
      </c>
      <c r="J32" t="s">
        <v>1295</v>
      </c>
      <c r="K32" t="s">
        <v>1296</v>
      </c>
    </row>
    <row r="33" spans="2:11" x14ac:dyDescent="0.2">
      <c r="B33">
        <v>214158</v>
      </c>
      <c r="C33" t="s">
        <v>63</v>
      </c>
      <c r="D33" t="s">
        <v>1595</v>
      </c>
      <c r="E33" s="120">
        <v>45974</v>
      </c>
      <c r="F33" t="s">
        <v>1562</v>
      </c>
      <c r="G33" t="s">
        <v>1433</v>
      </c>
      <c r="J33" t="s">
        <v>1295</v>
      </c>
      <c r="K33" t="s">
        <v>1296</v>
      </c>
    </row>
    <row r="34" spans="2:11" x14ac:dyDescent="0.2">
      <c r="B34">
        <v>214159</v>
      </c>
      <c r="C34" t="s">
        <v>56</v>
      </c>
      <c r="D34" t="s">
        <v>1596</v>
      </c>
      <c r="E34" s="120">
        <v>45974</v>
      </c>
      <c r="F34" t="s">
        <v>1562</v>
      </c>
      <c r="G34" t="s">
        <v>1433</v>
      </c>
      <c r="J34" t="s">
        <v>1295</v>
      </c>
      <c r="K34" t="s">
        <v>1296</v>
      </c>
    </row>
    <row r="35" spans="2:11" x14ac:dyDescent="0.2">
      <c r="B35">
        <v>214159</v>
      </c>
      <c r="C35" t="s">
        <v>63</v>
      </c>
      <c r="D35" t="s">
        <v>1597</v>
      </c>
      <c r="E35" s="120">
        <v>45974</v>
      </c>
      <c r="F35" t="s">
        <v>1562</v>
      </c>
      <c r="G35" t="s">
        <v>1433</v>
      </c>
      <c r="J35" t="s">
        <v>1295</v>
      </c>
      <c r="K35" t="s">
        <v>1296</v>
      </c>
    </row>
    <row r="36" spans="2:11" x14ac:dyDescent="0.2">
      <c r="B36">
        <v>214160</v>
      </c>
      <c r="C36" t="s">
        <v>56</v>
      </c>
      <c r="D36" t="s">
        <v>1598</v>
      </c>
      <c r="E36" s="120">
        <v>45974</v>
      </c>
      <c r="F36" t="s">
        <v>1562</v>
      </c>
      <c r="G36" t="s">
        <v>1433</v>
      </c>
      <c r="J36" t="s">
        <v>1295</v>
      </c>
      <c r="K36" t="s">
        <v>1296</v>
      </c>
    </row>
    <row r="37" spans="2:11" x14ac:dyDescent="0.2">
      <c r="B37">
        <v>214160</v>
      </c>
      <c r="C37" t="s">
        <v>63</v>
      </c>
      <c r="D37" t="s">
        <v>1599</v>
      </c>
      <c r="E37" s="120">
        <v>45974</v>
      </c>
      <c r="F37" t="s">
        <v>1562</v>
      </c>
      <c r="G37" t="s">
        <v>1433</v>
      </c>
      <c r="J37" t="s">
        <v>1295</v>
      </c>
      <c r="K37" t="s">
        <v>1296</v>
      </c>
    </row>
    <row r="38" spans="2:11" x14ac:dyDescent="0.2">
      <c r="B38">
        <v>214161</v>
      </c>
      <c r="C38" t="s">
        <v>56</v>
      </c>
      <c r="D38" t="s">
        <v>1600</v>
      </c>
      <c r="E38" s="120">
        <v>45974</v>
      </c>
      <c r="F38" t="s">
        <v>1562</v>
      </c>
      <c r="G38" t="s">
        <v>1433</v>
      </c>
      <c r="J38" t="s">
        <v>1295</v>
      </c>
      <c r="K38" t="s">
        <v>1296</v>
      </c>
    </row>
    <row r="39" spans="2:11" x14ac:dyDescent="0.2">
      <c r="B39">
        <v>214161</v>
      </c>
      <c r="C39" t="s">
        <v>63</v>
      </c>
      <c r="D39" t="s">
        <v>1601</v>
      </c>
      <c r="E39" s="120">
        <v>45974</v>
      </c>
      <c r="F39" t="s">
        <v>1562</v>
      </c>
      <c r="G39" t="s">
        <v>1433</v>
      </c>
      <c r="J39" t="s">
        <v>1295</v>
      </c>
      <c r="K39" t="s">
        <v>1296</v>
      </c>
    </row>
    <row r="40" spans="2:11" x14ac:dyDescent="0.2">
      <c r="B40">
        <v>214162</v>
      </c>
      <c r="C40" t="s">
        <v>56</v>
      </c>
      <c r="D40" t="s">
        <v>1602</v>
      </c>
      <c r="E40" s="120">
        <v>45974</v>
      </c>
      <c r="F40" t="s">
        <v>1562</v>
      </c>
      <c r="G40" t="s">
        <v>1433</v>
      </c>
      <c r="J40" t="s">
        <v>1295</v>
      </c>
      <c r="K40" t="s">
        <v>1296</v>
      </c>
    </row>
    <row r="41" spans="2:11" x14ac:dyDescent="0.2">
      <c r="B41">
        <v>214162</v>
      </c>
      <c r="C41" t="s">
        <v>63</v>
      </c>
      <c r="D41" t="s">
        <v>1603</v>
      </c>
      <c r="E41" s="120">
        <v>45974</v>
      </c>
      <c r="F41" t="s">
        <v>1562</v>
      </c>
      <c r="G41" t="s">
        <v>1433</v>
      </c>
      <c r="J41" t="s">
        <v>1295</v>
      </c>
      <c r="K41" t="s">
        <v>1296</v>
      </c>
    </row>
    <row r="42" spans="2:11" x14ac:dyDescent="0.2">
      <c r="B42">
        <v>214163</v>
      </c>
      <c r="C42" t="s">
        <v>56</v>
      </c>
      <c r="D42" t="s">
        <v>1604</v>
      </c>
      <c r="E42" s="120">
        <v>45974</v>
      </c>
      <c r="F42" t="s">
        <v>1562</v>
      </c>
      <c r="G42" t="s">
        <v>1433</v>
      </c>
      <c r="J42" t="s">
        <v>1295</v>
      </c>
      <c r="K42" t="s">
        <v>1296</v>
      </c>
    </row>
    <row r="43" spans="2:11" x14ac:dyDescent="0.2">
      <c r="B43">
        <v>214163</v>
      </c>
      <c r="C43" t="s">
        <v>63</v>
      </c>
      <c r="D43" t="s">
        <v>1605</v>
      </c>
      <c r="E43" s="120">
        <v>45974</v>
      </c>
      <c r="F43" t="s">
        <v>1562</v>
      </c>
      <c r="G43" t="s">
        <v>1433</v>
      </c>
      <c r="J43" t="s">
        <v>1295</v>
      </c>
      <c r="K43" t="s">
        <v>1296</v>
      </c>
    </row>
    <row r="44" spans="2:11" x14ac:dyDescent="0.2">
      <c r="B44">
        <v>214164</v>
      </c>
      <c r="C44" t="s">
        <v>56</v>
      </c>
      <c r="D44" t="s">
        <v>1606</v>
      </c>
      <c r="E44" s="120">
        <v>45974</v>
      </c>
      <c r="F44" t="s">
        <v>1562</v>
      </c>
      <c r="G44" t="s">
        <v>1433</v>
      </c>
      <c r="J44" t="s">
        <v>1295</v>
      </c>
      <c r="K44" t="s">
        <v>1296</v>
      </c>
    </row>
    <row r="45" spans="2:11" x14ac:dyDescent="0.2">
      <c r="B45">
        <v>214164</v>
      </c>
      <c r="C45" t="s">
        <v>63</v>
      </c>
      <c r="D45" t="s">
        <v>1607</v>
      </c>
      <c r="E45" s="120">
        <v>45974</v>
      </c>
      <c r="F45" t="s">
        <v>1562</v>
      </c>
      <c r="G45" t="s">
        <v>1433</v>
      </c>
      <c r="J45" t="s">
        <v>1295</v>
      </c>
      <c r="K45" t="s">
        <v>1296</v>
      </c>
    </row>
    <row r="46" spans="2:11" x14ac:dyDescent="0.2">
      <c r="B46">
        <v>216805</v>
      </c>
      <c r="C46" t="s">
        <v>158</v>
      </c>
      <c r="D46" t="s">
        <v>1608</v>
      </c>
      <c r="E46" s="120">
        <v>45974</v>
      </c>
      <c r="F46" t="s">
        <v>1562</v>
      </c>
      <c r="G46" t="s">
        <v>1433</v>
      </c>
      <c r="J46" t="s">
        <v>1295</v>
      </c>
      <c r="K46" t="s">
        <v>1296</v>
      </c>
    </row>
    <row r="47" spans="2:11" x14ac:dyDescent="0.2">
      <c r="B47">
        <v>216806</v>
      </c>
      <c r="C47" t="s">
        <v>158</v>
      </c>
      <c r="D47" t="s">
        <v>1609</v>
      </c>
      <c r="E47" s="120">
        <v>45974</v>
      </c>
      <c r="F47" t="s">
        <v>1562</v>
      </c>
      <c r="G47" t="s">
        <v>1433</v>
      </c>
      <c r="J47" t="s">
        <v>1295</v>
      </c>
      <c r="K47" t="s">
        <v>1296</v>
      </c>
    </row>
    <row r="48" spans="2:11" x14ac:dyDescent="0.2">
      <c r="B48">
        <v>216807</v>
      </c>
      <c r="C48" t="s">
        <v>158</v>
      </c>
      <c r="D48" t="s">
        <v>1610</v>
      </c>
      <c r="E48" s="120">
        <v>45974</v>
      </c>
      <c r="F48" t="s">
        <v>1562</v>
      </c>
      <c r="G48" t="s">
        <v>1433</v>
      </c>
      <c r="J48" t="s">
        <v>1295</v>
      </c>
      <c r="K48" t="s">
        <v>1296</v>
      </c>
    </row>
    <row r="49" spans="2:11" x14ac:dyDescent="0.2">
      <c r="B49">
        <v>216808</v>
      </c>
      <c r="C49" t="s">
        <v>158</v>
      </c>
      <c r="D49" t="s">
        <v>1611</v>
      </c>
      <c r="E49" s="120">
        <v>45974</v>
      </c>
      <c r="F49" t="s">
        <v>1562</v>
      </c>
      <c r="G49" t="s">
        <v>1433</v>
      </c>
      <c r="J49" t="s">
        <v>1295</v>
      </c>
      <c r="K49" t="s">
        <v>1296</v>
      </c>
    </row>
    <row r="50" spans="2:11" x14ac:dyDescent="0.2">
      <c r="B50">
        <v>216809</v>
      </c>
      <c r="C50" t="s">
        <v>158</v>
      </c>
      <c r="D50" t="s">
        <v>1612</v>
      </c>
      <c r="E50" s="120">
        <v>45974</v>
      </c>
      <c r="F50" t="s">
        <v>1562</v>
      </c>
      <c r="G50" t="s">
        <v>1433</v>
      </c>
      <c r="J50" t="s">
        <v>1295</v>
      </c>
      <c r="K50" t="s">
        <v>1296</v>
      </c>
    </row>
    <row r="51" spans="2:11" x14ac:dyDescent="0.2">
      <c r="B51">
        <v>216810</v>
      </c>
      <c r="C51" t="s">
        <v>158</v>
      </c>
      <c r="D51" t="s">
        <v>1613</v>
      </c>
      <c r="E51" s="120">
        <v>45974</v>
      </c>
      <c r="F51" t="s">
        <v>1562</v>
      </c>
      <c r="G51" t="s">
        <v>1433</v>
      </c>
      <c r="J51" t="s">
        <v>1295</v>
      </c>
      <c r="K51" t="s">
        <v>1296</v>
      </c>
    </row>
    <row r="52" spans="2:11" x14ac:dyDescent="0.2">
      <c r="B52">
        <v>216811</v>
      </c>
      <c r="C52" t="s">
        <v>158</v>
      </c>
      <c r="D52" t="s">
        <v>1614</v>
      </c>
      <c r="E52" s="120">
        <v>45974</v>
      </c>
      <c r="F52" t="s">
        <v>1562</v>
      </c>
      <c r="G52" t="s">
        <v>1433</v>
      </c>
      <c r="J52" t="s">
        <v>1295</v>
      </c>
      <c r="K52" t="s">
        <v>1296</v>
      </c>
    </row>
    <row r="53" spans="2:11" x14ac:dyDescent="0.2">
      <c r="B53">
        <v>216812</v>
      </c>
      <c r="C53" t="s">
        <v>158</v>
      </c>
      <c r="D53" t="s">
        <v>1615</v>
      </c>
      <c r="E53" s="120">
        <v>45974</v>
      </c>
      <c r="F53" t="s">
        <v>1562</v>
      </c>
      <c r="G53" t="s">
        <v>1433</v>
      </c>
      <c r="J53" t="s">
        <v>1295</v>
      </c>
      <c r="K53" t="s">
        <v>1296</v>
      </c>
    </row>
    <row r="54" spans="2:11" x14ac:dyDescent="0.2">
      <c r="B54">
        <v>216813</v>
      </c>
      <c r="C54" t="s">
        <v>158</v>
      </c>
      <c r="D54" t="s">
        <v>1616</v>
      </c>
      <c r="E54" s="120">
        <v>45974</v>
      </c>
      <c r="F54" t="s">
        <v>1562</v>
      </c>
      <c r="G54" t="s">
        <v>1433</v>
      </c>
      <c r="J54" t="s">
        <v>1295</v>
      </c>
      <c r="K54" t="s">
        <v>1296</v>
      </c>
    </row>
    <row r="55" spans="2:11" x14ac:dyDescent="0.2">
      <c r="B55">
        <v>216814</v>
      </c>
      <c r="C55" t="s">
        <v>158</v>
      </c>
      <c r="D55" t="s">
        <v>1617</v>
      </c>
      <c r="E55" s="120">
        <v>45974</v>
      </c>
      <c r="F55" t="s">
        <v>1562</v>
      </c>
      <c r="G55" t="s">
        <v>1433</v>
      </c>
      <c r="J55" t="s">
        <v>1295</v>
      </c>
      <c r="K55" t="s">
        <v>1296</v>
      </c>
    </row>
    <row r="56" spans="2:11" x14ac:dyDescent="0.2">
      <c r="B56">
        <v>216815</v>
      </c>
      <c r="C56" t="s">
        <v>158</v>
      </c>
      <c r="D56" t="s">
        <v>1618</v>
      </c>
      <c r="E56" s="120">
        <v>45974</v>
      </c>
      <c r="F56" t="s">
        <v>1562</v>
      </c>
      <c r="G56" t="s">
        <v>1433</v>
      </c>
      <c r="J56" t="s">
        <v>1295</v>
      </c>
      <c r="K56" t="s">
        <v>1296</v>
      </c>
    </row>
    <row r="57" spans="2:11" x14ac:dyDescent="0.2">
      <c r="B57">
        <v>216816</v>
      </c>
      <c r="C57" t="s">
        <v>158</v>
      </c>
      <c r="D57" t="s">
        <v>1619</v>
      </c>
      <c r="E57" s="120">
        <v>45974</v>
      </c>
      <c r="F57" t="s">
        <v>1562</v>
      </c>
      <c r="G57" t="s">
        <v>1433</v>
      </c>
      <c r="J57" t="s">
        <v>1295</v>
      </c>
      <c r="K57" t="s">
        <v>1296</v>
      </c>
    </row>
    <row r="58" spans="2:11" x14ac:dyDescent="0.2">
      <c r="B58">
        <v>216817</v>
      </c>
      <c r="C58" t="s">
        <v>158</v>
      </c>
      <c r="D58" t="s">
        <v>1620</v>
      </c>
      <c r="E58" s="120">
        <v>45974</v>
      </c>
      <c r="F58" t="s">
        <v>1562</v>
      </c>
      <c r="G58" t="s">
        <v>1433</v>
      </c>
      <c r="J58" t="s">
        <v>1295</v>
      </c>
      <c r="K58" t="s">
        <v>1296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DA10-7245-418C-B018-75DEDF30D8E3}">
  <sheetPr codeName="Assetic_DisposedAssets">
    <tabColor rgb="FF008DA8"/>
  </sheetPr>
  <dimension ref="A1:F58"/>
  <sheetViews>
    <sheetView workbookViewId="0">
      <selection activeCell="A2" sqref="A2:F1002"/>
    </sheetView>
  </sheetViews>
  <sheetFormatPr defaultRowHeight="14.25" x14ac:dyDescent="0.2"/>
  <cols>
    <col min="1" max="1" width="7.5" bestFit="1" customWidth="1"/>
    <col min="2" max="2" width="7.75" bestFit="1" customWidth="1"/>
    <col min="3" max="3" width="5.625" bestFit="1" customWidth="1"/>
    <col min="4" max="4" width="8.875" style="118" bestFit="1" customWidth="1"/>
    <col min="5" max="5" width="12.375" style="120" bestFit="1" customWidth="1"/>
    <col min="6" max="6" width="9.5" bestFit="1" customWidth="1"/>
  </cols>
  <sheetData>
    <row r="1" spans="1:6" ht="50.1" customHeight="1" x14ac:dyDescent="0.2">
      <c r="A1" t="s">
        <v>1086</v>
      </c>
      <c r="B1" t="s">
        <v>1091</v>
      </c>
      <c r="C1" t="s">
        <v>1092</v>
      </c>
      <c r="D1" s="118" t="s">
        <v>1093</v>
      </c>
      <c r="E1" s="120" t="s">
        <v>995</v>
      </c>
      <c r="F1" t="s">
        <v>996</v>
      </c>
    </row>
    <row r="2" spans="1:6" x14ac:dyDescent="0.2">
      <c r="A2">
        <v>214143</v>
      </c>
      <c r="B2" t="s">
        <v>1546</v>
      </c>
      <c r="E2" s="120">
        <v>45974</v>
      </c>
      <c r="F2" t="s">
        <v>1376</v>
      </c>
    </row>
    <row r="3" spans="1:6" x14ac:dyDescent="0.2">
      <c r="A3">
        <v>214143</v>
      </c>
      <c r="B3" t="s">
        <v>1546</v>
      </c>
      <c r="E3" s="120">
        <v>45974</v>
      </c>
      <c r="F3" t="s">
        <v>1376</v>
      </c>
    </row>
    <row r="4" spans="1:6" x14ac:dyDescent="0.2">
      <c r="A4">
        <v>214144</v>
      </c>
      <c r="B4" t="s">
        <v>1546</v>
      </c>
      <c r="E4" s="120">
        <v>45974</v>
      </c>
      <c r="F4" t="s">
        <v>1376</v>
      </c>
    </row>
    <row r="5" spans="1:6" x14ac:dyDescent="0.2">
      <c r="A5">
        <v>214144</v>
      </c>
      <c r="B5" t="s">
        <v>1546</v>
      </c>
      <c r="E5" s="120">
        <v>45974</v>
      </c>
      <c r="F5" t="s">
        <v>1376</v>
      </c>
    </row>
    <row r="6" spans="1:6" x14ac:dyDescent="0.2">
      <c r="A6">
        <v>214145</v>
      </c>
      <c r="B6" t="s">
        <v>1546</v>
      </c>
      <c r="E6" s="120">
        <v>45974</v>
      </c>
      <c r="F6" t="s">
        <v>1376</v>
      </c>
    </row>
    <row r="7" spans="1:6" x14ac:dyDescent="0.2">
      <c r="A7">
        <v>214145</v>
      </c>
      <c r="B7" t="s">
        <v>1546</v>
      </c>
      <c r="E7" s="120">
        <v>45974</v>
      </c>
      <c r="F7" t="s">
        <v>1376</v>
      </c>
    </row>
    <row r="8" spans="1:6" x14ac:dyDescent="0.2">
      <c r="A8">
        <v>214146</v>
      </c>
      <c r="B8" t="s">
        <v>1546</v>
      </c>
      <c r="E8" s="120">
        <v>45974</v>
      </c>
      <c r="F8" t="s">
        <v>1376</v>
      </c>
    </row>
    <row r="9" spans="1:6" x14ac:dyDescent="0.2">
      <c r="A9">
        <v>214146</v>
      </c>
      <c r="B9" t="s">
        <v>1546</v>
      </c>
      <c r="E9" s="120">
        <v>45974</v>
      </c>
      <c r="F9" t="s">
        <v>1376</v>
      </c>
    </row>
    <row r="10" spans="1:6" x14ac:dyDescent="0.2">
      <c r="A10">
        <v>214147</v>
      </c>
      <c r="B10" t="s">
        <v>1546</v>
      </c>
      <c r="E10" s="120">
        <v>45974</v>
      </c>
      <c r="F10" t="s">
        <v>1376</v>
      </c>
    </row>
    <row r="11" spans="1:6" x14ac:dyDescent="0.2">
      <c r="A11">
        <v>214147</v>
      </c>
      <c r="B11" t="s">
        <v>1546</v>
      </c>
      <c r="E11" s="120">
        <v>45974</v>
      </c>
      <c r="F11" t="s">
        <v>1376</v>
      </c>
    </row>
    <row r="12" spans="1:6" x14ac:dyDescent="0.2">
      <c r="A12">
        <v>214148</v>
      </c>
      <c r="B12" t="s">
        <v>1546</v>
      </c>
      <c r="E12" s="120">
        <v>45974</v>
      </c>
      <c r="F12" t="s">
        <v>1376</v>
      </c>
    </row>
    <row r="13" spans="1:6" x14ac:dyDescent="0.2">
      <c r="A13">
        <v>214148</v>
      </c>
      <c r="B13" t="s">
        <v>1546</v>
      </c>
      <c r="E13" s="120">
        <v>45974</v>
      </c>
      <c r="F13" t="s">
        <v>1376</v>
      </c>
    </row>
    <row r="14" spans="1:6" x14ac:dyDescent="0.2">
      <c r="A14">
        <v>214149</v>
      </c>
      <c r="B14" t="s">
        <v>1546</v>
      </c>
      <c r="E14" s="120">
        <v>45974</v>
      </c>
      <c r="F14" t="s">
        <v>1376</v>
      </c>
    </row>
    <row r="15" spans="1:6" x14ac:dyDescent="0.2">
      <c r="A15">
        <v>214149</v>
      </c>
      <c r="B15" t="s">
        <v>1546</v>
      </c>
      <c r="E15" s="120">
        <v>45974</v>
      </c>
      <c r="F15" t="s">
        <v>1376</v>
      </c>
    </row>
    <row r="16" spans="1:6" x14ac:dyDescent="0.2">
      <c r="A16">
        <v>214150</v>
      </c>
      <c r="B16" t="s">
        <v>1546</v>
      </c>
      <c r="E16" s="120">
        <v>45974</v>
      </c>
      <c r="F16" t="s">
        <v>1376</v>
      </c>
    </row>
    <row r="17" spans="1:6" x14ac:dyDescent="0.2">
      <c r="A17">
        <v>214150</v>
      </c>
      <c r="B17" t="s">
        <v>1546</v>
      </c>
      <c r="E17" s="120">
        <v>45974</v>
      </c>
      <c r="F17" t="s">
        <v>1376</v>
      </c>
    </row>
    <row r="18" spans="1:6" x14ac:dyDescent="0.2">
      <c r="A18">
        <v>214151</v>
      </c>
      <c r="B18" t="s">
        <v>1546</v>
      </c>
      <c r="E18" s="120">
        <v>45974</v>
      </c>
      <c r="F18" t="s">
        <v>1376</v>
      </c>
    </row>
    <row r="19" spans="1:6" x14ac:dyDescent="0.2">
      <c r="A19">
        <v>214151</v>
      </c>
      <c r="B19" t="s">
        <v>1546</v>
      </c>
      <c r="E19" s="120">
        <v>45974</v>
      </c>
      <c r="F19" t="s">
        <v>1376</v>
      </c>
    </row>
    <row r="20" spans="1:6" x14ac:dyDescent="0.2">
      <c r="A20">
        <v>214152</v>
      </c>
      <c r="B20" t="s">
        <v>1546</v>
      </c>
      <c r="E20" s="120">
        <v>45974</v>
      </c>
      <c r="F20" t="s">
        <v>1376</v>
      </c>
    </row>
    <row r="21" spans="1:6" x14ac:dyDescent="0.2">
      <c r="A21">
        <v>214152</v>
      </c>
      <c r="B21" t="s">
        <v>1546</v>
      </c>
      <c r="E21" s="120">
        <v>45974</v>
      </c>
      <c r="F21" t="s">
        <v>1376</v>
      </c>
    </row>
    <row r="22" spans="1:6" x14ac:dyDescent="0.2">
      <c r="A22">
        <v>214153</v>
      </c>
      <c r="B22" t="s">
        <v>1546</v>
      </c>
      <c r="E22" s="120">
        <v>45974</v>
      </c>
      <c r="F22" t="s">
        <v>1376</v>
      </c>
    </row>
    <row r="23" spans="1:6" x14ac:dyDescent="0.2">
      <c r="A23">
        <v>214153</v>
      </c>
      <c r="B23" t="s">
        <v>1546</v>
      </c>
      <c r="E23" s="120">
        <v>45974</v>
      </c>
      <c r="F23" t="s">
        <v>1376</v>
      </c>
    </row>
    <row r="24" spans="1:6" x14ac:dyDescent="0.2">
      <c r="A24">
        <v>214154</v>
      </c>
      <c r="B24" t="s">
        <v>1546</v>
      </c>
      <c r="E24" s="120">
        <v>45974</v>
      </c>
      <c r="F24" t="s">
        <v>1376</v>
      </c>
    </row>
    <row r="25" spans="1:6" x14ac:dyDescent="0.2">
      <c r="A25">
        <v>214154</v>
      </c>
      <c r="B25" t="s">
        <v>1546</v>
      </c>
      <c r="E25" s="120">
        <v>45974</v>
      </c>
      <c r="F25" t="s">
        <v>1376</v>
      </c>
    </row>
    <row r="26" spans="1:6" x14ac:dyDescent="0.2">
      <c r="A26">
        <v>214155</v>
      </c>
      <c r="B26" t="s">
        <v>1546</v>
      </c>
      <c r="E26" s="120">
        <v>45974</v>
      </c>
      <c r="F26" t="s">
        <v>1376</v>
      </c>
    </row>
    <row r="27" spans="1:6" x14ac:dyDescent="0.2">
      <c r="A27">
        <v>214155</v>
      </c>
      <c r="B27" t="s">
        <v>1546</v>
      </c>
      <c r="E27" s="120">
        <v>45974</v>
      </c>
      <c r="F27" t="s">
        <v>1376</v>
      </c>
    </row>
    <row r="28" spans="1:6" x14ac:dyDescent="0.2">
      <c r="A28">
        <v>214156</v>
      </c>
      <c r="B28" t="s">
        <v>1546</v>
      </c>
      <c r="E28" s="120">
        <v>45974</v>
      </c>
      <c r="F28" t="s">
        <v>1376</v>
      </c>
    </row>
    <row r="29" spans="1:6" x14ac:dyDescent="0.2">
      <c r="A29">
        <v>214156</v>
      </c>
      <c r="B29" t="s">
        <v>1546</v>
      </c>
      <c r="E29" s="120">
        <v>45974</v>
      </c>
      <c r="F29" t="s">
        <v>1376</v>
      </c>
    </row>
    <row r="30" spans="1:6" x14ac:dyDescent="0.2">
      <c r="A30">
        <v>214157</v>
      </c>
      <c r="B30" t="s">
        <v>1546</v>
      </c>
      <c r="E30" s="120">
        <v>45974</v>
      </c>
      <c r="F30" t="s">
        <v>1376</v>
      </c>
    </row>
    <row r="31" spans="1:6" x14ac:dyDescent="0.2">
      <c r="A31">
        <v>214157</v>
      </c>
      <c r="B31" t="s">
        <v>1546</v>
      </c>
      <c r="E31" s="120">
        <v>45974</v>
      </c>
      <c r="F31" t="s">
        <v>1376</v>
      </c>
    </row>
    <row r="32" spans="1:6" x14ac:dyDescent="0.2">
      <c r="A32">
        <v>214158</v>
      </c>
      <c r="B32" t="s">
        <v>1546</v>
      </c>
      <c r="E32" s="120">
        <v>45974</v>
      </c>
      <c r="F32" t="s">
        <v>1376</v>
      </c>
    </row>
    <row r="33" spans="1:6" x14ac:dyDescent="0.2">
      <c r="A33">
        <v>214158</v>
      </c>
      <c r="B33" t="s">
        <v>1546</v>
      </c>
      <c r="E33" s="120">
        <v>45974</v>
      </c>
      <c r="F33" t="s">
        <v>1376</v>
      </c>
    </row>
    <row r="34" spans="1:6" x14ac:dyDescent="0.2">
      <c r="A34">
        <v>214159</v>
      </c>
      <c r="B34" t="s">
        <v>1546</v>
      </c>
      <c r="E34" s="120">
        <v>45974</v>
      </c>
      <c r="F34" t="s">
        <v>1376</v>
      </c>
    </row>
    <row r="35" spans="1:6" x14ac:dyDescent="0.2">
      <c r="A35">
        <v>214159</v>
      </c>
      <c r="B35" t="s">
        <v>1546</v>
      </c>
      <c r="E35" s="120">
        <v>45974</v>
      </c>
      <c r="F35" t="s">
        <v>1376</v>
      </c>
    </row>
    <row r="36" spans="1:6" x14ac:dyDescent="0.2">
      <c r="A36">
        <v>214160</v>
      </c>
      <c r="B36" t="s">
        <v>1546</v>
      </c>
      <c r="E36" s="120">
        <v>45974</v>
      </c>
      <c r="F36" t="s">
        <v>1376</v>
      </c>
    </row>
    <row r="37" spans="1:6" x14ac:dyDescent="0.2">
      <c r="A37">
        <v>214160</v>
      </c>
      <c r="B37" t="s">
        <v>1546</v>
      </c>
      <c r="E37" s="120">
        <v>45974</v>
      </c>
      <c r="F37" t="s">
        <v>1376</v>
      </c>
    </row>
    <row r="38" spans="1:6" x14ac:dyDescent="0.2">
      <c r="A38">
        <v>214161</v>
      </c>
      <c r="B38" t="s">
        <v>1546</v>
      </c>
      <c r="E38" s="120">
        <v>45974</v>
      </c>
      <c r="F38" t="s">
        <v>1376</v>
      </c>
    </row>
    <row r="39" spans="1:6" x14ac:dyDescent="0.2">
      <c r="A39">
        <v>214161</v>
      </c>
      <c r="B39" t="s">
        <v>1546</v>
      </c>
      <c r="E39" s="120">
        <v>45974</v>
      </c>
      <c r="F39" t="s">
        <v>1376</v>
      </c>
    </row>
    <row r="40" spans="1:6" x14ac:dyDescent="0.2">
      <c r="A40">
        <v>214162</v>
      </c>
      <c r="B40" t="s">
        <v>1546</v>
      </c>
      <c r="E40" s="120">
        <v>45974</v>
      </c>
      <c r="F40" t="s">
        <v>1376</v>
      </c>
    </row>
    <row r="41" spans="1:6" x14ac:dyDescent="0.2">
      <c r="A41">
        <v>214162</v>
      </c>
      <c r="B41" t="s">
        <v>1546</v>
      </c>
      <c r="E41" s="120">
        <v>45974</v>
      </c>
      <c r="F41" t="s">
        <v>1376</v>
      </c>
    </row>
    <row r="42" spans="1:6" x14ac:dyDescent="0.2">
      <c r="A42">
        <v>214163</v>
      </c>
      <c r="B42" t="s">
        <v>1546</v>
      </c>
      <c r="E42" s="120">
        <v>45974</v>
      </c>
      <c r="F42" t="s">
        <v>1376</v>
      </c>
    </row>
    <row r="43" spans="1:6" x14ac:dyDescent="0.2">
      <c r="A43">
        <v>214163</v>
      </c>
      <c r="B43" t="s">
        <v>1546</v>
      </c>
      <c r="E43" s="120">
        <v>45974</v>
      </c>
      <c r="F43" t="s">
        <v>1376</v>
      </c>
    </row>
    <row r="44" spans="1:6" x14ac:dyDescent="0.2">
      <c r="A44">
        <v>214164</v>
      </c>
      <c r="B44" t="s">
        <v>1546</v>
      </c>
      <c r="E44" s="120">
        <v>45974</v>
      </c>
      <c r="F44" t="s">
        <v>1376</v>
      </c>
    </row>
    <row r="45" spans="1:6" x14ac:dyDescent="0.2">
      <c r="A45">
        <v>214164</v>
      </c>
      <c r="B45" t="s">
        <v>1546</v>
      </c>
      <c r="E45" s="120">
        <v>45974</v>
      </c>
      <c r="F45" t="s">
        <v>1376</v>
      </c>
    </row>
    <row r="46" spans="1:6" x14ac:dyDescent="0.2">
      <c r="A46">
        <v>216805</v>
      </c>
      <c r="B46" t="s">
        <v>1546</v>
      </c>
      <c r="E46" s="120">
        <v>45974</v>
      </c>
      <c r="F46" t="s">
        <v>1376</v>
      </c>
    </row>
    <row r="47" spans="1:6" x14ac:dyDescent="0.2">
      <c r="A47">
        <v>216806</v>
      </c>
      <c r="B47" t="s">
        <v>1546</v>
      </c>
      <c r="E47" s="120">
        <v>45974</v>
      </c>
      <c r="F47" t="s">
        <v>1376</v>
      </c>
    </row>
    <row r="48" spans="1:6" x14ac:dyDescent="0.2">
      <c r="A48">
        <v>216807</v>
      </c>
      <c r="B48" t="s">
        <v>1546</v>
      </c>
      <c r="E48" s="120">
        <v>45974</v>
      </c>
      <c r="F48" t="s">
        <v>1376</v>
      </c>
    </row>
    <row r="49" spans="1:6" x14ac:dyDescent="0.2">
      <c r="A49">
        <v>216808</v>
      </c>
      <c r="B49" t="s">
        <v>1546</v>
      </c>
      <c r="E49" s="120">
        <v>45974</v>
      </c>
      <c r="F49" t="s">
        <v>1376</v>
      </c>
    </row>
    <row r="50" spans="1:6" x14ac:dyDescent="0.2">
      <c r="A50">
        <v>216809</v>
      </c>
      <c r="B50" t="s">
        <v>1546</v>
      </c>
      <c r="E50" s="120">
        <v>45974</v>
      </c>
      <c r="F50" t="s">
        <v>1376</v>
      </c>
    </row>
    <row r="51" spans="1:6" x14ac:dyDescent="0.2">
      <c r="A51">
        <v>216810</v>
      </c>
      <c r="B51" t="s">
        <v>1546</v>
      </c>
      <c r="E51" s="120">
        <v>45974</v>
      </c>
      <c r="F51" t="s">
        <v>1376</v>
      </c>
    </row>
    <row r="52" spans="1:6" x14ac:dyDescent="0.2">
      <c r="A52">
        <v>216811</v>
      </c>
      <c r="B52" t="s">
        <v>1546</v>
      </c>
      <c r="E52" s="120">
        <v>45974</v>
      </c>
      <c r="F52" t="s">
        <v>1376</v>
      </c>
    </row>
    <row r="53" spans="1:6" x14ac:dyDescent="0.2">
      <c r="A53">
        <v>216812</v>
      </c>
      <c r="B53" t="s">
        <v>1546</v>
      </c>
      <c r="E53" s="120">
        <v>45974</v>
      </c>
      <c r="F53" t="s">
        <v>1376</v>
      </c>
    </row>
    <row r="54" spans="1:6" x14ac:dyDescent="0.2">
      <c r="A54">
        <v>216813</v>
      </c>
      <c r="B54" t="s">
        <v>1546</v>
      </c>
      <c r="E54" s="120">
        <v>45974</v>
      </c>
      <c r="F54" t="s">
        <v>1376</v>
      </c>
    </row>
    <row r="55" spans="1:6" x14ac:dyDescent="0.2">
      <c r="A55">
        <v>216814</v>
      </c>
      <c r="B55" t="s">
        <v>1546</v>
      </c>
      <c r="E55" s="120">
        <v>45974</v>
      </c>
      <c r="F55" t="s">
        <v>1376</v>
      </c>
    </row>
    <row r="56" spans="1:6" x14ac:dyDescent="0.2">
      <c r="A56">
        <v>216815</v>
      </c>
      <c r="B56" t="s">
        <v>1546</v>
      </c>
      <c r="E56" s="120">
        <v>45974</v>
      </c>
      <c r="F56" t="s">
        <v>1376</v>
      </c>
    </row>
    <row r="57" spans="1:6" x14ac:dyDescent="0.2">
      <c r="A57">
        <v>216816</v>
      </c>
      <c r="B57" t="s">
        <v>1546</v>
      </c>
      <c r="E57" s="120">
        <v>45974</v>
      </c>
      <c r="F57" t="s">
        <v>1376</v>
      </c>
    </row>
    <row r="58" spans="1:6" x14ac:dyDescent="0.2">
      <c r="A58">
        <v>216817</v>
      </c>
      <c r="B58" t="s">
        <v>1546</v>
      </c>
      <c r="E58" s="120">
        <v>45974</v>
      </c>
      <c r="F58" t="s">
        <v>1376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9A43-CCC1-444B-84C8-06280BFB8C79}">
  <sheetPr codeName="Assetic_CapExRenewals">
    <tabColor rgb="FF008DA8"/>
  </sheetPr>
  <dimension ref="A1:AD1"/>
  <sheetViews>
    <sheetView workbookViewId="0">
      <selection activeCell="A2" sqref="A2:AD1002"/>
    </sheetView>
  </sheetViews>
  <sheetFormatPr defaultRowHeight="14.25" x14ac:dyDescent="0.2"/>
  <cols>
    <col min="1" max="1" width="22.375" bestFit="1" customWidth="1"/>
    <col min="2" max="2" width="19" customWidth="1"/>
    <col min="3" max="3" width="25.75" bestFit="1" customWidth="1"/>
    <col min="4" max="4" width="22.375" style="120" bestFit="1" customWidth="1"/>
    <col min="5" max="8" width="22.375" bestFit="1" customWidth="1"/>
    <col min="9" max="9" width="22.375" style="118" bestFit="1" customWidth="1"/>
    <col min="10" max="10" width="20.5" bestFit="1" customWidth="1"/>
    <col min="11" max="11" width="12.625" bestFit="1" customWidth="1"/>
    <col min="12" max="12" width="14.125" style="118" bestFit="1" customWidth="1"/>
    <col min="13" max="13" width="20.75" bestFit="1" customWidth="1"/>
    <col min="14" max="14" width="13" bestFit="1" customWidth="1"/>
    <col min="15" max="15" width="15" bestFit="1" customWidth="1"/>
    <col min="16" max="16" width="21.75" bestFit="1" customWidth="1"/>
    <col min="17" max="17" width="13.875" bestFit="1" customWidth="1"/>
    <col min="18" max="18" width="18.125" bestFit="1" customWidth="1"/>
    <col min="19" max="19" width="15.75" bestFit="1" customWidth="1"/>
    <col min="20" max="20" width="16.5" bestFit="1" customWidth="1"/>
    <col min="21" max="21" width="11.125" bestFit="1" customWidth="1"/>
    <col min="22" max="22" width="15.25" bestFit="1" customWidth="1"/>
    <col min="23" max="23" width="22.375" style="120" bestFit="1" customWidth="1"/>
    <col min="24" max="24" width="22.375" bestFit="1" customWidth="1"/>
    <col min="25" max="25" width="14.75" bestFit="1" customWidth="1"/>
    <col min="26" max="26" width="26.875" bestFit="1" customWidth="1"/>
    <col min="27" max="27" width="18.875" bestFit="1" customWidth="1"/>
    <col min="28" max="28" width="16.375" bestFit="1" customWidth="1"/>
    <col min="29" max="29" width="32.875" bestFit="1" customWidth="1"/>
    <col min="30" max="30" width="52.125" bestFit="1" customWidth="1"/>
  </cols>
  <sheetData>
    <row r="1" spans="1:30" ht="50.1" customHeight="1" x14ac:dyDescent="0.2">
      <c r="A1" t="s">
        <v>1085</v>
      </c>
      <c r="B1" t="s">
        <v>1086</v>
      </c>
      <c r="C1" t="s">
        <v>973</v>
      </c>
      <c r="D1" s="120" t="s">
        <v>970</v>
      </c>
      <c r="E1" t="s">
        <v>475</v>
      </c>
      <c r="F1" t="s">
        <v>935</v>
      </c>
      <c r="G1" t="s">
        <v>1087</v>
      </c>
      <c r="H1" t="s">
        <v>1090</v>
      </c>
      <c r="I1" s="118" t="s">
        <v>1094</v>
      </c>
      <c r="J1" t="s">
        <v>1095</v>
      </c>
      <c r="K1" t="s">
        <v>1096</v>
      </c>
      <c r="L1" s="118" t="s">
        <v>1097</v>
      </c>
      <c r="M1" t="s">
        <v>1098</v>
      </c>
      <c r="N1" t="s">
        <v>1099</v>
      </c>
      <c r="O1" t="s">
        <v>1100</v>
      </c>
      <c r="P1" t="s">
        <v>1101</v>
      </c>
      <c r="Q1" t="s">
        <v>1102</v>
      </c>
      <c r="R1" t="s">
        <v>1103</v>
      </c>
      <c r="S1" t="s">
        <v>1089</v>
      </c>
      <c r="T1" t="s">
        <v>1088</v>
      </c>
      <c r="U1" t="s">
        <v>1104</v>
      </c>
      <c r="V1" t="s">
        <v>1105</v>
      </c>
      <c r="W1" s="120" t="s">
        <v>971</v>
      </c>
      <c r="X1" t="s">
        <v>968</v>
      </c>
      <c r="Y1" t="s">
        <v>1106</v>
      </c>
      <c r="Z1" t="s">
        <v>1107</v>
      </c>
      <c r="AA1" t="s">
        <v>1108</v>
      </c>
      <c r="AB1" t="s">
        <v>1109</v>
      </c>
      <c r="AC1" t="s">
        <v>1110</v>
      </c>
      <c r="AD1" t="s">
        <v>966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BB647-D2CA-40E8-886D-90E46DDC6EF4}">
  <sheetPr codeName="Assetic_NewValuations">
    <tabColor rgb="FF008DA8"/>
  </sheetPr>
  <dimension ref="A1:W101"/>
  <sheetViews>
    <sheetView workbookViewId="0">
      <selection activeCell="F2" sqref="F2:F101"/>
    </sheetView>
  </sheetViews>
  <sheetFormatPr defaultRowHeight="14.25" x14ac:dyDescent="0.2"/>
  <cols>
    <col min="1" max="1" width="16.75" bestFit="1" customWidth="1"/>
    <col min="2" max="2" width="7.875" bestFit="1" customWidth="1"/>
    <col min="3" max="3" width="16.75" bestFit="1" customWidth="1"/>
    <col min="4" max="4" width="23.125" bestFit="1" customWidth="1"/>
    <col min="5" max="5" width="13.75" style="120" bestFit="1" customWidth="1"/>
    <col min="6" max="6" width="24.625" bestFit="1" customWidth="1"/>
    <col min="7" max="7" width="10.625" style="120" bestFit="1" customWidth="1"/>
    <col min="8" max="8" width="18.125" bestFit="1" customWidth="1"/>
    <col min="9" max="9" width="19.875" bestFit="1" customWidth="1"/>
    <col min="10" max="10" width="17.75" bestFit="1" customWidth="1"/>
    <col min="11" max="11" width="27.5" bestFit="1" customWidth="1"/>
    <col min="12" max="12" width="21" style="118" customWidth="1"/>
    <col min="13" max="13" width="28.875" bestFit="1" customWidth="1"/>
    <col min="14" max="14" width="20.625" bestFit="1" customWidth="1"/>
    <col min="15" max="15" width="8.375" style="118" bestFit="1" customWidth="1"/>
    <col min="16" max="16" width="15.625" bestFit="1" customWidth="1"/>
    <col min="17" max="17" width="23.375" style="120" bestFit="1" customWidth="1"/>
    <col min="18" max="18" width="27" bestFit="1" customWidth="1"/>
    <col min="19" max="19" width="15.875" bestFit="1" customWidth="1"/>
    <col min="20" max="20" width="12.25" bestFit="1" customWidth="1"/>
    <col min="21" max="22" width="18.125" bestFit="1" customWidth="1"/>
    <col min="23" max="23" width="10" bestFit="1" customWidth="1"/>
  </cols>
  <sheetData>
    <row r="1" spans="1:23" ht="50.1" customHeight="1" x14ac:dyDescent="0.2">
      <c r="A1" t="s">
        <v>1085</v>
      </c>
      <c r="B1" t="s">
        <v>1086</v>
      </c>
      <c r="C1" t="s">
        <v>955</v>
      </c>
      <c r="D1" t="s">
        <v>1111</v>
      </c>
      <c r="E1" s="120" t="s">
        <v>970</v>
      </c>
      <c r="F1" t="s">
        <v>991</v>
      </c>
      <c r="G1" s="120" t="s">
        <v>971</v>
      </c>
      <c r="H1" t="s">
        <v>1106</v>
      </c>
      <c r="I1" t="s">
        <v>1107</v>
      </c>
      <c r="J1" t="s">
        <v>1112</v>
      </c>
      <c r="K1" t="s">
        <v>1113</v>
      </c>
      <c r="L1" s="118" t="s">
        <v>1114</v>
      </c>
      <c r="M1" t="s">
        <v>968</v>
      </c>
      <c r="N1" t="s">
        <v>1108</v>
      </c>
      <c r="O1" s="118" t="s">
        <v>1115</v>
      </c>
      <c r="P1" t="s">
        <v>1116</v>
      </c>
      <c r="Q1" s="120" t="s">
        <v>1117</v>
      </c>
      <c r="R1" t="s">
        <v>1118</v>
      </c>
      <c r="S1" t="s">
        <v>1119</v>
      </c>
      <c r="T1" t="s">
        <v>1087</v>
      </c>
      <c r="U1" t="s">
        <v>1090</v>
      </c>
      <c r="V1" t="s">
        <v>475</v>
      </c>
      <c r="W1" t="s">
        <v>935</v>
      </c>
    </row>
    <row r="2" spans="1:23" x14ac:dyDescent="0.2">
      <c r="B2">
        <v>294886</v>
      </c>
      <c r="C2" t="s">
        <v>158</v>
      </c>
      <c r="D2" t="s">
        <v>130</v>
      </c>
      <c r="E2" s="120">
        <v>45974</v>
      </c>
      <c r="F2" t="s">
        <v>1563</v>
      </c>
      <c r="G2" s="120">
        <v>45974</v>
      </c>
      <c r="H2" t="s">
        <v>1543</v>
      </c>
      <c r="I2">
        <v>0</v>
      </c>
      <c r="J2" t="s">
        <v>1544</v>
      </c>
      <c r="K2" t="s">
        <v>1545</v>
      </c>
      <c r="L2" s="118">
        <v>1365.55</v>
      </c>
      <c r="M2">
        <v>40</v>
      </c>
      <c r="O2" s="118">
        <v>1365.5491</v>
      </c>
      <c r="T2" t="s">
        <v>1433</v>
      </c>
      <c r="U2" t="s">
        <v>1295</v>
      </c>
      <c r="V2" t="s">
        <v>1296</v>
      </c>
    </row>
    <row r="3" spans="1:23" x14ac:dyDescent="0.2">
      <c r="B3">
        <v>294888</v>
      </c>
      <c r="C3" t="s">
        <v>158</v>
      </c>
      <c r="D3" t="s">
        <v>130</v>
      </c>
      <c r="E3" s="120">
        <v>45974</v>
      </c>
      <c r="F3" t="s">
        <v>1563</v>
      </c>
      <c r="G3" s="120">
        <v>45974</v>
      </c>
      <c r="H3" t="s">
        <v>1543</v>
      </c>
      <c r="I3">
        <v>0</v>
      </c>
      <c r="J3" t="s">
        <v>1544</v>
      </c>
      <c r="K3" t="s">
        <v>1545</v>
      </c>
      <c r="L3" s="118">
        <v>9641.17</v>
      </c>
      <c r="M3">
        <v>40</v>
      </c>
      <c r="O3" s="118">
        <v>9641.1705000000002</v>
      </c>
      <c r="T3" t="s">
        <v>1433</v>
      </c>
      <c r="U3" t="s">
        <v>1295</v>
      </c>
      <c r="V3" t="s">
        <v>1296</v>
      </c>
    </row>
    <row r="4" spans="1:23" x14ac:dyDescent="0.2">
      <c r="B4">
        <v>294887</v>
      </c>
      <c r="C4" t="s">
        <v>158</v>
      </c>
      <c r="D4" t="s">
        <v>130</v>
      </c>
      <c r="E4" s="120">
        <v>45974</v>
      </c>
      <c r="F4" t="s">
        <v>1563</v>
      </c>
      <c r="G4" s="120">
        <v>45974</v>
      </c>
      <c r="H4" t="s">
        <v>1543</v>
      </c>
      <c r="I4">
        <v>0</v>
      </c>
      <c r="J4" t="s">
        <v>1544</v>
      </c>
      <c r="K4" t="s">
        <v>1545</v>
      </c>
      <c r="L4" s="118">
        <v>9641.17</v>
      </c>
      <c r="M4">
        <v>40</v>
      </c>
      <c r="O4" s="118">
        <v>9641.1705000000002</v>
      </c>
      <c r="T4" t="s">
        <v>1433</v>
      </c>
      <c r="U4" t="s">
        <v>1295</v>
      </c>
      <c r="V4" t="s">
        <v>1296</v>
      </c>
    </row>
    <row r="5" spans="1:23" x14ac:dyDescent="0.2">
      <c r="B5">
        <v>294889</v>
      </c>
      <c r="C5" t="s">
        <v>158</v>
      </c>
      <c r="D5" t="s">
        <v>130</v>
      </c>
      <c r="E5" s="120">
        <v>45974</v>
      </c>
      <c r="F5" t="s">
        <v>1563</v>
      </c>
      <c r="G5" s="120">
        <v>45974</v>
      </c>
      <c r="H5" t="s">
        <v>1543</v>
      </c>
      <c r="I5">
        <v>0</v>
      </c>
      <c r="J5" t="s">
        <v>1544</v>
      </c>
      <c r="K5" t="s">
        <v>1545</v>
      </c>
      <c r="L5" s="118">
        <v>1928.53</v>
      </c>
      <c r="M5">
        <v>40</v>
      </c>
      <c r="O5" s="118">
        <v>1928.5264999999999</v>
      </c>
      <c r="T5" t="s">
        <v>1433</v>
      </c>
      <c r="U5" t="s">
        <v>1295</v>
      </c>
      <c r="V5" t="s">
        <v>1296</v>
      </c>
    </row>
    <row r="6" spans="1:23" x14ac:dyDescent="0.2">
      <c r="B6">
        <v>294890</v>
      </c>
      <c r="C6" t="s">
        <v>158</v>
      </c>
      <c r="D6" t="s">
        <v>130</v>
      </c>
      <c r="E6" s="120">
        <v>45974</v>
      </c>
      <c r="F6" t="s">
        <v>1563</v>
      </c>
      <c r="G6" s="120">
        <v>45974</v>
      </c>
      <c r="H6" t="s">
        <v>1543</v>
      </c>
      <c r="I6">
        <v>0</v>
      </c>
      <c r="J6" t="s">
        <v>1544</v>
      </c>
      <c r="K6" t="s">
        <v>1545</v>
      </c>
      <c r="L6" s="118">
        <v>9641.17</v>
      </c>
      <c r="M6">
        <v>40</v>
      </c>
      <c r="O6" s="118">
        <v>9641.1705000000002</v>
      </c>
      <c r="T6" t="s">
        <v>1433</v>
      </c>
      <c r="U6" t="s">
        <v>1295</v>
      </c>
      <c r="V6" t="s">
        <v>1296</v>
      </c>
    </row>
    <row r="7" spans="1:23" x14ac:dyDescent="0.2">
      <c r="B7">
        <v>294891</v>
      </c>
      <c r="C7" t="s">
        <v>158</v>
      </c>
      <c r="D7" t="s">
        <v>130</v>
      </c>
      <c r="E7" s="120">
        <v>45974</v>
      </c>
      <c r="F7" t="s">
        <v>1563</v>
      </c>
      <c r="G7" s="120">
        <v>45974</v>
      </c>
      <c r="H7" t="s">
        <v>1543</v>
      </c>
      <c r="I7">
        <v>0</v>
      </c>
      <c r="J7" t="s">
        <v>1544</v>
      </c>
      <c r="K7" t="s">
        <v>1545</v>
      </c>
      <c r="L7" s="118">
        <v>9641.17</v>
      </c>
      <c r="M7">
        <v>40</v>
      </c>
      <c r="O7" s="118">
        <v>9641.1705000000002</v>
      </c>
      <c r="T7" t="s">
        <v>1433</v>
      </c>
      <c r="U7" t="s">
        <v>1295</v>
      </c>
      <c r="V7" t="s">
        <v>1296</v>
      </c>
    </row>
    <row r="8" spans="1:23" x14ac:dyDescent="0.2">
      <c r="B8">
        <v>294892</v>
      </c>
      <c r="C8" t="s">
        <v>158</v>
      </c>
      <c r="D8" t="s">
        <v>130</v>
      </c>
      <c r="E8" s="120">
        <v>45974</v>
      </c>
      <c r="F8" t="s">
        <v>1563</v>
      </c>
      <c r="G8" s="120">
        <v>45974</v>
      </c>
      <c r="H8" t="s">
        <v>1543</v>
      </c>
      <c r="I8">
        <v>0</v>
      </c>
      <c r="J8" t="s">
        <v>1544</v>
      </c>
      <c r="K8" t="s">
        <v>1545</v>
      </c>
      <c r="L8" s="118">
        <v>12855.88</v>
      </c>
      <c r="M8">
        <v>40</v>
      </c>
      <c r="O8" s="118">
        <v>12855.876</v>
      </c>
      <c r="T8" t="s">
        <v>1433</v>
      </c>
      <c r="U8" t="s">
        <v>1295</v>
      </c>
      <c r="V8" t="s">
        <v>1296</v>
      </c>
    </row>
    <row r="9" spans="1:23" x14ac:dyDescent="0.2">
      <c r="B9">
        <v>294893</v>
      </c>
      <c r="C9" t="s">
        <v>158</v>
      </c>
      <c r="D9" t="s">
        <v>130</v>
      </c>
      <c r="E9" s="120">
        <v>45974</v>
      </c>
      <c r="F9" t="s">
        <v>1563</v>
      </c>
      <c r="G9" s="120">
        <v>45974</v>
      </c>
      <c r="H9" t="s">
        <v>1543</v>
      </c>
      <c r="I9">
        <v>0</v>
      </c>
      <c r="J9" t="s">
        <v>1544</v>
      </c>
      <c r="K9" t="s">
        <v>1545</v>
      </c>
      <c r="L9" s="118">
        <v>9641.17</v>
      </c>
      <c r="M9">
        <v>40</v>
      </c>
      <c r="O9" s="118">
        <v>9641.1705000000002</v>
      </c>
      <c r="T9" t="s">
        <v>1433</v>
      </c>
      <c r="U9" t="s">
        <v>1295</v>
      </c>
      <c r="V9" t="s">
        <v>1296</v>
      </c>
    </row>
    <row r="10" spans="1:23" x14ac:dyDescent="0.2">
      <c r="B10">
        <v>294894</v>
      </c>
      <c r="C10" t="s">
        <v>158</v>
      </c>
      <c r="D10" t="s">
        <v>130</v>
      </c>
      <c r="E10" s="120">
        <v>45974</v>
      </c>
      <c r="F10" t="s">
        <v>1563</v>
      </c>
      <c r="G10" s="120">
        <v>45974</v>
      </c>
      <c r="H10" t="s">
        <v>1543</v>
      </c>
      <c r="I10">
        <v>0</v>
      </c>
      <c r="J10" t="s">
        <v>1544</v>
      </c>
      <c r="K10" t="s">
        <v>1545</v>
      </c>
      <c r="L10" s="118">
        <v>1365.55</v>
      </c>
      <c r="M10">
        <v>40</v>
      </c>
      <c r="O10" s="118">
        <v>1365.5491</v>
      </c>
      <c r="T10" t="s">
        <v>1433</v>
      </c>
      <c r="U10" t="s">
        <v>1295</v>
      </c>
      <c r="V10" t="s">
        <v>1296</v>
      </c>
    </row>
    <row r="11" spans="1:23" x14ac:dyDescent="0.2">
      <c r="B11">
        <v>294895</v>
      </c>
      <c r="C11" t="s">
        <v>158</v>
      </c>
      <c r="D11" t="s">
        <v>130</v>
      </c>
      <c r="E11" s="120">
        <v>45974</v>
      </c>
      <c r="F11" t="s">
        <v>1563</v>
      </c>
      <c r="G11" s="120">
        <v>45974</v>
      </c>
      <c r="H11" t="s">
        <v>1543</v>
      </c>
      <c r="I11">
        <v>0</v>
      </c>
      <c r="J11" t="s">
        <v>1544</v>
      </c>
      <c r="K11" t="s">
        <v>1545</v>
      </c>
      <c r="L11" s="118">
        <v>9641.17</v>
      </c>
      <c r="M11">
        <v>40</v>
      </c>
      <c r="O11" s="118">
        <v>9641.1705000000002</v>
      </c>
      <c r="T11" t="s">
        <v>1433</v>
      </c>
      <c r="U11" t="s">
        <v>1295</v>
      </c>
      <c r="V11" t="s">
        <v>1296</v>
      </c>
    </row>
    <row r="12" spans="1:23" x14ac:dyDescent="0.2">
      <c r="B12">
        <v>294898</v>
      </c>
      <c r="C12" t="s">
        <v>158</v>
      </c>
      <c r="D12" t="s">
        <v>130</v>
      </c>
      <c r="E12" s="120">
        <v>45974</v>
      </c>
      <c r="F12" t="s">
        <v>1563</v>
      </c>
      <c r="G12" s="120">
        <v>45974</v>
      </c>
      <c r="H12" t="s">
        <v>1543</v>
      </c>
      <c r="I12">
        <v>0</v>
      </c>
      <c r="J12" t="s">
        <v>1544</v>
      </c>
      <c r="K12" t="s">
        <v>1545</v>
      </c>
      <c r="L12" s="118">
        <v>1365.55</v>
      </c>
      <c r="M12">
        <v>40</v>
      </c>
      <c r="O12" s="118">
        <v>1365.5491</v>
      </c>
      <c r="T12" t="s">
        <v>1433</v>
      </c>
      <c r="U12" t="s">
        <v>1295</v>
      </c>
      <c r="V12" t="s">
        <v>1296</v>
      </c>
    </row>
    <row r="13" spans="1:23" x14ac:dyDescent="0.2">
      <c r="B13">
        <v>294896</v>
      </c>
      <c r="C13" t="s">
        <v>158</v>
      </c>
      <c r="D13" t="s">
        <v>130</v>
      </c>
      <c r="E13" s="120">
        <v>45974</v>
      </c>
      <c r="F13" t="s">
        <v>1563</v>
      </c>
      <c r="G13" s="120">
        <v>45974</v>
      </c>
      <c r="H13" t="s">
        <v>1543</v>
      </c>
      <c r="I13">
        <v>0</v>
      </c>
      <c r="J13" t="s">
        <v>1544</v>
      </c>
      <c r="K13" t="s">
        <v>1545</v>
      </c>
      <c r="L13" s="118">
        <v>9641.17</v>
      </c>
      <c r="M13">
        <v>40</v>
      </c>
      <c r="O13" s="118">
        <v>9641.1705000000002</v>
      </c>
      <c r="T13" t="s">
        <v>1433</v>
      </c>
      <c r="U13" t="s">
        <v>1295</v>
      </c>
      <c r="V13" t="s">
        <v>1296</v>
      </c>
    </row>
    <row r="14" spans="1:23" x14ac:dyDescent="0.2">
      <c r="B14">
        <v>294899</v>
      </c>
      <c r="C14" t="s">
        <v>158</v>
      </c>
      <c r="D14" t="s">
        <v>130</v>
      </c>
      <c r="E14" s="120">
        <v>45974</v>
      </c>
      <c r="F14" t="s">
        <v>1563</v>
      </c>
      <c r="G14" s="120">
        <v>45974</v>
      </c>
      <c r="H14" t="s">
        <v>1543</v>
      </c>
      <c r="I14">
        <v>0</v>
      </c>
      <c r="J14" t="s">
        <v>1544</v>
      </c>
      <c r="K14" t="s">
        <v>1545</v>
      </c>
      <c r="L14" s="118">
        <v>9641.17</v>
      </c>
      <c r="M14">
        <v>40</v>
      </c>
      <c r="O14" s="118">
        <v>9641.1705000000002</v>
      </c>
      <c r="T14" t="s">
        <v>1433</v>
      </c>
      <c r="U14" t="s">
        <v>1295</v>
      </c>
      <c r="V14" t="s">
        <v>1296</v>
      </c>
    </row>
    <row r="15" spans="1:23" x14ac:dyDescent="0.2">
      <c r="B15">
        <v>294897</v>
      </c>
      <c r="C15" t="s">
        <v>86</v>
      </c>
      <c r="D15" t="s">
        <v>130</v>
      </c>
      <c r="E15" s="120">
        <v>45974</v>
      </c>
      <c r="F15" t="s">
        <v>1563</v>
      </c>
      <c r="G15" s="120">
        <v>45974</v>
      </c>
      <c r="H15" t="s">
        <v>1543</v>
      </c>
      <c r="I15">
        <v>0</v>
      </c>
      <c r="J15" t="s">
        <v>1544</v>
      </c>
      <c r="K15" t="s">
        <v>1545</v>
      </c>
      <c r="L15" s="118">
        <v>268.99</v>
      </c>
      <c r="M15">
        <v>20</v>
      </c>
      <c r="O15" s="118">
        <v>89.663233333333338</v>
      </c>
      <c r="T15" t="s">
        <v>1433</v>
      </c>
      <c r="U15" t="s">
        <v>1295</v>
      </c>
      <c r="V15" t="s">
        <v>1296</v>
      </c>
    </row>
    <row r="16" spans="1:23" x14ac:dyDescent="0.2">
      <c r="B16">
        <v>294897</v>
      </c>
      <c r="D16" t="s">
        <v>130</v>
      </c>
      <c r="E16" s="120">
        <v>45974</v>
      </c>
      <c r="F16" t="s">
        <v>1563</v>
      </c>
      <c r="G16" s="120">
        <v>45974</v>
      </c>
      <c r="H16" t="s">
        <v>1543</v>
      </c>
      <c r="I16">
        <v>0</v>
      </c>
      <c r="J16" t="s">
        <v>1544</v>
      </c>
      <c r="K16" t="s">
        <v>1545</v>
      </c>
      <c r="L16" s="118">
        <v>0</v>
      </c>
      <c r="M16">
        <v>20</v>
      </c>
      <c r="O16" s="118">
        <v>0</v>
      </c>
      <c r="T16" t="s">
        <v>1433</v>
      </c>
      <c r="U16" t="s">
        <v>1295</v>
      </c>
      <c r="V16" t="s">
        <v>1296</v>
      </c>
    </row>
    <row r="17" spans="2:22" x14ac:dyDescent="0.2">
      <c r="B17">
        <v>294900</v>
      </c>
      <c r="C17" t="s">
        <v>1547</v>
      </c>
      <c r="D17" t="s">
        <v>130</v>
      </c>
      <c r="E17" s="120">
        <v>45974</v>
      </c>
      <c r="F17" t="s">
        <v>1563</v>
      </c>
      <c r="G17" s="120">
        <v>45974</v>
      </c>
      <c r="H17" t="s">
        <v>1543</v>
      </c>
      <c r="I17">
        <v>0</v>
      </c>
      <c r="J17" t="s">
        <v>1544</v>
      </c>
      <c r="K17" t="s">
        <v>1545</v>
      </c>
      <c r="L17" s="118">
        <v>44.84</v>
      </c>
      <c r="M17">
        <v>20</v>
      </c>
      <c r="O17" s="118">
        <v>89.670400000000001</v>
      </c>
      <c r="T17" t="s">
        <v>1433</v>
      </c>
      <c r="U17" t="s">
        <v>1295</v>
      </c>
      <c r="V17" t="s">
        <v>1296</v>
      </c>
    </row>
    <row r="18" spans="2:22" x14ac:dyDescent="0.2">
      <c r="B18">
        <v>294900</v>
      </c>
      <c r="C18" t="s">
        <v>1390</v>
      </c>
      <c r="D18" t="s">
        <v>130</v>
      </c>
      <c r="E18" s="120">
        <v>45974</v>
      </c>
      <c r="F18" t="s">
        <v>1563</v>
      </c>
      <c r="G18" s="120">
        <v>45974</v>
      </c>
      <c r="H18" t="s">
        <v>1543</v>
      </c>
      <c r="I18">
        <v>0</v>
      </c>
      <c r="J18" t="s">
        <v>1544</v>
      </c>
      <c r="K18" t="s">
        <v>1545</v>
      </c>
      <c r="L18" s="118">
        <v>0</v>
      </c>
      <c r="M18">
        <v>20</v>
      </c>
      <c r="O18" s="118">
        <v>0</v>
      </c>
      <c r="T18" t="s">
        <v>1433</v>
      </c>
      <c r="U18" t="s">
        <v>1295</v>
      </c>
      <c r="V18" t="s">
        <v>1296</v>
      </c>
    </row>
    <row r="19" spans="2:22" x14ac:dyDescent="0.2">
      <c r="B19">
        <v>294901</v>
      </c>
      <c r="C19" t="s">
        <v>1390</v>
      </c>
      <c r="D19" t="s">
        <v>130</v>
      </c>
      <c r="E19" s="120">
        <v>45974</v>
      </c>
      <c r="F19" t="s">
        <v>1563</v>
      </c>
      <c r="G19" s="120">
        <v>45974</v>
      </c>
      <c r="H19" t="s">
        <v>1543</v>
      </c>
      <c r="I19">
        <v>0</v>
      </c>
      <c r="J19" t="s">
        <v>1544</v>
      </c>
      <c r="K19" t="s">
        <v>1545</v>
      </c>
      <c r="L19" s="118">
        <v>0</v>
      </c>
      <c r="M19">
        <v>20</v>
      </c>
      <c r="O19" s="118">
        <v>0</v>
      </c>
      <c r="T19" t="s">
        <v>1433</v>
      </c>
      <c r="U19" t="s">
        <v>1295</v>
      </c>
      <c r="V19" t="s">
        <v>1296</v>
      </c>
    </row>
    <row r="20" spans="2:22" x14ac:dyDescent="0.2">
      <c r="B20">
        <v>294901</v>
      </c>
      <c r="C20" t="s">
        <v>1549</v>
      </c>
      <c r="D20" t="s">
        <v>130</v>
      </c>
      <c r="E20" s="120">
        <v>45974</v>
      </c>
      <c r="F20" t="s">
        <v>1563</v>
      </c>
      <c r="G20" s="120">
        <v>45974</v>
      </c>
      <c r="H20" t="s">
        <v>1543</v>
      </c>
      <c r="I20">
        <v>0</v>
      </c>
      <c r="J20" t="s">
        <v>1544</v>
      </c>
      <c r="K20" t="s">
        <v>1545</v>
      </c>
      <c r="L20" s="118">
        <v>537.99</v>
      </c>
      <c r="M20">
        <v>20</v>
      </c>
      <c r="O20" s="118">
        <v>89.665033333333326</v>
      </c>
      <c r="T20" t="s">
        <v>1433</v>
      </c>
      <c r="U20" t="s">
        <v>1295</v>
      </c>
      <c r="V20" t="s">
        <v>1296</v>
      </c>
    </row>
    <row r="21" spans="2:22" x14ac:dyDescent="0.2">
      <c r="B21">
        <v>294901</v>
      </c>
      <c r="C21" t="s">
        <v>1548</v>
      </c>
      <c r="D21" t="s">
        <v>130</v>
      </c>
      <c r="E21" s="120">
        <v>45974</v>
      </c>
      <c r="F21" t="s">
        <v>1563</v>
      </c>
      <c r="G21" s="120">
        <v>45974</v>
      </c>
      <c r="H21" t="s">
        <v>1543</v>
      </c>
      <c r="I21">
        <v>0</v>
      </c>
      <c r="J21" t="s">
        <v>1544</v>
      </c>
      <c r="K21" t="s">
        <v>1545</v>
      </c>
      <c r="L21" s="118">
        <v>1014.24</v>
      </c>
      <c r="M21">
        <v>20</v>
      </c>
      <c r="O21" s="118">
        <v>169.04053333333334</v>
      </c>
      <c r="T21" t="s">
        <v>1433</v>
      </c>
      <c r="U21" t="s">
        <v>1295</v>
      </c>
      <c r="V21" t="s">
        <v>1296</v>
      </c>
    </row>
    <row r="22" spans="2:22" x14ac:dyDescent="0.2">
      <c r="B22">
        <v>294905</v>
      </c>
      <c r="C22" t="s">
        <v>1390</v>
      </c>
      <c r="D22" t="s">
        <v>130</v>
      </c>
      <c r="E22" s="120">
        <v>45974</v>
      </c>
      <c r="F22" t="s">
        <v>1563</v>
      </c>
      <c r="G22" s="120">
        <v>45974</v>
      </c>
      <c r="H22" t="s">
        <v>1543</v>
      </c>
      <c r="I22">
        <v>0</v>
      </c>
      <c r="J22" t="s">
        <v>1544</v>
      </c>
      <c r="K22" t="s">
        <v>1545</v>
      </c>
      <c r="L22" s="118">
        <v>0</v>
      </c>
      <c r="M22">
        <v>20</v>
      </c>
      <c r="O22" s="118">
        <v>0</v>
      </c>
      <c r="T22" t="s">
        <v>1433</v>
      </c>
      <c r="U22" t="s">
        <v>1295</v>
      </c>
      <c r="V22" t="s">
        <v>1296</v>
      </c>
    </row>
    <row r="23" spans="2:22" x14ac:dyDescent="0.2">
      <c r="B23">
        <v>294905</v>
      </c>
      <c r="C23" t="s">
        <v>1549</v>
      </c>
      <c r="D23" t="s">
        <v>130</v>
      </c>
      <c r="E23" s="120">
        <v>45974</v>
      </c>
      <c r="F23" t="s">
        <v>1563</v>
      </c>
      <c r="G23" s="120">
        <v>45974</v>
      </c>
      <c r="H23" t="s">
        <v>1543</v>
      </c>
      <c r="I23">
        <v>0</v>
      </c>
      <c r="J23" t="s">
        <v>1544</v>
      </c>
      <c r="K23" t="s">
        <v>1545</v>
      </c>
      <c r="L23" s="118">
        <v>537.99</v>
      </c>
      <c r="M23">
        <v>20</v>
      </c>
      <c r="O23" s="118">
        <v>89.665033333333326</v>
      </c>
      <c r="T23" t="s">
        <v>1433</v>
      </c>
      <c r="U23" t="s">
        <v>1295</v>
      </c>
      <c r="V23" t="s">
        <v>1296</v>
      </c>
    </row>
    <row r="24" spans="2:22" x14ac:dyDescent="0.2">
      <c r="B24">
        <v>294905</v>
      </c>
      <c r="C24" t="s">
        <v>1548</v>
      </c>
      <c r="D24" t="s">
        <v>130</v>
      </c>
      <c r="E24" s="120">
        <v>45974</v>
      </c>
      <c r="F24" t="s">
        <v>1563</v>
      </c>
      <c r="G24" s="120">
        <v>45974</v>
      </c>
      <c r="H24" t="s">
        <v>1543</v>
      </c>
      <c r="I24">
        <v>0</v>
      </c>
      <c r="J24" t="s">
        <v>1544</v>
      </c>
      <c r="K24" t="s">
        <v>1545</v>
      </c>
      <c r="L24" s="118">
        <v>1014.24</v>
      </c>
      <c r="M24">
        <v>20</v>
      </c>
      <c r="O24" s="118">
        <v>169.04053333333334</v>
      </c>
      <c r="T24" t="s">
        <v>1433</v>
      </c>
      <c r="U24" t="s">
        <v>1295</v>
      </c>
      <c r="V24" t="s">
        <v>1296</v>
      </c>
    </row>
    <row r="25" spans="2:22" x14ac:dyDescent="0.2">
      <c r="B25">
        <v>294902</v>
      </c>
      <c r="C25" t="s">
        <v>1390</v>
      </c>
      <c r="D25" t="s">
        <v>130</v>
      </c>
      <c r="E25" s="120">
        <v>45974</v>
      </c>
      <c r="F25" t="s">
        <v>1563</v>
      </c>
      <c r="G25" s="120">
        <v>45974</v>
      </c>
      <c r="H25" t="s">
        <v>1543</v>
      </c>
      <c r="I25">
        <v>0</v>
      </c>
      <c r="J25" t="s">
        <v>1544</v>
      </c>
      <c r="K25" t="s">
        <v>1545</v>
      </c>
      <c r="L25" s="118">
        <v>0</v>
      </c>
      <c r="M25">
        <v>20</v>
      </c>
      <c r="O25" s="118">
        <v>0</v>
      </c>
      <c r="T25" t="s">
        <v>1433</v>
      </c>
      <c r="U25" t="s">
        <v>1295</v>
      </c>
      <c r="V25" t="s">
        <v>1296</v>
      </c>
    </row>
    <row r="26" spans="2:22" x14ac:dyDescent="0.2">
      <c r="B26">
        <v>294902</v>
      </c>
      <c r="C26" t="s">
        <v>1549</v>
      </c>
      <c r="D26" t="s">
        <v>130</v>
      </c>
      <c r="E26" s="120">
        <v>45974</v>
      </c>
      <c r="F26" t="s">
        <v>1563</v>
      </c>
      <c r="G26" s="120">
        <v>45974</v>
      </c>
      <c r="H26" t="s">
        <v>1543</v>
      </c>
      <c r="I26">
        <v>0</v>
      </c>
      <c r="J26" t="s">
        <v>1544</v>
      </c>
      <c r="K26" t="s">
        <v>1545</v>
      </c>
      <c r="L26" s="118">
        <v>537.99</v>
      </c>
      <c r="M26">
        <v>20</v>
      </c>
      <c r="O26" s="118">
        <v>89.665033333333326</v>
      </c>
      <c r="T26" t="s">
        <v>1433</v>
      </c>
      <c r="U26" t="s">
        <v>1295</v>
      </c>
      <c r="V26" t="s">
        <v>1296</v>
      </c>
    </row>
    <row r="27" spans="2:22" x14ac:dyDescent="0.2">
      <c r="B27">
        <v>294902</v>
      </c>
      <c r="C27" t="s">
        <v>1548</v>
      </c>
      <c r="D27" t="s">
        <v>130</v>
      </c>
      <c r="E27" s="120">
        <v>45974</v>
      </c>
      <c r="F27" t="s">
        <v>1563</v>
      </c>
      <c r="G27" s="120">
        <v>45974</v>
      </c>
      <c r="H27" t="s">
        <v>1543</v>
      </c>
      <c r="I27">
        <v>0</v>
      </c>
      <c r="J27" t="s">
        <v>1544</v>
      </c>
      <c r="K27" t="s">
        <v>1545</v>
      </c>
      <c r="L27" s="118">
        <v>1014.24</v>
      </c>
      <c r="M27">
        <v>20</v>
      </c>
      <c r="O27" s="118">
        <v>169.04053333333334</v>
      </c>
      <c r="T27" t="s">
        <v>1433</v>
      </c>
      <c r="U27" t="s">
        <v>1295</v>
      </c>
      <c r="V27" t="s">
        <v>1296</v>
      </c>
    </row>
    <row r="28" spans="2:22" x14ac:dyDescent="0.2">
      <c r="B28">
        <v>294904</v>
      </c>
      <c r="C28" t="s">
        <v>1547</v>
      </c>
      <c r="D28" t="s">
        <v>130</v>
      </c>
      <c r="E28" s="120">
        <v>45974</v>
      </c>
      <c r="F28" t="s">
        <v>1563</v>
      </c>
      <c r="G28" s="120">
        <v>45974</v>
      </c>
      <c r="H28" t="s">
        <v>1543</v>
      </c>
      <c r="I28">
        <v>0</v>
      </c>
      <c r="J28" t="s">
        <v>1544</v>
      </c>
      <c r="K28" t="s">
        <v>1545</v>
      </c>
      <c r="L28" s="118">
        <v>89.66</v>
      </c>
      <c r="M28">
        <v>20</v>
      </c>
      <c r="O28" s="118">
        <v>89.659700000000001</v>
      </c>
      <c r="T28" t="s">
        <v>1433</v>
      </c>
      <c r="U28" t="s">
        <v>1295</v>
      </c>
      <c r="V28" t="s">
        <v>1296</v>
      </c>
    </row>
    <row r="29" spans="2:22" x14ac:dyDescent="0.2">
      <c r="B29">
        <v>294904</v>
      </c>
      <c r="C29" t="s">
        <v>1390</v>
      </c>
      <c r="D29" t="s">
        <v>130</v>
      </c>
      <c r="E29" s="120">
        <v>45974</v>
      </c>
      <c r="F29" t="s">
        <v>1563</v>
      </c>
      <c r="G29" s="120">
        <v>45974</v>
      </c>
      <c r="H29" t="s">
        <v>1543</v>
      </c>
      <c r="I29">
        <v>0</v>
      </c>
      <c r="J29" t="s">
        <v>1544</v>
      </c>
      <c r="K29" t="s">
        <v>1545</v>
      </c>
      <c r="L29" s="118">
        <v>0</v>
      </c>
      <c r="M29">
        <v>20</v>
      </c>
      <c r="O29" s="118">
        <v>0</v>
      </c>
      <c r="T29" t="s">
        <v>1433</v>
      </c>
      <c r="U29" t="s">
        <v>1295</v>
      </c>
      <c r="V29" t="s">
        <v>1296</v>
      </c>
    </row>
    <row r="30" spans="2:22" x14ac:dyDescent="0.2">
      <c r="B30">
        <v>294903</v>
      </c>
      <c r="C30" t="s">
        <v>1390</v>
      </c>
      <c r="D30" t="s">
        <v>130</v>
      </c>
      <c r="E30" s="120">
        <v>45974</v>
      </c>
      <c r="F30" t="s">
        <v>1563</v>
      </c>
      <c r="G30" s="120">
        <v>45974</v>
      </c>
      <c r="H30" t="s">
        <v>1543</v>
      </c>
      <c r="I30">
        <v>0</v>
      </c>
      <c r="J30" t="s">
        <v>1544</v>
      </c>
      <c r="K30" t="s">
        <v>1545</v>
      </c>
      <c r="L30" s="118">
        <v>0</v>
      </c>
      <c r="M30">
        <v>20</v>
      </c>
      <c r="O30" s="118">
        <v>0</v>
      </c>
      <c r="T30" t="s">
        <v>1433</v>
      </c>
      <c r="U30" t="s">
        <v>1295</v>
      </c>
      <c r="V30" t="s">
        <v>1296</v>
      </c>
    </row>
    <row r="31" spans="2:22" x14ac:dyDescent="0.2">
      <c r="B31">
        <v>294903</v>
      </c>
      <c r="C31" t="s">
        <v>1549</v>
      </c>
      <c r="D31" t="s">
        <v>130</v>
      </c>
      <c r="E31" s="120">
        <v>45974</v>
      </c>
      <c r="F31" t="s">
        <v>1563</v>
      </c>
      <c r="G31" s="120">
        <v>45974</v>
      </c>
      <c r="H31" t="s">
        <v>1543</v>
      </c>
      <c r="I31">
        <v>0</v>
      </c>
      <c r="J31" t="s">
        <v>1544</v>
      </c>
      <c r="K31" t="s">
        <v>1545</v>
      </c>
      <c r="L31" s="118">
        <v>2241.62</v>
      </c>
      <c r="M31">
        <v>20</v>
      </c>
      <c r="O31" s="118">
        <v>89.664811999999998</v>
      </c>
      <c r="T31" t="s">
        <v>1433</v>
      </c>
      <c r="U31" t="s">
        <v>1295</v>
      </c>
      <c r="V31" t="s">
        <v>1296</v>
      </c>
    </row>
    <row r="32" spans="2:22" x14ac:dyDescent="0.2">
      <c r="B32">
        <v>294903</v>
      </c>
      <c r="C32" t="s">
        <v>1548</v>
      </c>
      <c r="D32" t="s">
        <v>130</v>
      </c>
      <c r="E32" s="120">
        <v>45974</v>
      </c>
      <c r="F32" t="s">
        <v>1563</v>
      </c>
      <c r="G32" s="120">
        <v>45974</v>
      </c>
      <c r="H32" t="s">
        <v>1543</v>
      </c>
      <c r="I32">
        <v>0</v>
      </c>
      <c r="J32" t="s">
        <v>1544</v>
      </c>
      <c r="K32" t="s">
        <v>1545</v>
      </c>
      <c r="L32" s="118">
        <v>4226</v>
      </c>
      <c r="M32">
        <v>20</v>
      </c>
      <c r="O32" s="118">
        <v>169.040108</v>
      </c>
      <c r="T32" t="s">
        <v>1433</v>
      </c>
      <c r="U32" t="s">
        <v>1295</v>
      </c>
      <c r="V32" t="s">
        <v>1296</v>
      </c>
    </row>
    <row r="33" spans="2:22" x14ac:dyDescent="0.2">
      <c r="B33">
        <v>294909</v>
      </c>
      <c r="C33" t="s">
        <v>1390</v>
      </c>
      <c r="D33" t="s">
        <v>130</v>
      </c>
      <c r="E33" s="120">
        <v>45974</v>
      </c>
      <c r="F33" t="s">
        <v>1563</v>
      </c>
      <c r="G33" s="120">
        <v>45974</v>
      </c>
      <c r="H33" t="s">
        <v>1543</v>
      </c>
      <c r="I33">
        <v>0</v>
      </c>
      <c r="J33" t="s">
        <v>1544</v>
      </c>
      <c r="K33" t="s">
        <v>1545</v>
      </c>
      <c r="L33" s="118">
        <v>0</v>
      </c>
      <c r="M33">
        <v>20</v>
      </c>
      <c r="O33" s="118">
        <v>0</v>
      </c>
      <c r="T33" t="s">
        <v>1433</v>
      </c>
      <c r="U33" t="s">
        <v>1295</v>
      </c>
      <c r="V33" t="s">
        <v>1296</v>
      </c>
    </row>
    <row r="34" spans="2:22" x14ac:dyDescent="0.2">
      <c r="B34">
        <v>294909</v>
      </c>
      <c r="C34" t="s">
        <v>1549</v>
      </c>
      <c r="D34" t="s">
        <v>130</v>
      </c>
      <c r="E34" s="120">
        <v>45974</v>
      </c>
      <c r="F34" t="s">
        <v>1563</v>
      </c>
      <c r="G34" s="120">
        <v>45974</v>
      </c>
      <c r="H34" t="s">
        <v>1543</v>
      </c>
      <c r="I34">
        <v>0</v>
      </c>
      <c r="J34" t="s">
        <v>1544</v>
      </c>
      <c r="K34" t="s">
        <v>1545</v>
      </c>
      <c r="L34" s="118">
        <v>2241.62</v>
      </c>
      <c r="M34">
        <v>20</v>
      </c>
      <c r="O34" s="118">
        <v>89.664811999999998</v>
      </c>
      <c r="T34" t="s">
        <v>1433</v>
      </c>
      <c r="U34" t="s">
        <v>1295</v>
      </c>
      <c r="V34" t="s">
        <v>1296</v>
      </c>
    </row>
    <row r="35" spans="2:22" x14ac:dyDescent="0.2">
      <c r="B35">
        <v>294909</v>
      </c>
      <c r="C35" t="s">
        <v>1548</v>
      </c>
      <c r="D35" t="s">
        <v>130</v>
      </c>
      <c r="E35" s="120">
        <v>45974</v>
      </c>
      <c r="F35" t="s">
        <v>1563</v>
      </c>
      <c r="G35" s="120">
        <v>45974</v>
      </c>
      <c r="H35" t="s">
        <v>1543</v>
      </c>
      <c r="I35">
        <v>0</v>
      </c>
      <c r="J35" t="s">
        <v>1544</v>
      </c>
      <c r="K35" t="s">
        <v>1545</v>
      </c>
      <c r="L35" s="118">
        <v>4226</v>
      </c>
      <c r="M35">
        <v>20</v>
      </c>
      <c r="O35" s="118">
        <v>169.040108</v>
      </c>
      <c r="T35" t="s">
        <v>1433</v>
      </c>
      <c r="U35" t="s">
        <v>1295</v>
      </c>
      <c r="V35" t="s">
        <v>1296</v>
      </c>
    </row>
    <row r="36" spans="2:22" x14ac:dyDescent="0.2">
      <c r="B36">
        <v>294910</v>
      </c>
      <c r="C36" t="s">
        <v>1390</v>
      </c>
      <c r="D36" t="s">
        <v>130</v>
      </c>
      <c r="E36" s="120">
        <v>45974</v>
      </c>
      <c r="F36" t="s">
        <v>1563</v>
      </c>
      <c r="G36" s="120">
        <v>45974</v>
      </c>
      <c r="H36" t="s">
        <v>1543</v>
      </c>
      <c r="I36">
        <v>0</v>
      </c>
      <c r="J36" t="s">
        <v>1544</v>
      </c>
      <c r="K36" t="s">
        <v>1545</v>
      </c>
      <c r="L36" s="118">
        <v>0</v>
      </c>
      <c r="M36">
        <v>20</v>
      </c>
      <c r="O36" s="118">
        <v>0</v>
      </c>
      <c r="T36" t="s">
        <v>1433</v>
      </c>
      <c r="U36" t="s">
        <v>1295</v>
      </c>
      <c r="V36" t="s">
        <v>1296</v>
      </c>
    </row>
    <row r="37" spans="2:22" x14ac:dyDescent="0.2">
      <c r="B37">
        <v>294910</v>
      </c>
      <c r="C37" t="s">
        <v>1549</v>
      </c>
      <c r="D37" t="s">
        <v>130</v>
      </c>
      <c r="E37" s="120">
        <v>45974</v>
      </c>
      <c r="F37" t="s">
        <v>1563</v>
      </c>
      <c r="G37" s="120">
        <v>45974</v>
      </c>
      <c r="H37" t="s">
        <v>1543</v>
      </c>
      <c r="I37">
        <v>0</v>
      </c>
      <c r="J37" t="s">
        <v>1544</v>
      </c>
      <c r="K37" t="s">
        <v>1545</v>
      </c>
      <c r="L37" s="118">
        <v>2241.62</v>
      </c>
      <c r="M37">
        <v>20</v>
      </c>
      <c r="O37" s="118">
        <v>89.664811999999998</v>
      </c>
      <c r="T37" t="s">
        <v>1433</v>
      </c>
      <c r="U37" t="s">
        <v>1295</v>
      </c>
      <c r="V37" t="s">
        <v>1296</v>
      </c>
    </row>
    <row r="38" spans="2:22" x14ac:dyDescent="0.2">
      <c r="B38">
        <v>294910</v>
      </c>
      <c r="C38" t="s">
        <v>1548</v>
      </c>
      <c r="D38" t="s">
        <v>130</v>
      </c>
      <c r="E38" s="120">
        <v>45974</v>
      </c>
      <c r="F38" t="s">
        <v>1563</v>
      </c>
      <c r="G38" s="120">
        <v>45974</v>
      </c>
      <c r="H38" t="s">
        <v>1543</v>
      </c>
      <c r="I38">
        <v>0</v>
      </c>
      <c r="J38" t="s">
        <v>1544</v>
      </c>
      <c r="K38" t="s">
        <v>1545</v>
      </c>
      <c r="L38" s="118">
        <v>4226</v>
      </c>
      <c r="M38">
        <v>20</v>
      </c>
      <c r="O38" s="118">
        <v>169.040108</v>
      </c>
      <c r="T38" t="s">
        <v>1433</v>
      </c>
      <c r="U38" t="s">
        <v>1295</v>
      </c>
      <c r="V38" t="s">
        <v>1296</v>
      </c>
    </row>
    <row r="39" spans="2:22" x14ac:dyDescent="0.2">
      <c r="B39">
        <v>294906</v>
      </c>
      <c r="C39" t="s">
        <v>86</v>
      </c>
      <c r="D39" t="s">
        <v>130</v>
      </c>
      <c r="E39" s="120">
        <v>45974</v>
      </c>
      <c r="F39" t="s">
        <v>1563</v>
      </c>
      <c r="G39" s="120">
        <v>45974</v>
      </c>
      <c r="H39" t="s">
        <v>1543</v>
      </c>
      <c r="I39">
        <v>0</v>
      </c>
      <c r="J39" t="s">
        <v>1544</v>
      </c>
      <c r="K39" t="s">
        <v>1545</v>
      </c>
      <c r="L39" s="118">
        <v>268.99</v>
      </c>
      <c r="M39">
        <v>20</v>
      </c>
      <c r="O39" s="118">
        <v>89.663233333333338</v>
      </c>
      <c r="T39" t="s">
        <v>1433</v>
      </c>
      <c r="U39" t="s">
        <v>1295</v>
      </c>
      <c r="V39" t="s">
        <v>1296</v>
      </c>
    </row>
    <row r="40" spans="2:22" x14ac:dyDescent="0.2">
      <c r="B40">
        <v>294906</v>
      </c>
      <c r="D40" t="s">
        <v>130</v>
      </c>
      <c r="E40" s="120">
        <v>45974</v>
      </c>
      <c r="F40" t="s">
        <v>1563</v>
      </c>
      <c r="G40" s="120">
        <v>45974</v>
      </c>
      <c r="H40" t="s">
        <v>1543</v>
      </c>
      <c r="I40">
        <v>0</v>
      </c>
      <c r="J40" t="s">
        <v>1544</v>
      </c>
      <c r="K40" t="s">
        <v>1545</v>
      </c>
      <c r="L40" s="118">
        <v>0</v>
      </c>
      <c r="M40">
        <v>20</v>
      </c>
      <c r="O40" s="118">
        <v>0</v>
      </c>
      <c r="T40" t="s">
        <v>1433</v>
      </c>
      <c r="U40" t="s">
        <v>1295</v>
      </c>
      <c r="V40" t="s">
        <v>1296</v>
      </c>
    </row>
    <row r="41" spans="2:22" x14ac:dyDescent="0.2">
      <c r="B41">
        <v>294907</v>
      </c>
      <c r="C41" t="s">
        <v>1547</v>
      </c>
      <c r="D41" t="s">
        <v>130</v>
      </c>
      <c r="E41" s="120">
        <v>45974</v>
      </c>
      <c r="F41" t="s">
        <v>1563</v>
      </c>
      <c r="G41" s="120">
        <v>45974</v>
      </c>
      <c r="H41" t="s">
        <v>1543</v>
      </c>
      <c r="I41">
        <v>0</v>
      </c>
      <c r="J41" t="s">
        <v>1544</v>
      </c>
      <c r="K41" t="s">
        <v>1545</v>
      </c>
      <c r="L41" s="118">
        <v>358.66</v>
      </c>
      <c r="M41">
        <v>20</v>
      </c>
      <c r="O41" s="118">
        <v>89.665025</v>
      </c>
      <c r="T41" t="s">
        <v>1433</v>
      </c>
      <c r="U41" t="s">
        <v>1295</v>
      </c>
      <c r="V41" t="s">
        <v>1296</v>
      </c>
    </row>
    <row r="42" spans="2:22" x14ac:dyDescent="0.2">
      <c r="B42">
        <v>294907</v>
      </c>
      <c r="C42" t="s">
        <v>1390</v>
      </c>
      <c r="D42" t="s">
        <v>130</v>
      </c>
      <c r="E42" s="120">
        <v>45974</v>
      </c>
      <c r="F42" t="s">
        <v>1563</v>
      </c>
      <c r="G42" s="120">
        <v>45974</v>
      </c>
      <c r="H42" t="s">
        <v>1543</v>
      </c>
      <c r="I42">
        <v>0</v>
      </c>
      <c r="J42" t="s">
        <v>1544</v>
      </c>
      <c r="K42" t="s">
        <v>1545</v>
      </c>
      <c r="L42" s="118">
        <v>0</v>
      </c>
      <c r="M42">
        <v>20</v>
      </c>
      <c r="O42" s="118">
        <v>0</v>
      </c>
      <c r="T42" t="s">
        <v>1433</v>
      </c>
      <c r="U42" t="s">
        <v>1295</v>
      </c>
      <c r="V42" t="s">
        <v>1296</v>
      </c>
    </row>
    <row r="43" spans="2:22" x14ac:dyDescent="0.2">
      <c r="B43">
        <v>294908</v>
      </c>
      <c r="C43" t="s">
        <v>1547</v>
      </c>
      <c r="D43" t="s">
        <v>130</v>
      </c>
      <c r="E43" s="120">
        <v>45974</v>
      </c>
      <c r="F43" t="s">
        <v>1563</v>
      </c>
      <c r="G43" s="120">
        <v>45974</v>
      </c>
      <c r="H43" t="s">
        <v>1543</v>
      </c>
      <c r="I43">
        <v>0</v>
      </c>
      <c r="J43" t="s">
        <v>1544</v>
      </c>
      <c r="K43" t="s">
        <v>1545</v>
      </c>
      <c r="L43" s="118">
        <v>358.66</v>
      </c>
      <c r="M43">
        <v>20</v>
      </c>
      <c r="O43" s="118">
        <v>89.665025</v>
      </c>
      <c r="T43" t="s">
        <v>1433</v>
      </c>
      <c r="U43" t="s">
        <v>1295</v>
      </c>
      <c r="V43" t="s">
        <v>1296</v>
      </c>
    </row>
    <row r="44" spans="2:22" x14ac:dyDescent="0.2">
      <c r="B44">
        <v>294908</v>
      </c>
      <c r="C44" t="s">
        <v>1390</v>
      </c>
      <c r="D44" t="s">
        <v>130</v>
      </c>
      <c r="E44" s="120">
        <v>45974</v>
      </c>
      <c r="F44" t="s">
        <v>1563</v>
      </c>
      <c r="G44" s="120">
        <v>45974</v>
      </c>
      <c r="H44" t="s">
        <v>1543</v>
      </c>
      <c r="I44">
        <v>0</v>
      </c>
      <c r="J44" t="s">
        <v>1544</v>
      </c>
      <c r="K44" t="s">
        <v>1545</v>
      </c>
      <c r="L44" s="118">
        <v>0</v>
      </c>
      <c r="M44">
        <v>20</v>
      </c>
      <c r="O44" s="118">
        <v>0</v>
      </c>
      <c r="T44" t="s">
        <v>1433</v>
      </c>
      <c r="U44" t="s">
        <v>1295</v>
      </c>
      <c r="V44" t="s">
        <v>1296</v>
      </c>
    </row>
    <row r="45" spans="2:22" x14ac:dyDescent="0.2">
      <c r="B45">
        <v>294911</v>
      </c>
      <c r="C45" t="s">
        <v>1390</v>
      </c>
      <c r="D45" t="s">
        <v>130</v>
      </c>
      <c r="E45" s="120">
        <v>45974</v>
      </c>
      <c r="F45" t="s">
        <v>1563</v>
      </c>
      <c r="G45" s="120">
        <v>45974</v>
      </c>
      <c r="H45" t="s">
        <v>1543</v>
      </c>
      <c r="I45">
        <v>0</v>
      </c>
      <c r="J45" t="s">
        <v>1544</v>
      </c>
      <c r="K45" t="s">
        <v>1545</v>
      </c>
      <c r="L45" s="118">
        <v>0</v>
      </c>
      <c r="M45">
        <v>20</v>
      </c>
      <c r="O45" s="118">
        <v>0</v>
      </c>
      <c r="T45" t="s">
        <v>1433</v>
      </c>
      <c r="U45" t="s">
        <v>1295</v>
      </c>
      <c r="V45" t="s">
        <v>1296</v>
      </c>
    </row>
    <row r="46" spans="2:22" x14ac:dyDescent="0.2">
      <c r="B46">
        <v>294911</v>
      </c>
      <c r="C46" t="s">
        <v>1549</v>
      </c>
      <c r="D46" t="s">
        <v>130</v>
      </c>
      <c r="E46" s="120">
        <v>45974</v>
      </c>
      <c r="F46" t="s">
        <v>1563</v>
      </c>
      <c r="G46" s="120">
        <v>45974</v>
      </c>
      <c r="H46" t="s">
        <v>1543</v>
      </c>
      <c r="I46">
        <v>0</v>
      </c>
      <c r="J46" t="s">
        <v>1544</v>
      </c>
      <c r="K46" t="s">
        <v>1545</v>
      </c>
      <c r="L46" s="118">
        <v>806.98</v>
      </c>
      <c r="M46">
        <v>20</v>
      </c>
      <c r="O46" s="118">
        <v>89.664433333333335</v>
      </c>
      <c r="T46" t="s">
        <v>1433</v>
      </c>
      <c r="U46" t="s">
        <v>1295</v>
      </c>
      <c r="V46" t="s">
        <v>1296</v>
      </c>
    </row>
    <row r="47" spans="2:22" x14ac:dyDescent="0.2">
      <c r="B47">
        <v>294911</v>
      </c>
      <c r="C47" t="s">
        <v>1548</v>
      </c>
      <c r="D47" t="s">
        <v>130</v>
      </c>
      <c r="E47" s="120">
        <v>45974</v>
      </c>
      <c r="F47" t="s">
        <v>1563</v>
      </c>
      <c r="G47" s="120">
        <v>45974</v>
      </c>
      <c r="H47" t="s">
        <v>1543</v>
      </c>
      <c r="I47">
        <v>0</v>
      </c>
      <c r="J47" t="s">
        <v>1544</v>
      </c>
      <c r="K47" t="s">
        <v>1545</v>
      </c>
      <c r="L47" s="118">
        <v>1521.36</v>
      </c>
      <c r="M47">
        <v>20</v>
      </c>
      <c r="O47" s="118">
        <v>169.04054444444444</v>
      </c>
      <c r="T47" t="s">
        <v>1433</v>
      </c>
      <c r="U47" t="s">
        <v>1295</v>
      </c>
      <c r="V47" t="s">
        <v>1296</v>
      </c>
    </row>
    <row r="48" spans="2:22" x14ac:dyDescent="0.2">
      <c r="B48">
        <v>294913</v>
      </c>
      <c r="C48" t="s">
        <v>1390</v>
      </c>
      <c r="D48" t="s">
        <v>130</v>
      </c>
      <c r="E48" s="120">
        <v>45974</v>
      </c>
      <c r="F48" t="s">
        <v>1563</v>
      </c>
      <c r="G48" s="120">
        <v>45974</v>
      </c>
      <c r="H48" t="s">
        <v>1543</v>
      </c>
      <c r="I48">
        <v>0</v>
      </c>
      <c r="J48" t="s">
        <v>1544</v>
      </c>
      <c r="K48" t="s">
        <v>1545</v>
      </c>
      <c r="L48" s="118">
        <v>0</v>
      </c>
      <c r="M48">
        <v>20</v>
      </c>
      <c r="O48" s="118">
        <v>0</v>
      </c>
      <c r="T48" t="s">
        <v>1433</v>
      </c>
      <c r="U48" t="s">
        <v>1295</v>
      </c>
      <c r="V48" t="s">
        <v>1296</v>
      </c>
    </row>
    <row r="49" spans="2:22" x14ac:dyDescent="0.2">
      <c r="B49">
        <v>294913</v>
      </c>
      <c r="C49" t="s">
        <v>1549</v>
      </c>
      <c r="D49" t="s">
        <v>130</v>
      </c>
      <c r="E49" s="120">
        <v>45974</v>
      </c>
      <c r="F49" t="s">
        <v>1563</v>
      </c>
      <c r="G49" s="120">
        <v>45974</v>
      </c>
      <c r="H49" t="s">
        <v>1543</v>
      </c>
      <c r="I49">
        <v>0</v>
      </c>
      <c r="J49" t="s">
        <v>1544</v>
      </c>
      <c r="K49" t="s">
        <v>1545</v>
      </c>
      <c r="L49" s="118">
        <v>806.98</v>
      </c>
      <c r="M49">
        <v>20</v>
      </c>
      <c r="O49" s="118">
        <v>89.664433333333335</v>
      </c>
      <c r="T49" t="s">
        <v>1433</v>
      </c>
      <c r="U49" t="s">
        <v>1295</v>
      </c>
      <c r="V49" t="s">
        <v>1296</v>
      </c>
    </row>
    <row r="50" spans="2:22" x14ac:dyDescent="0.2">
      <c r="B50">
        <v>294913</v>
      </c>
      <c r="C50" t="s">
        <v>1548</v>
      </c>
      <c r="D50" t="s">
        <v>130</v>
      </c>
      <c r="E50" s="120">
        <v>45974</v>
      </c>
      <c r="F50" t="s">
        <v>1563</v>
      </c>
      <c r="G50" s="120">
        <v>45974</v>
      </c>
      <c r="H50" t="s">
        <v>1543</v>
      </c>
      <c r="I50">
        <v>0</v>
      </c>
      <c r="J50" t="s">
        <v>1544</v>
      </c>
      <c r="K50" t="s">
        <v>1545</v>
      </c>
      <c r="L50" s="118">
        <v>1521.36</v>
      </c>
      <c r="M50">
        <v>20</v>
      </c>
      <c r="O50" s="118">
        <v>169.04054444444444</v>
      </c>
      <c r="T50" t="s">
        <v>1433</v>
      </c>
      <c r="U50" t="s">
        <v>1295</v>
      </c>
      <c r="V50" t="s">
        <v>1296</v>
      </c>
    </row>
    <row r="51" spans="2:22" x14ac:dyDescent="0.2">
      <c r="B51">
        <v>294914</v>
      </c>
      <c r="C51" t="s">
        <v>1390</v>
      </c>
      <c r="D51" t="s">
        <v>130</v>
      </c>
      <c r="E51" s="120">
        <v>45974</v>
      </c>
      <c r="F51" t="s">
        <v>1563</v>
      </c>
      <c r="G51" s="120">
        <v>45974</v>
      </c>
      <c r="H51" t="s">
        <v>1543</v>
      </c>
      <c r="I51">
        <v>0</v>
      </c>
      <c r="J51" t="s">
        <v>1544</v>
      </c>
      <c r="K51" t="s">
        <v>1545</v>
      </c>
      <c r="L51" s="118">
        <v>0</v>
      </c>
      <c r="M51">
        <v>20</v>
      </c>
      <c r="O51" s="118">
        <v>0</v>
      </c>
      <c r="T51" t="s">
        <v>1433</v>
      </c>
      <c r="U51" t="s">
        <v>1295</v>
      </c>
      <c r="V51" t="s">
        <v>1296</v>
      </c>
    </row>
    <row r="52" spans="2:22" x14ac:dyDescent="0.2">
      <c r="B52">
        <v>294914</v>
      </c>
      <c r="C52" t="s">
        <v>1549</v>
      </c>
      <c r="D52" t="s">
        <v>130</v>
      </c>
      <c r="E52" s="120">
        <v>45974</v>
      </c>
      <c r="F52" t="s">
        <v>1563</v>
      </c>
      <c r="G52" s="120">
        <v>45974</v>
      </c>
      <c r="H52" t="s">
        <v>1543</v>
      </c>
      <c r="I52">
        <v>0</v>
      </c>
      <c r="J52" t="s">
        <v>1544</v>
      </c>
      <c r="K52" t="s">
        <v>1545</v>
      </c>
      <c r="L52" s="118">
        <v>806.98</v>
      </c>
      <c r="M52">
        <v>20</v>
      </c>
      <c r="O52" s="118">
        <v>89.664433333333335</v>
      </c>
      <c r="T52" t="s">
        <v>1433</v>
      </c>
      <c r="U52" t="s">
        <v>1295</v>
      </c>
      <c r="V52" t="s">
        <v>1296</v>
      </c>
    </row>
    <row r="53" spans="2:22" x14ac:dyDescent="0.2">
      <c r="B53">
        <v>294914</v>
      </c>
      <c r="C53" t="s">
        <v>1548</v>
      </c>
      <c r="D53" t="s">
        <v>130</v>
      </c>
      <c r="E53" s="120">
        <v>45974</v>
      </c>
      <c r="F53" t="s">
        <v>1563</v>
      </c>
      <c r="G53" s="120">
        <v>45974</v>
      </c>
      <c r="H53" t="s">
        <v>1543</v>
      </c>
      <c r="I53">
        <v>0</v>
      </c>
      <c r="J53" t="s">
        <v>1544</v>
      </c>
      <c r="K53" t="s">
        <v>1545</v>
      </c>
      <c r="L53" s="118">
        <v>1521.36</v>
      </c>
      <c r="M53">
        <v>20</v>
      </c>
      <c r="O53" s="118">
        <v>169.04054444444444</v>
      </c>
      <c r="T53" t="s">
        <v>1433</v>
      </c>
      <c r="U53" t="s">
        <v>1295</v>
      </c>
      <c r="V53" t="s">
        <v>1296</v>
      </c>
    </row>
    <row r="54" spans="2:22" x14ac:dyDescent="0.2">
      <c r="B54">
        <v>294915</v>
      </c>
      <c r="C54" t="s">
        <v>1390</v>
      </c>
      <c r="D54" t="s">
        <v>130</v>
      </c>
      <c r="E54" s="120">
        <v>45974</v>
      </c>
      <c r="F54" t="s">
        <v>1563</v>
      </c>
      <c r="G54" s="120">
        <v>45974</v>
      </c>
      <c r="H54" t="s">
        <v>1543</v>
      </c>
      <c r="I54">
        <v>0</v>
      </c>
      <c r="J54" t="s">
        <v>1544</v>
      </c>
      <c r="K54" t="s">
        <v>1545</v>
      </c>
      <c r="L54" s="118">
        <v>0</v>
      </c>
      <c r="M54">
        <v>20</v>
      </c>
      <c r="O54" s="118">
        <v>0</v>
      </c>
      <c r="T54" t="s">
        <v>1433</v>
      </c>
      <c r="U54" t="s">
        <v>1295</v>
      </c>
      <c r="V54" t="s">
        <v>1296</v>
      </c>
    </row>
    <row r="55" spans="2:22" x14ac:dyDescent="0.2">
      <c r="B55">
        <v>294915</v>
      </c>
      <c r="C55" t="s">
        <v>1549</v>
      </c>
      <c r="D55" t="s">
        <v>130</v>
      </c>
      <c r="E55" s="120">
        <v>45974</v>
      </c>
      <c r="F55" t="s">
        <v>1563</v>
      </c>
      <c r="G55" s="120">
        <v>45974</v>
      </c>
      <c r="H55" t="s">
        <v>1543</v>
      </c>
      <c r="I55">
        <v>0</v>
      </c>
      <c r="J55" t="s">
        <v>1544</v>
      </c>
      <c r="K55" t="s">
        <v>1545</v>
      </c>
      <c r="L55" s="118">
        <v>2331.2800000000002</v>
      </c>
      <c r="M55">
        <v>20</v>
      </c>
      <c r="O55" s="118">
        <v>89.664615384615388</v>
      </c>
      <c r="T55" t="s">
        <v>1433</v>
      </c>
      <c r="U55" t="s">
        <v>1295</v>
      </c>
      <c r="V55" t="s">
        <v>1296</v>
      </c>
    </row>
    <row r="56" spans="2:22" x14ac:dyDescent="0.2">
      <c r="B56">
        <v>294915</v>
      </c>
      <c r="C56" t="s">
        <v>1548</v>
      </c>
      <c r="D56" t="s">
        <v>130</v>
      </c>
      <c r="E56" s="120">
        <v>45974</v>
      </c>
      <c r="F56" t="s">
        <v>1563</v>
      </c>
      <c r="G56" s="120">
        <v>45974</v>
      </c>
      <c r="H56" t="s">
        <v>1543</v>
      </c>
      <c r="I56">
        <v>0</v>
      </c>
      <c r="J56" t="s">
        <v>1544</v>
      </c>
      <c r="K56" t="s">
        <v>1545</v>
      </c>
      <c r="L56" s="118">
        <v>4395.04</v>
      </c>
      <c r="M56">
        <v>20</v>
      </c>
      <c r="O56" s="118">
        <v>169.04012692307694</v>
      </c>
      <c r="T56" t="s">
        <v>1433</v>
      </c>
      <c r="U56" t="s">
        <v>1295</v>
      </c>
      <c r="V56" t="s">
        <v>1296</v>
      </c>
    </row>
    <row r="57" spans="2:22" x14ac:dyDescent="0.2">
      <c r="B57">
        <v>294912</v>
      </c>
      <c r="C57" t="s">
        <v>1390</v>
      </c>
      <c r="D57" t="s">
        <v>130</v>
      </c>
      <c r="E57" s="120">
        <v>45974</v>
      </c>
      <c r="F57" t="s">
        <v>1563</v>
      </c>
      <c r="G57" s="120">
        <v>45974</v>
      </c>
      <c r="H57" t="s">
        <v>1543</v>
      </c>
      <c r="I57">
        <v>0</v>
      </c>
      <c r="J57" t="s">
        <v>1544</v>
      </c>
      <c r="K57" t="s">
        <v>1545</v>
      </c>
      <c r="L57" s="118">
        <v>0</v>
      </c>
      <c r="M57">
        <v>20</v>
      </c>
      <c r="O57" s="118">
        <v>0</v>
      </c>
      <c r="T57" t="s">
        <v>1433</v>
      </c>
      <c r="U57" t="s">
        <v>1295</v>
      </c>
      <c r="V57" t="s">
        <v>1296</v>
      </c>
    </row>
    <row r="58" spans="2:22" x14ac:dyDescent="0.2">
      <c r="B58">
        <v>294912</v>
      </c>
      <c r="C58" t="s">
        <v>1549</v>
      </c>
      <c r="D58" t="s">
        <v>130</v>
      </c>
      <c r="E58" s="120">
        <v>45974</v>
      </c>
      <c r="F58" t="s">
        <v>1563</v>
      </c>
      <c r="G58" s="120">
        <v>45974</v>
      </c>
      <c r="H58" t="s">
        <v>1543</v>
      </c>
      <c r="I58">
        <v>0</v>
      </c>
      <c r="J58" t="s">
        <v>1544</v>
      </c>
      <c r="K58" t="s">
        <v>1545</v>
      </c>
      <c r="L58" s="118">
        <v>2331.2800000000002</v>
      </c>
      <c r="M58">
        <v>20</v>
      </c>
      <c r="O58" s="118">
        <v>89.664615384615388</v>
      </c>
      <c r="T58" t="s">
        <v>1433</v>
      </c>
      <c r="U58" t="s">
        <v>1295</v>
      </c>
      <c r="V58" t="s">
        <v>1296</v>
      </c>
    </row>
    <row r="59" spans="2:22" x14ac:dyDescent="0.2">
      <c r="B59">
        <v>294912</v>
      </c>
      <c r="C59" t="s">
        <v>1548</v>
      </c>
      <c r="D59" t="s">
        <v>130</v>
      </c>
      <c r="E59" s="120">
        <v>45974</v>
      </c>
      <c r="F59" t="s">
        <v>1563</v>
      </c>
      <c r="G59" s="120">
        <v>45974</v>
      </c>
      <c r="H59" t="s">
        <v>1543</v>
      </c>
      <c r="I59">
        <v>0</v>
      </c>
      <c r="J59" t="s">
        <v>1544</v>
      </c>
      <c r="K59" t="s">
        <v>1545</v>
      </c>
      <c r="L59" s="118">
        <v>4395.04</v>
      </c>
      <c r="M59">
        <v>20</v>
      </c>
      <c r="O59" s="118">
        <v>169.04012692307694</v>
      </c>
      <c r="T59" t="s">
        <v>1433</v>
      </c>
      <c r="U59" t="s">
        <v>1295</v>
      </c>
      <c r="V59" t="s">
        <v>1296</v>
      </c>
    </row>
    <row r="60" spans="2:22" x14ac:dyDescent="0.2">
      <c r="B60">
        <v>294916</v>
      </c>
      <c r="C60" t="s">
        <v>1390</v>
      </c>
      <c r="D60" t="s">
        <v>130</v>
      </c>
      <c r="E60" s="120">
        <v>45974</v>
      </c>
      <c r="F60" t="s">
        <v>1563</v>
      </c>
      <c r="G60" s="120">
        <v>45974</v>
      </c>
      <c r="H60" t="s">
        <v>1543</v>
      </c>
      <c r="I60">
        <v>0</v>
      </c>
      <c r="J60" t="s">
        <v>1544</v>
      </c>
      <c r="K60" t="s">
        <v>1545</v>
      </c>
      <c r="L60" s="118">
        <v>0</v>
      </c>
      <c r="M60">
        <v>20</v>
      </c>
      <c r="O60" s="118">
        <v>0</v>
      </c>
      <c r="T60" t="s">
        <v>1433</v>
      </c>
      <c r="U60" t="s">
        <v>1295</v>
      </c>
      <c r="V60" t="s">
        <v>1296</v>
      </c>
    </row>
    <row r="61" spans="2:22" x14ac:dyDescent="0.2">
      <c r="B61">
        <v>294916</v>
      </c>
      <c r="C61" t="s">
        <v>1549</v>
      </c>
      <c r="D61" t="s">
        <v>130</v>
      </c>
      <c r="E61" s="120">
        <v>45974</v>
      </c>
      <c r="F61" t="s">
        <v>1563</v>
      </c>
      <c r="G61" s="120">
        <v>45974</v>
      </c>
      <c r="H61" t="s">
        <v>1543</v>
      </c>
      <c r="I61">
        <v>0</v>
      </c>
      <c r="J61" t="s">
        <v>1544</v>
      </c>
      <c r="K61" t="s">
        <v>1545</v>
      </c>
      <c r="L61" s="118">
        <v>2331.2800000000002</v>
      </c>
      <c r="M61">
        <v>20</v>
      </c>
      <c r="O61" s="118">
        <v>89.664615384615388</v>
      </c>
      <c r="T61" t="s">
        <v>1433</v>
      </c>
      <c r="U61" t="s">
        <v>1295</v>
      </c>
      <c r="V61" t="s">
        <v>1296</v>
      </c>
    </row>
    <row r="62" spans="2:22" x14ac:dyDescent="0.2">
      <c r="B62">
        <v>294916</v>
      </c>
      <c r="C62" t="s">
        <v>1548</v>
      </c>
      <c r="D62" t="s">
        <v>130</v>
      </c>
      <c r="E62" s="120">
        <v>45974</v>
      </c>
      <c r="F62" t="s">
        <v>1563</v>
      </c>
      <c r="G62" s="120">
        <v>45974</v>
      </c>
      <c r="H62" t="s">
        <v>1543</v>
      </c>
      <c r="I62">
        <v>0</v>
      </c>
      <c r="J62" t="s">
        <v>1544</v>
      </c>
      <c r="K62" t="s">
        <v>1545</v>
      </c>
      <c r="L62" s="118">
        <v>4395.04</v>
      </c>
      <c r="M62">
        <v>20</v>
      </c>
      <c r="O62" s="118">
        <v>169.04012692307694</v>
      </c>
      <c r="T62" t="s">
        <v>1433</v>
      </c>
      <c r="U62" t="s">
        <v>1295</v>
      </c>
      <c r="V62" t="s">
        <v>1296</v>
      </c>
    </row>
    <row r="63" spans="2:22" x14ac:dyDescent="0.2">
      <c r="B63">
        <v>294917</v>
      </c>
      <c r="C63" t="s">
        <v>1548</v>
      </c>
      <c r="D63" t="s">
        <v>130</v>
      </c>
      <c r="E63" s="120">
        <v>45974</v>
      </c>
      <c r="F63" t="s">
        <v>1563</v>
      </c>
      <c r="G63" s="120">
        <v>45974</v>
      </c>
      <c r="H63" t="s">
        <v>1543</v>
      </c>
      <c r="I63">
        <v>0</v>
      </c>
      <c r="J63" t="s">
        <v>1544</v>
      </c>
      <c r="K63" t="s">
        <v>1545</v>
      </c>
      <c r="L63" s="118">
        <v>676.16</v>
      </c>
      <c r="M63">
        <v>20</v>
      </c>
      <c r="O63" s="118">
        <v>169.04055</v>
      </c>
      <c r="T63" t="s">
        <v>1433</v>
      </c>
      <c r="U63" t="s">
        <v>1295</v>
      </c>
      <c r="V63" t="s">
        <v>1296</v>
      </c>
    </row>
    <row r="64" spans="2:22" x14ac:dyDescent="0.2">
      <c r="B64">
        <v>294917</v>
      </c>
      <c r="C64" t="s">
        <v>1403</v>
      </c>
      <c r="D64" t="s">
        <v>130</v>
      </c>
      <c r="E64" s="120">
        <v>45974</v>
      </c>
      <c r="F64" t="s">
        <v>1563</v>
      </c>
      <c r="G64" s="120">
        <v>45974</v>
      </c>
      <c r="H64" t="s">
        <v>1543</v>
      </c>
      <c r="I64">
        <v>0</v>
      </c>
      <c r="J64" t="s">
        <v>1544</v>
      </c>
      <c r="K64" t="s">
        <v>1545</v>
      </c>
      <c r="L64" s="118">
        <v>0</v>
      </c>
      <c r="M64">
        <v>20</v>
      </c>
      <c r="O64" s="118">
        <v>0</v>
      </c>
      <c r="T64" t="s">
        <v>1433</v>
      </c>
      <c r="U64" t="s">
        <v>1295</v>
      </c>
      <c r="V64" t="s">
        <v>1296</v>
      </c>
    </row>
    <row r="65" spans="2:22" x14ac:dyDescent="0.2">
      <c r="B65">
        <v>294919</v>
      </c>
      <c r="C65" t="s">
        <v>1548</v>
      </c>
      <c r="D65" t="s">
        <v>130</v>
      </c>
      <c r="E65" s="120">
        <v>45974</v>
      </c>
      <c r="F65" t="s">
        <v>1563</v>
      </c>
      <c r="G65" s="120">
        <v>45974</v>
      </c>
      <c r="H65" t="s">
        <v>1543</v>
      </c>
      <c r="I65">
        <v>0</v>
      </c>
      <c r="J65" t="s">
        <v>1544</v>
      </c>
      <c r="K65" t="s">
        <v>1545</v>
      </c>
      <c r="L65" s="118">
        <v>84.52</v>
      </c>
      <c r="M65">
        <v>20</v>
      </c>
      <c r="O65" s="118">
        <v>169.04060000000001</v>
      </c>
      <c r="T65" t="s">
        <v>1433</v>
      </c>
      <c r="U65" t="s">
        <v>1295</v>
      </c>
      <c r="V65" t="s">
        <v>1296</v>
      </c>
    </row>
    <row r="66" spans="2:22" x14ac:dyDescent="0.2">
      <c r="B66">
        <v>294919</v>
      </c>
      <c r="C66" t="s">
        <v>1390</v>
      </c>
      <c r="D66" t="s">
        <v>130</v>
      </c>
      <c r="E66" s="120">
        <v>45974</v>
      </c>
      <c r="F66" t="s">
        <v>1563</v>
      </c>
      <c r="G66" s="120">
        <v>45974</v>
      </c>
      <c r="H66" t="s">
        <v>1543</v>
      </c>
      <c r="I66">
        <v>0</v>
      </c>
      <c r="J66" t="s">
        <v>1544</v>
      </c>
      <c r="K66" t="s">
        <v>1545</v>
      </c>
      <c r="L66" s="118">
        <v>0</v>
      </c>
      <c r="M66">
        <v>20</v>
      </c>
      <c r="O66" s="118">
        <v>0</v>
      </c>
      <c r="T66" t="s">
        <v>1433</v>
      </c>
      <c r="U66" t="s">
        <v>1295</v>
      </c>
      <c r="V66" t="s">
        <v>1296</v>
      </c>
    </row>
    <row r="67" spans="2:22" x14ac:dyDescent="0.2">
      <c r="B67">
        <v>294920</v>
      </c>
      <c r="C67" t="s">
        <v>1548</v>
      </c>
      <c r="D67" t="s">
        <v>130</v>
      </c>
      <c r="E67" s="120">
        <v>45974</v>
      </c>
      <c r="F67" t="s">
        <v>1563</v>
      </c>
      <c r="G67" s="120">
        <v>45974</v>
      </c>
      <c r="H67" t="s">
        <v>1543</v>
      </c>
      <c r="I67">
        <v>0</v>
      </c>
      <c r="J67" t="s">
        <v>1544</v>
      </c>
      <c r="K67" t="s">
        <v>1545</v>
      </c>
      <c r="L67" s="118">
        <v>84.52</v>
      </c>
      <c r="M67">
        <v>20</v>
      </c>
      <c r="O67" s="118">
        <v>169.04060000000001</v>
      </c>
      <c r="T67" t="s">
        <v>1433</v>
      </c>
      <c r="U67" t="s">
        <v>1295</v>
      </c>
      <c r="V67" t="s">
        <v>1296</v>
      </c>
    </row>
    <row r="68" spans="2:22" x14ac:dyDescent="0.2">
      <c r="B68">
        <v>294920</v>
      </c>
      <c r="C68" t="s">
        <v>1390</v>
      </c>
      <c r="D68" t="s">
        <v>130</v>
      </c>
      <c r="E68" s="120">
        <v>45974</v>
      </c>
      <c r="F68" t="s">
        <v>1563</v>
      </c>
      <c r="G68" s="120">
        <v>45974</v>
      </c>
      <c r="H68" t="s">
        <v>1543</v>
      </c>
      <c r="I68">
        <v>0</v>
      </c>
      <c r="J68" t="s">
        <v>1544</v>
      </c>
      <c r="K68" t="s">
        <v>1545</v>
      </c>
      <c r="L68" s="118">
        <v>0</v>
      </c>
      <c r="M68">
        <v>20</v>
      </c>
      <c r="O68" s="118">
        <v>0</v>
      </c>
      <c r="T68" t="s">
        <v>1433</v>
      </c>
      <c r="U68" t="s">
        <v>1295</v>
      </c>
      <c r="V68" t="s">
        <v>1296</v>
      </c>
    </row>
    <row r="69" spans="2:22" x14ac:dyDescent="0.2">
      <c r="B69">
        <v>294918</v>
      </c>
      <c r="C69" t="s">
        <v>1548</v>
      </c>
      <c r="D69" t="s">
        <v>130</v>
      </c>
      <c r="E69" s="120">
        <v>45974</v>
      </c>
      <c r="F69" t="s">
        <v>1563</v>
      </c>
      <c r="G69" s="120">
        <v>45974</v>
      </c>
      <c r="H69" t="s">
        <v>1543</v>
      </c>
      <c r="I69">
        <v>0</v>
      </c>
      <c r="J69" t="s">
        <v>1544</v>
      </c>
      <c r="K69" t="s">
        <v>1545</v>
      </c>
      <c r="L69" s="118">
        <v>84.52</v>
      </c>
      <c r="M69">
        <v>20</v>
      </c>
      <c r="O69" s="118">
        <v>169.04060000000001</v>
      </c>
      <c r="T69" t="s">
        <v>1433</v>
      </c>
      <c r="U69" t="s">
        <v>1295</v>
      </c>
      <c r="V69" t="s">
        <v>1296</v>
      </c>
    </row>
    <row r="70" spans="2:22" x14ac:dyDescent="0.2">
      <c r="B70">
        <v>294918</v>
      </c>
      <c r="C70" t="s">
        <v>1390</v>
      </c>
      <c r="D70" t="s">
        <v>130</v>
      </c>
      <c r="E70" s="120">
        <v>45974</v>
      </c>
      <c r="F70" t="s">
        <v>1563</v>
      </c>
      <c r="G70" s="120">
        <v>45974</v>
      </c>
      <c r="H70" t="s">
        <v>1543</v>
      </c>
      <c r="I70">
        <v>0</v>
      </c>
      <c r="J70" t="s">
        <v>1544</v>
      </c>
      <c r="K70" t="s">
        <v>1545</v>
      </c>
      <c r="L70" s="118">
        <v>0</v>
      </c>
      <c r="M70">
        <v>20</v>
      </c>
      <c r="O70" s="118">
        <v>0</v>
      </c>
      <c r="T70" t="s">
        <v>1433</v>
      </c>
      <c r="U70" t="s">
        <v>1295</v>
      </c>
      <c r="V70" t="s">
        <v>1296</v>
      </c>
    </row>
    <row r="71" spans="2:22" x14ac:dyDescent="0.2">
      <c r="B71">
        <v>294921</v>
      </c>
      <c r="C71" t="s">
        <v>1548</v>
      </c>
      <c r="D71" t="s">
        <v>130</v>
      </c>
      <c r="E71" s="120">
        <v>45974</v>
      </c>
      <c r="F71" t="s">
        <v>1563</v>
      </c>
      <c r="G71" s="120">
        <v>45974</v>
      </c>
      <c r="H71" t="s">
        <v>1543</v>
      </c>
      <c r="I71">
        <v>0</v>
      </c>
      <c r="J71" t="s">
        <v>1544</v>
      </c>
      <c r="K71" t="s">
        <v>1545</v>
      </c>
      <c r="L71" s="118">
        <v>507.12</v>
      </c>
      <c r="M71">
        <v>20</v>
      </c>
      <c r="O71" s="118">
        <v>169.04053333333334</v>
      </c>
      <c r="T71" t="s">
        <v>1433</v>
      </c>
      <c r="U71" t="s">
        <v>1295</v>
      </c>
      <c r="V71" t="s">
        <v>1296</v>
      </c>
    </row>
    <row r="72" spans="2:22" x14ac:dyDescent="0.2">
      <c r="B72">
        <v>294921</v>
      </c>
      <c r="C72" t="s">
        <v>1390</v>
      </c>
      <c r="D72" t="s">
        <v>130</v>
      </c>
      <c r="E72" s="120">
        <v>45974</v>
      </c>
      <c r="F72" t="s">
        <v>1563</v>
      </c>
      <c r="G72" s="120">
        <v>45974</v>
      </c>
      <c r="H72" t="s">
        <v>1543</v>
      </c>
      <c r="I72">
        <v>0</v>
      </c>
      <c r="J72" t="s">
        <v>1544</v>
      </c>
      <c r="K72" t="s">
        <v>1545</v>
      </c>
      <c r="L72" s="118">
        <v>0</v>
      </c>
      <c r="M72">
        <v>20</v>
      </c>
      <c r="O72" s="118">
        <v>0</v>
      </c>
      <c r="T72" t="s">
        <v>1433</v>
      </c>
      <c r="U72" t="s">
        <v>1295</v>
      </c>
      <c r="V72" t="s">
        <v>1296</v>
      </c>
    </row>
    <row r="73" spans="2:22" x14ac:dyDescent="0.2">
      <c r="B73">
        <v>294922</v>
      </c>
      <c r="C73" t="s">
        <v>1549</v>
      </c>
      <c r="D73" t="s">
        <v>130</v>
      </c>
      <c r="E73" s="120">
        <v>45974</v>
      </c>
      <c r="F73" t="s">
        <v>1563</v>
      </c>
      <c r="G73" s="120">
        <v>45974</v>
      </c>
      <c r="H73" t="s">
        <v>1543</v>
      </c>
      <c r="I73">
        <v>0</v>
      </c>
      <c r="J73" t="s">
        <v>1544</v>
      </c>
      <c r="K73" t="s">
        <v>1545</v>
      </c>
      <c r="L73" s="118">
        <v>1434.64</v>
      </c>
      <c r="M73">
        <v>20</v>
      </c>
      <c r="O73" s="118">
        <v>89.665031249999998</v>
      </c>
      <c r="T73" t="s">
        <v>1433</v>
      </c>
      <c r="U73" t="s">
        <v>1295</v>
      </c>
      <c r="V73" t="s">
        <v>1296</v>
      </c>
    </row>
    <row r="74" spans="2:22" x14ac:dyDescent="0.2">
      <c r="B74">
        <v>294922</v>
      </c>
      <c r="C74" t="s">
        <v>1548</v>
      </c>
      <c r="D74" t="s">
        <v>130</v>
      </c>
      <c r="E74" s="120">
        <v>45974</v>
      </c>
      <c r="F74" t="s">
        <v>1563</v>
      </c>
      <c r="G74" s="120">
        <v>45974</v>
      </c>
      <c r="H74" t="s">
        <v>1543</v>
      </c>
      <c r="I74">
        <v>0</v>
      </c>
      <c r="J74" t="s">
        <v>1544</v>
      </c>
      <c r="K74" t="s">
        <v>1545</v>
      </c>
      <c r="L74" s="118">
        <v>2704.64</v>
      </c>
      <c r="M74">
        <v>20</v>
      </c>
      <c r="O74" s="118">
        <v>169.03986875000001</v>
      </c>
      <c r="T74" t="s">
        <v>1433</v>
      </c>
      <c r="U74" t="s">
        <v>1295</v>
      </c>
      <c r="V74" t="s">
        <v>1296</v>
      </c>
    </row>
    <row r="75" spans="2:22" x14ac:dyDescent="0.2">
      <c r="B75">
        <v>294922</v>
      </c>
      <c r="C75" t="s">
        <v>1390</v>
      </c>
      <c r="D75" t="s">
        <v>130</v>
      </c>
      <c r="E75" s="120">
        <v>45974</v>
      </c>
      <c r="F75" t="s">
        <v>1563</v>
      </c>
      <c r="G75" s="120">
        <v>45974</v>
      </c>
      <c r="H75" t="s">
        <v>1543</v>
      </c>
      <c r="I75">
        <v>0</v>
      </c>
      <c r="J75" t="s">
        <v>1544</v>
      </c>
      <c r="K75" t="s">
        <v>1545</v>
      </c>
      <c r="L75" s="118">
        <v>0</v>
      </c>
      <c r="M75">
        <v>20</v>
      </c>
      <c r="O75" s="118">
        <v>0</v>
      </c>
      <c r="T75" t="s">
        <v>1433</v>
      </c>
      <c r="U75" t="s">
        <v>1295</v>
      </c>
      <c r="V75" t="s">
        <v>1296</v>
      </c>
    </row>
    <row r="76" spans="2:22" x14ac:dyDescent="0.2">
      <c r="B76">
        <v>294924</v>
      </c>
      <c r="C76" t="s">
        <v>1549</v>
      </c>
      <c r="D76" t="s">
        <v>130</v>
      </c>
      <c r="E76" s="120">
        <v>45974</v>
      </c>
      <c r="F76" t="s">
        <v>1563</v>
      </c>
      <c r="G76" s="120">
        <v>45974</v>
      </c>
      <c r="H76" t="s">
        <v>1543</v>
      </c>
      <c r="I76">
        <v>0</v>
      </c>
      <c r="J76" t="s">
        <v>1544</v>
      </c>
      <c r="K76" t="s">
        <v>1545</v>
      </c>
      <c r="L76" s="118">
        <v>1434.64</v>
      </c>
      <c r="M76">
        <v>20</v>
      </c>
      <c r="O76" s="118">
        <v>89.665031249999998</v>
      </c>
      <c r="T76" t="s">
        <v>1433</v>
      </c>
      <c r="U76" t="s">
        <v>1295</v>
      </c>
      <c r="V76" t="s">
        <v>1296</v>
      </c>
    </row>
    <row r="77" spans="2:22" x14ac:dyDescent="0.2">
      <c r="B77">
        <v>294924</v>
      </c>
      <c r="C77" t="s">
        <v>1548</v>
      </c>
      <c r="D77" t="s">
        <v>130</v>
      </c>
      <c r="E77" s="120">
        <v>45974</v>
      </c>
      <c r="F77" t="s">
        <v>1563</v>
      </c>
      <c r="G77" s="120">
        <v>45974</v>
      </c>
      <c r="H77" t="s">
        <v>1543</v>
      </c>
      <c r="I77">
        <v>0</v>
      </c>
      <c r="J77" t="s">
        <v>1544</v>
      </c>
      <c r="K77" t="s">
        <v>1545</v>
      </c>
      <c r="L77" s="118">
        <v>2704.64</v>
      </c>
      <c r="M77">
        <v>20</v>
      </c>
      <c r="O77" s="118">
        <v>169.03986875000001</v>
      </c>
      <c r="T77" t="s">
        <v>1433</v>
      </c>
      <c r="U77" t="s">
        <v>1295</v>
      </c>
      <c r="V77" t="s">
        <v>1296</v>
      </c>
    </row>
    <row r="78" spans="2:22" x14ac:dyDescent="0.2">
      <c r="B78">
        <v>294924</v>
      </c>
      <c r="C78" t="s">
        <v>1390</v>
      </c>
      <c r="D78" t="s">
        <v>130</v>
      </c>
      <c r="E78" s="120">
        <v>45974</v>
      </c>
      <c r="F78" t="s">
        <v>1563</v>
      </c>
      <c r="G78" s="120">
        <v>45974</v>
      </c>
      <c r="H78" t="s">
        <v>1543</v>
      </c>
      <c r="I78">
        <v>0</v>
      </c>
      <c r="J78" t="s">
        <v>1544</v>
      </c>
      <c r="K78" t="s">
        <v>1545</v>
      </c>
      <c r="L78" s="118">
        <v>0</v>
      </c>
      <c r="M78">
        <v>20</v>
      </c>
      <c r="O78" s="118">
        <v>0</v>
      </c>
      <c r="T78" t="s">
        <v>1433</v>
      </c>
      <c r="U78" t="s">
        <v>1295</v>
      </c>
      <c r="V78" t="s">
        <v>1296</v>
      </c>
    </row>
    <row r="79" spans="2:22" x14ac:dyDescent="0.2">
      <c r="B79">
        <v>294923</v>
      </c>
      <c r="C79" t="s">
        <v>1549</v>
      </c>
      <c r="D79" t="s">
        <v>130</v>
      </c>
      <c r="E79" s="120">
        <v>45974</v>
      </c>
      <c r="F79" t="s">
        <v>1563</v>
      </c>
      <c r="G79" s="120">
        <v>45974</v>
      </c>
      <c r="H79" t="s">
        <v>1543</v>
      </c>
      <c r="I79">
        <v>0</v>
      </c>
      <c r="J79" t="s">
        <v>1544</v>
      </c>
      <c r="K79" t="s">
        <v>1545</v>
      </c>
      <c r="L79" s="118">
        <v>1434.64</v>
      </c>
      <c r="M79">
        <v>20</v>
      </c>
      <c r="O79" s="118">
        <v>89.665031249999998</v>
      </c>
      <c r="T79" t="s">
        <v>1433</v>
      </c>
      <c r="U79" t="s">
        <v>1295</v>
      </c>
      <c r="V79" t="s">
        <v>1296</v>
      </c>
    </row>
    <row r="80" spans="2:22" x14ac:dyDescent="0.2">
      <c r="B80">
        <v>294923</v>
      </c>
      <c r="C80" t="s">
        <v>1548</v>
      </c>
      <c r="D80" t="s">
        <v>130</v>
      </c>
      <c r="E80" s="120">
        <v>45974</v>
      </c>
      <c r="F80" t="s">
        <v>1563</v>
      </c>
      <c r="G80" s="120">
        <v>45974</v>
      </c>
      <c r="H80" t="s">
        <v>1543</v>
      </c>
      <c r="I80">
        <v>0</v>
      </c>
      <c r="J80" t="s">
        <v>1544</v>
      </c>
      <c r="K80" t="s">
        <v>1545</v>
      </c>
      <c r="L80" s="118">
        <v>2704.64</v>
      </c>
      <c r="M80">
        <v>20</v>
      </c>
      <c r="O80" s="118">
        <v>169.03986875000001</v>
      </c>
      <c r="T80" t="s">
        <v>1433</v>
      </c>
      <c r="U80" t="s">
        <v>1295</v>
      </c>
      <c r="V80" t="s">
        <v>1296</v>
      </c>
    </row>
    <row r="81" spans="2:22" x14ac:dyDescent="0.2">
      <c r="B81">
        <v>294923</v>
      </c>
      <c r="C81" t="s">
        <v>1390</v>
      </c>
      <c r="D81" t="s">
        <v>130</v>
      </c>
      <c r="E81" s="120">
        <v>45974</v>
      </c>
      <c r="F81" t="s">
        <v>1563</v>
      </c>
      <c r="G81" s="120">
        <v>45974</v>
      </c>
      <c r="H81" t="s">
        <v>1543</v>
      </c>
      <c r="I81">
        <v>0</v>
      </c>
      <c r="J81" t="s">
        <v>1544</v>
      </c>
      <c r="K81" t="s">
        <v>1545</v>
      </c>
      <c r="L81" s="118">
        <v>0</v>
      </c>
      <c r="M81">
        <v>20</v>
      </c>
      <c r="O81" s="118">
        <v>0</v>
      </c>
      <c r="T81" t="s">
        <v>1433</v>
      </c>
      <c r="U81" t="s">
        <v>1295</v>
      </c>
      <c r="V81" t="s">
        <v>1296</v>
      </c>
    </row>
    <row r="82" spans="2:22" x14ac:dyDescent="0.2">
      <c r="B82">
        <v>294925</v>
      </c>
      <c r="C82" t="s">
        <v>86</v>
      </c>
      <c r="D82" t="s">
        <v>130</v>
      </c>
      <c r="E82" s="120">
        <v>45974</v>
      </c>
      <c r="F82" t="s">
        <v>1563</v>
      </c>
      <c r="G82" s="120">
        <v>45974</v>
      </c>
      <c r="H82" t="s">
        <v>1543</v>
      </c>
      <c r="I82">
        <v>0</v>
      </c>
      <c r="J82" t="s">
        <v>1544</v>
      </c>
      <c r="K82" t="s">
        <v>1545</v>
      </c>
      <c r="L82" s="118">
        <v>448.32</v>
      </c>
      <c r="M82">
        <v>20</v>
      </c>
      <c r="O82" s="118">
        <v>89.663960000000003</v>
      </c>
      <c r="T82" t="s">
        <v>1433</v>
      </c>
      <c r="U82" t="s">
        <v>1295</v>
      </c>
      <c r="V82" t="s">
        <v>1296</v>
      </c>
    </row>
    <row r="83" spans="2:22" x14ac:dyDescent="0.2">
      <c r="B83">
        <v>294925</v>
      </c>
      <c r="D83" t="s">
        <v>130</v>
      </c>
      <c r="E83" s="120">
        <v>45974</v>
      </c>
      <c r="F83" t="s">
        <v>1563</v>
      </c>
      <c r="G83" s="120">
        <v>45974</v>
      </c>
      <c r="H83" t="s">
        <v>1543</v>
      </c>
      <c r="I83">
        <v>0</v>
      </c>
      <c r="J83" t="s">
        <v>1544</v>
      </c>
      <c r="K83" t="s">
        <v>1545</v>
      </c>
      <c r="L83" s="118">
        <v>0</v>
      </c>
      <c r="M83">
        <v>20</v>
      </c>
      <c r="O83" s="118">
        <v>0</v>
      </c>
      <c r="T83" t="s">
        <v>1433</v>
      </c>
      <c r="U83" t="s">
        <v>1295</v>
      </c>
      <c r="V83" t="s">
        <v>1296</v>
      </c>
    </row>
    <row r="84" spans="2:22" x14ac:dyDescent="0.2">
      <c r="B84">
        <v>294926</v>
      </c>
      <c r="C84" t="s">
        <v>1547</v>
      </c>
      <c r="D84" t="s">
        <v>130</v>
      </c>
      <c r="E84" s="120">
        <v>45974</v>
      </c>
      <c r="F84" t="s">
        <v>1563</v>
      </c>
      <c r="G84" s="120">
        <v>45974</v>
      </c>
      <c r="H84" t="s">
        <v>1543</v>
      </c>
      <c r="I84">
        <v>0</v>
      </c>
      <c r="J84" t="s">
        <v>1544</v>
      </c>
      <c r="K84" t="s">
        <v>1545</v>
      </c>
      <c r="L84" s="118">
        <v>627.65</v>
      </c>
      <c r="M84">
        <v>20</v>
      </c>
      <c r="O84" s="118">
        <v>89.664257142857153</v>
      </c>
      <c r="T84" t="s">
        <v>1433</v>
      </c>
      <c r="U84" t="s">
        <v>1295</v>
      </c>
      <c r="V84" t="s">
        <v>1296</v>
      </c>
    </row>
    <row r="85" spans="2:22" x14ac:dyDescent="0.2">
      <c r="B85">
        <v>294926</v>
      </c>
      <c r="C85" t="s">
        <v>1390</v>
      </c>
      <c r="D85" t="s">
        <v>130</v>
      </c>
      <c r="E85" s="120">
        <v>45974</v>
      </c>
      <c r="F85" t="s">
        <v>1563</v>
      </c>
      <c r="G85" s="120">
        <v>45974</v>
      </c>
      <c r="H85" t="s">
        <v>1543</v>
      </c>
      <c r="I85">
        <v>0</v>
      </c>
      <c r="J85" t="s">
        <v>1544</v>
      </c>
      <c r="K85" t="s">
        <v>1545</v>
      </c>
      <c r="L85" s="118">
        <v>0</v>
      </c>
      <c r="M85">
        <v>20</v>
      </c>
      <c r="O85" s="118">
        <v>0</v>
      </c>
      <c r="T85" t="s">
        <v>1433</v>
      </c>
      <c r="U85" t="s">
        <v>1295</v>
      </c>
      <c r="V85" t="s">
        <v>1296</v>
      </c>
    </row>
    <row r="86" spans="2:22" x14ac:dyDescent="0.2">
      <c r="B86">
        <v>294927</v>
      </c>
      <c r="C86" t="s">
        <v>1547</v>
      </c>
      <c r="D86" t="s">
        <v>130</v>
      </c>
      <c r="E86" s="120">
        <v>45974</v>
      </c>
      <c r="F86" t="s">
        <v>1563</v>
      </c>
      <c r="G86" s="120">
        <v>45974</v>
      </c>
      <c r="H86" t="s">
        <v>1543</v>
      </c>
      <c r="I86">
        <v>0</v>
      </c>
      <c r="J86" t="s">
        <v>1544</v>
      </c>
      <c r="K86" t="s">
        <v>1545</v>
      </c>
      <c r="L86" s="118">
        <v>89.66</v>
      </c>
      <c r="M86">
        <v>20</v>
      </c>
      <c r="O86" s="118">
        <v>89.659700000000001</v>
      </c>
      <c r="T86" t="s">
        <v>1433</v>
      </c>
      <c r="U86" t="s">
        <v>1295</v>
      </c>
      <c r="V86" t="s">
        <v>1296</v>
      </c>
    </row>
    <row r="87" spans="2:22" x14ac:dyDescent="0.2">
      <c r="B87">
        <v>294927</v>
      </c>
      <c r="C87" t="s">
        <v>1390</v>
      </c>
      <c r="D87" t="s">
        <v>130</v>
      </c>
      <c r="E87" s="120">
        <v>45974</v>
      </c>
      <c r="F87" t="s">
        <v>1563</v>
      </c>
      <c r="G87" s="120">
        <v>45974</v>
      </c>
      <c r="H87" t="s">
        <v>1543</v>
      </c>
      <c r="I87">
        <v>0</v>
      </c>
      <c r="J87" t="s">
        <v>1544</v>
      </c>
      <c r="K87" t="s">
        <v>1545</v>
      </c>
      <c r="L87" s="118">
        <v>0</v>
      </c>
      <c r="M87">
        <v>20</v>
      </c>
      <c r="O87" s="118">
        <v>0</v>
      </c>
      <c r="T87" t="s">
        <v>1433</v>
      </c>
      <c r="U87" t="s">
        <v>1295</v>
      </c>
      <c r="V87" t="s">
        <v>1296</v>
      </c>
    </row>
    <row r="88" spans="2:22" x14ac:dyDescent="0.2">
      <c r="B88">
        <v>294929</v>
      </c>
      <c r="C88" t="s">
        <v>1549</v>
      </c>
      <c r="D88" t="s">
        <v>130</v>
      </c>
      <c r="E88" s="120">
        <v>45974</v>
      </c>
      <c r="F88" t="s">
        <v>1563</v>
      </c>
      <c r="G88" s="120">
        <v>45974</v>
      </c>
      <c r="H88" t="s">
        <v>1543</v>
      </c>
      <c r="I88">
        <v>0</v>
      </c>
      <c r="J88" t="s">
        <v>1544</v>
      </c>
      <c r="K88" t="s">
        <v>1545</v>
      </c>
      <c r="L88" s="118">
        <v>2062.29</v>
      </c>
      <c r="M88">
        <v>20</v>
      </c>
      <c r="O88" s="118">
        <v>89.664795652173922</v>
      </c>
      <c r="T88" t="s">
        <v>1433</v>
      </c>
      <c r="U88" t="s">
        <v>1295</v>
      </c>
      <c r="V88" t="s">
        <v>1296</v>
      </c>
    </row>
    <row r="89" spans="2:22" x14ac:dyDescent="0.2">
      <c r="B89">
        <v>294929</v>
      </c>
      <c r="C89" t="s">
        <v>1548</v>
      </c>
      <c r="D89" t="s">
        <v>130</v>
      </c>
      <c r="E89" s="120">
        <v>45974</v>
      </c>
      <c r="F89" t="s">
        <v>1563</v>
      </c>
      <c r="G89" s="120">
        <v>45974</v>
      </c>
      <c r="H89" t="s">
        <v>1543</v>
      </c>
      <c r="I89">
        <v>0</v>
      </c>
      <c r="J89" t="s">
        <v>1544</v>
      </c>
      <c r="K89" t="s">
        <v>1545</v>
      </c>
      <c r="L89" s="118">
        <v>3887.92</v>
      </c>
      <c r="M89">
        <v>20</v>
      </c>
      <c r="O89" s="118">
        <v>169.04006956521741</v>
      </c>
      <c r="T89" t="s">
        <v>1433</v>
      </c>
      <c r="U89" t="s">
        <v>1295</v>
      </c>
      <c r="V89" t="s">
        <v>1296</v>
      </c>
    </row>
    <row r="90" spans="2:22" x14ac:dyDescent="0.2">
      <c r="B90">
        <v>294929</v>
      </c>
      <c r="C90" t="s">
        <v>1390</v>
      </c>
      <c r="D90" t="s">
        <v>130</v>
      </c>
      <c r="E90" s="120">
        <v>45974</v>
      </c>
      <c r="F90" t="s">
        <v>1563</v>
      </c>
      <c r="G90" s="120">
        <v>45974</v>
      </c>
      <c r="H90" t="s">
        <v>1543</v>
      </c>
      <c r="I90">
        <v>0</v>
      </c>
      <c r="J90" t="s">
        <v>1544</v>
      </c>
      <c r="K90" t="s">
        <v>1545</v>
      </c>
      <c r="L90" s="118">
        <v>0</v>
      </c>
      <c r="M90">
        <v>20</v>
      </c>
      <c r="O90" s="118">
        <v>0</v>
      </c>
      <c r="T90" t="s">
        <v>1433</v>
      </c>
      <c r="U90" t="s">
        <v>1295</v>
      </c>
      <c r="V90" t="s">
        <v>1296</v>
      </c>
    </row>
    <row r="91" spans="2:22" x14ac:dyDescent="0.2">
      <c r="B91">
        <v>294930</v>
      </c>
      <c r="C91" t="s">
        <v>86</v>
      </c>
      <c r="D91" t="s">
        <v>130</v>
      </c>
      <c r="E91" s="120">
        <v>45974</v>
      </c>
      <c r="F91" t="s">
        <v>1563</v>
      </c>
      <c r="G91" s="120">
        <v>45974</v>
      </c>
      <c r="H91" t="s">
        <v>1543</v>
      </c>
      <c r="I91">
        <v>0</v>
      </c>
      <c r="J91" t="s">
        <v>1544</v>
      </c>
      <c r="K91" t="s">
        <v>1545</v>
      </c>
      <c r="L91" s="118">
        <v>44.84</v>
      </c>
      <c r="M91">
        <v>20</v>
      </c>
      <c r="O91" s="118">
        <v>89.670400000000001</v>
      </c>
      <c r="T91" t="s">
        <v>1433</v>
      </c>
      <c r="U91" t="s">
        <v>1295</v>
      </c>
      <c r="V91" t="s">
        <v>1296</v>
      </c>
    </row>
    <row r="92" spans="2:22" x14ac:dyDescent="0.2">
      <c r="B92">
        <v>294930</v>
      </c>
      <c r="D92" t="s">
        <v>130</v>
      </c>
      <c r="E92" s="120">
        <v>45974</v>
      </c>
      <c r="F92" t="s">
        <v>1563</v>
      </c>
      <c r="G92" s="120">
        <v>45974</v>
      </c>
      <c r="H92" t="s">
        <v>1543</v>
      </c>
      <c r="I92">
        <v>0</v>
      </c>
      <c r="J92" t="s">
        <v>1544</v>
      </c>
      <c r="K92" t="s">
        <v>1545</v>
      </c>
      <c r="L92" s="118">
        <v>0</v>
      </c>
      <c r="M92">
        <v>20</v>
      </c>
      <c r="O92" s="118">
        <v>0</v>
      </c>
      <c r="T92" t="s">
        <v>1433</v>
      </c>
      <c r="U92" t="s">
        <v>1295</v>
      </c>
      <c r="V92" t="s">
        <v>1296</v>
      </c>
    </row>
    <row r="93" spans="2:22" x14ac:dyDescent="0.2">
      <c r="B93">
        <v>294928</v>
      </c>
      <c r="C93" t="s">
        <v>1547</v>
      </c>
      <c r="D93" t="s">
        <v>130</v>
      </c>
      <c r="E93" s="120">
        <v>45974</v>
      </c>
      <c r="F93" t="s">
        <v>1563</v>
      </c>
      <c r="G93" s="120">
        <v>45974</v>
      </c>
      <c r="H93" t="s">
        <v>1543</v>
      </c>
      <c r="I93">
        <v>0</v>
      </c>
      <c r="J93" t="s">
        <v>1544</v>
      </c>
      <c r="K93" t="s">
        <v>1545</v>
      </c>
      <c r="L93" s="118">
        <v>268.99</v>
      </c>
      <c r="M93">
        <v>20</v>
      </c>
      <c r="O93" s="118">
        <v>89.663233333333338</v>
      </c>
      <c r="T93" t="s">
        <v>1433</v>
      </c>
      <c r="U93" t="s">
        <v>1295</v>
      </c>
      <c r="V93" t="s">
        <v>1296</v>
      </c>
    </row>
    <row r="94" spans="2:22" x14ac:dyDescent="0.2">
      <c r="B94">
        <v>294928</v>
      </c>
      <c r="C94" t="s">
        <v>1390</v>
      </c>
      <c r="D94" t="s">
        <v>130</v>
      </c>
      <c r="E94" s="120">
        <v>45974</v>
      </c>
      <c r="F94" t="s">
        <v>1563</v>
      </c>
      <c r="G94" s="120">
        <v>45974</v>
      </c>
      <c r="H94" t="s">
        <v>1543</v>
      </c>
      <c r="I94">
        <v>0</v>
      </c>
      <c r="J94" t="s">
        <v>1544</v>
      </c>
      <c r="K94" t="s">
        <v>1545</v>
      </c>
      <c r="L94" s="118">
        <v>0</v>
      </c>
      <c r="M94">
        <v>20</v>
      </c>
      <c r="O94" s="118">
        <v>0</v>
      </c>
      <c r="T94" t="s">
        <v>1433</v>
      </c>
      <c r="U94" t="s">
        <v>1295</v>
      </c>
      <c r="V94" t="s">
        <v>1296</v>
      </c>
    </row>
    <row r="95" spans="2:22" x14ac:dyDescent="0.2">
      <c r="B95">
        <v>294931</v>
      </c>
      <c r="C95" t="s">
        <v>1549</v>
      </c>
      <c r="D95" t="s">
        <v>130</v>
      </c>
      <c r="E95" s="120">
        <v>45974</v>
      </c>
      <c r="F95" t="s">
        <v>1563</v>
      </c>
      <c r="G95" s="120">
        <v>45974</v>
      </c>
      <c r="H95" t="s">
        <v>1543</v>
      </c>
      <c r="I95">
        <v>0</v>
      </c>
      <c r="J95" t="s">
        <v>1544</v>
      </c>
      <c r="K95" t="s">
        <v>1545</v>
      </c>
      <c r="L95" s="118">
        <v>537.99</v>
      </c>
      <c r="M95">
        <v>20</v>
      </c>
      <c r="O95" s="118">
        <v>89.665033333333326</v>
      </c>
      <c r="T95" t="s">
        <v>1433</v>
      </c>
      <c r="U95" t="s">
        <v>1295</v>
      </c>
      <c r="V95" t="s">
        <v>1296</v>
      </c>
    </row>
    <row r="96" spans="2:22" x14ac:dyDescent="0.2">
      <c r="B96">
        <v>294931</v>
      </c>
      <c r="C96" t="s">
        <v>1548</v>
      </c>
      <c r="D96" t="s">
        <v>130</v>
      </c>
      <c r="E96" s="120">
        <v>45974</v>
      </c>
      <c r="F96" t="s">
        <v>1563</v>
      </c>
      <c r="G96" s="120">
        <v>45974</v>
      </c>
      <c r="H96" t="s">
        <v>1543</v>
      </c>
      <c r="I96">
        <v>0</v>
      </c>
      <c r="J96" t="s">
        <v>1544</v>
      </c>
      <c r="K96" t="s">
        <v>1545</v>
      </c>
      <c r="L96" s="118">
        <v>1014.24</v>
      </c>
      <c r="M96">
        <v>20</v>
      </c>
      <c r="O96" s="118">
        <v>169.04053333333334</v>
      </c>
      <c r="T96" t="s">
        <v>1433</v>
      </c>
      <c r="U96" t="s">
        <v>1295</v>
      </c>
      <c r="V96" t="s">
        <v>1296</v>
      </c>
    </row>
    <row r="97" spans="2:22" x14ac:dyDescent="0.2">
      <c r="B97">
        <v>294931</v>
      </c>
      <c r="C97" t="s">
        <v>1390</v>
      </c>
      <c r="D97" t="s">
        <v>130</v>
      </c>
      <c r="E97" s="120">
        <v>45974</v>
      </c>
      <c r="F97" t="s">
        <v>1563</v>
      </c>
      <c r="G97" s="120">
        <v>45974</v>
      </c>
      <c r="H97" t="s">
        <v>1543</v>
      </c>
      <c r="I97">
        <v>0</v>
      </c>
      <c r="J97" t="s">
        <v>1544</v>
      </c>
      <c r="K97" t="s">
        <v>1545</v>
      </c>
      <c r="L97" s="118">
        <v>0</v>
      </c>
      <c r="M97">
        <v>20</v>
      </c>
      <c r="O97" s="118">
        <v>0</v>
      </c>
      <c r="T97" t="s">
        <v>1433</v>
      </c>
      <c r="U97" t="s">
        <v>1295</v>
      </c>
      <c r="V97" t="s">
        <v>1296</v>
      </c>
    </row>
    <row r="98" spans="2:22" x14ac:dyDescent="0.2">
      <c r="B98">
        <v>294932</v>
      </c>
      <c r="C98" t="s">
        <v>1547</v>
      </c>
      <c r="D98" t="s">
        <v>130</v>
      </c>
      <c r="E98" s="120">
        <v>45974</v>
      </c>
      <c r="F98" t="s">
        <v>1563</v>
      </c>
      <c r="G98" s="120">
        <v>45974</v>
      </c>
      <c r="H98" t="s">
        <v>1543</v>
      </c>
      <c r="I98">
        <v>0</v>
      </c>
      <c r="J98" t="s">
        <v>1544</v>
      </c>
      <c r="K98" t="s">
        <v>1545</v>
      </c>
      <c r="L98" s="118">
        <v>268.99</v>
      </c>
      <c r="M98">
        <v>20</v>
      </c>
      <c r="O98" s="118">
        <v>89.663233333333338</v>
      </c>
      <c r="T98" t="s">
        <v>1433</v>
      </c>
      <c r="U98" t="s">
        <v>1295</v>
      </c>
      <c r="V98" t="s">
        <v>1296</v>
      </c>
    </row>
    <row r="99" spans="2:22" x14ac:dyDescent="0.2">
      <c r="B99">
        <v>294932</v>
      </c>
      <c r="C99" t="s">
        <v>1403</v>
      </c>
      <c r="D99" t="s">
        <v>130</v>
      </c>
      <c r="E99" s="120">
        <v>45974</v>
      </c>
      <c r="F99" t="s">
        <v>1563</v>
      </c>
      <c r="G99" s="120">
        <v>45974</v>
      </c>
      <c r="H99" t="s">
        <v>1543</v>
      </c>
      <c r="I99">
        <v>0</v>
      </c>
      <c r="J99" t="s">
        <v>1544</v>
      </c>
      <c r="K99" t="s">
        <v>1545</v>
      </c>
      <c r="L99" s="118">
        <v>0</v>
      </c>
      <c r="M99">
        <v>20</v>
      </c>
      <c r="O99" s="118">
        <v>0</v>
      </c>
      <c r="T99" t="s">
        <v>1433</v>
      </c>
      <c r="U99" t="s">
        <v>1295</v>
      </c>
      <c r="V99" t="s">
        <v>1296</v>
      </c>
    </row>
    <row r="100" spans="2:22" x14ac:dyDescent="0.2">
      <c r="B100">
        <v>294933</v>
      </c>
      <c r="C100" t="s">
        <v>1547</v>
      </c>
      <c r="D100" t="s">
        <v>130</v>
      </c>
      <c r="E100" s="120">
        <v>45974</v>
      </c>
      <c r="F100" t="s">
        <v>1563</v>
      </c>
      <c r="G100" s="120">
        <v>45974</v>
      </c>
      <c r="H100" t="s">
        <v>1543</v>
      </c>
      <c r="I100">
        <v>0</v>
      </c>
      <c r="J100" t="s">
        <v>1544</v>
      </c>
      <c r="K100" t="s">
        <v>1545</v>
      </c>
      <c r="L100" s="118">
        <v>268.99</v>
      </c>
      <c r="M100">
        <v>20</v>
      </c>
      <c r="O100" s="118">
        <v>89.663233333333338</v>
      </c>
      <c r="T100" t="s">
        <v>1433</v>
      </c>
      <c r="U100" t="s">
        <v>1295</v>
      </c>
      <c r="V100" t="s">
        <v>1296</v>
      </c>
    </row>
    <row r="101" spans="2:22" x14ac:dyDescent="0.2">
      <c r="B101">
        <v>294933</v>
      </c>
      <c r="C101" t="s">
        <v>1390</v>
      </c>
      <c r="D101" t="s">
        <v>130</v>
      </c>
      <c r="E101" s="120">
        <v>45974</v>
      </c>
      <c r="F101" t="s">
        <v>1563</v>
      </c>
      <c r="G101" s="120">
        <v>45974</v>
      </c>
      <c r="H101" t="s">
        <v>1543</v>
      </c>
      <c r="I101">
        <v>0</v>
      </c>
      <c r="J101" t="s">
        <v>1544</v>
      </c>
      <c r="K101" t="s">
        <v>1545</v>
      </c>
      <c r="L101" s="118">
        <v>0</v>
      </c>
      <c r="M101">
        <v>20</v>
      </c>
      <c r="O101" s="118">
        <v>0</v>
      </c>
      <c r="T101" t="s">
        <v>1433</v>
      </c>
      <c r="U101" t="s">
        <v>1295</v>
      </c>
      <c r="V101" t="s">
        <v>1296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D1BFE-1525-4866-B987-7C8C59B90F8E}">
  <sheetPr codeName="Assetic_NewNetworkMeasure">
    <tabColor rgb="FF008DA8"/>
  </sheetPr>
  <dimension ref="A1:I101"/>
  <sheetViews>
    <sheetView workbookViewId="0">
      <selection activeCell="A2" sqref="A2:I1002"/>
    </sheetView>
  </sheetViews>
  <sheetFormatPr defaultRowHeight="14.25" x14ac:dyDescent="0.2"/>
  <cols>
    <col min="1" max="4" width="16.5" customWidth="1"/>
    <col min="5" max="5" width="20.625" bestFit="1" customWidth="1"/>
    <col min="6" max="9" width="16.5" customWidth="1"/>
  </cols>
  <sheetData>
    <row r="1" spans="1:9" ht="50.1" customHeight="1" x14ac:dyDescent="0.2">
      <c r="A1" t="s">
        <v>1120</v>
      </c>
      <c r="B1" t="s">
        <v>1121</v>
      </c>
      <c r="C1" t="s">
        <v>1086</v>
      </c>
      <c r="D1" t="s">
        <v>955</v>
      </c>
      <c r="E1" t="s">
        <v>1122</v>
      </c>
      <c r="F1" t="s">
        <v>1123</v>
      </c>
      <c r="G1" t="s">
        <v>1124</v>
      </c>
      <c r="H1" t="s">
        <v>935</v>
      </c>
      <c r="I1" t="s">
        <v>1125</v>
      </c>
    </row>
    <row r="2" spans="1:9" x14ac:dyDescent="0.2">
      <c r="A2">
        <v>1</v>
      </c>
      <c r="B2" t="s">
        <v>242</v>
      </c>
      <c r="C2">
        <v>294886</v>
      </c>
      <c r="D2" t="s">
        <v>158</v>
      </c>
      <c r="F2" t="s">
        <v>1542</v>
      </c>
      <c r="G2">
        <v>1</v>
      </c>
      <c r="I2" t="s">
        <v>243</v>
      </c>
    </row>
    <row r="3" spans="1:9" x14ac:dyDescent="0.2">
      <c r="A3">
        <v>1</v>
      </c>
      <c r="B3" t="s">
        <v>242</v>
      </c>
      <c r="C3">
        <v>294888</v>
      </c>
      <c r="D3" t="s">
        <v>158</v>
      </c>
      <c r="F3" t="s">
        <v>1542</v>
      </c>
      <c r="G3">
        <v>1</v>
      </c>
      <c r="I3" t="s">
        <v>243</v>
      </c>
    </row>
    <row r="4" spans="1:9" x14ac:dyDescent="0.2">
      <c r="A4">
        <v>1</v>
      </c>
      <c r="B4" t="s">
        <v>242</v>
      </c>
      <c r="C4">
        <v>294887</v>
      </c>
      <c r="D4" t="s">
        <v>158</v>
      </c>
      <c r="F4" t="s">
        <v>1542</v>
      </c>
      <c r="G4">
        <v>1</v>
      </c>
      <c r="I4" t="s">
        <v>243</v>
      </c>
    </row>
    <row r="5" spans="1:9" x14ac:dyDescent="0.2">
      <c r="A5">
        <v>1</v>
      </c>
      <c r="B5" t="s">
        <v>242</v>
      </c>
      <c r="C5">
        <v>294889</v>
      </c>
      <c r="D5" t="s">
        <v>158</v>
      </c>
      <c r="F5" t="s">
        <v>1542</v>
      </c>
      <c r="G5">
        <v>1</v>
      </c>
      <c r="I5" t="s">
        <v>243</v>
      </c>
    </row>
    <row r="6" spans="1:9" x14ac:dyDescent="0.2">
      <c r="A6">
        <v>1</v>
      </c>
      <c r="B6" t="s">
        <v>242</v>
      </c>
      <c r="C6">
        <v>294890</v>
      </c>
      <c r="D6" t="s">
        <v>158</v>
      </c>
      <c r="F6" t="s">
        <v>1542</v>
      </c>
      <c r="G6">
        <v>1</v>
      </c>
      <c r="I6" t="s">
        <v>243</v>
      </c>
    </row>
    <row r="7" spans="1:9" x14ac:dyDescent="0.2">
      <c r="A7">
        <v>1</v>
      </c>
      <c r="B7" t="s">
        <v>242</v>
      </c>
      <c r="C7">
        <v>294891</v>
      </c>
      <c r="D7" t="s">
        <v>158</v>
      </c>
      <c r="F7" t="s">
        <v>1542</v>
      </c>
      <c r="G7">
        <v>1</v>
      </c>
      <c r="I7" t="s">
        <v>243</v>
      </c>
    </row>
    <row r="8" spans="1:9" x14ac:dyDescent="0.2">
      <c r="A8">
        <v>1</v>
      </c>
      <c r="B8" t="s">
        <v>242</v>
      </c>
      <c r="C8">
        <v>294892</v>
      </c>
      <c r="D8" t="s">
        <v>158</v>
      </c>
      <c r="F8" t="s">
        <v>1542</v>
      </c>
      <c r="G8">
        <v>1</v>
      </c>
      <c r="I8" t="s">
        <v>243</v>
      </c>
    </row>
    <row r="9" spans="1:9" x14ac:dyDescent="0.2">
      <c r="A9">
        <v>1</v>
      </c>
      <c r="B9" t="s">
        <v>242</v>
      </c>
      <c r="C9">
        <v>294893</v>
      </c>
      <c r="D9" t="s">
        <v>158</v>
      </c>
      <c r="F9" t="s">
        <v>1542</v>
      </c>
      <c r="G9">
        <v>1</v>
      </c>
      <c r="I9" t="s">
        <v>243</v>
      </c>
    </row>
    <row r="10" spans="1:9" x14ac:dyDescent="0.2">
      <c r="A10">
        <v>1</v>
      </c>
      <c r="B10" t="s">
        <v>242</v>
      </c>
      <c r="C10">
        <v>294894</v>
      </c>
      <c r="D10" t="s">
        <v>158</v>
      </c>
      <c r="F10" t="s">
        <v>1542</v>
      </c>
      <c r="G10">
        <v>1</v>
      </c>
      <c r="I10" t="s">
        <v>243</v>
      </c>
    </row>
    <row r="11" spans="1:9" x14ac:dyDescent="0.2">
      <c r="A11">
        <v>1</v>
      </c>
      <c r="B11" t="s">
        <v>242</v>
      </c>
      <c r="C11">
        <v>294895</v>
      </c>
      <c r="D11" t="s">
        <v>158</v>
      </c>
      <c r="F11" t="s">
        <v>1542</v>
      </c>
      <c r="G11">
        <v>1</v>
      </c>
      <c r="I11" t="s">
        <v>243</v>
      </c>
    </row>
    <row r="12" spans="1:9" x14ac:dyDescent="0.2">
      <c r="A12">
        <v>1</v>
      </c>
      <c r="B12" t="s">
        <v>242</v>
      </c>
      <c r="C12">
        <v>294898</v>
      </c>
      <c r="D12" t="s">
        <v>158</v>
      </c>
      <c r="F12" t="s">
        <v>1542</v>
      </c>
      <c r="G12">
        <v>1</v>
      </c>
      <c r="I12" t="s">
        <v>243</v>
      </c>
    </row>
    <row r="13" spans="1:9" x14ac:dyDescent="0.2">
      <c r="A13">
        <v>1</v>
      </c>
      <c r="B13" t="s">
        <v>242</v>
      </c>
      <c r="C13">
        <v>294896</v>
      </c>
      <c r="D13" t="s">
        <v>158</v>
      </c>
      <c r="F13" t="s">
        <v>1542</v>
      </c>
      <c r="G13">
        <v>1</v>
      </c>
      <c r="I13" t="s">
        <v>243</v>
      </c>
    </row>
    <row r="14" spans="1:9" x14ac:dyDescent="0.2">
      <c r="A14">
        <v>1</v>
      </c>
      <c r="B14" t="s">
        <v>242</v>
      </c>
      <c r="C14">
        <v>294899</v>
      </c>
      <c r="D14" t="s">
        <v>158</v>
      </c>
      <c r="F14" t="s">
        <v>1542</v>
      </c>
      <c r="G14">
        <v>1</v>
      </c>
      <c r="I14" t="s">
        <v>243</v>
      </c>
    </row>
    <row r="15" spans="1:9" x14ac:dyDescent="0.2">
      <c r="A15">
        <v>3</v>
      </c>
      <c r="B15" t="s">
        <v>244</v>
      </c>
      <c r="C15">
        <v>294897</v>
      </c>
      <c r="D15" t="s">
        <v>86</v>
      </c>
      <c r="F15" t="s">
        <v>1542</v>
      </c>
      <c r="G15">
        <v>1</v>
      </c>
      <c r="I15" t="s">
        <v>243</v>
      </c>
    </row>
    <row r="16" spans="1:9" x14ac:dyDescent="0.2">
      <c r="A16">
        <v>3</v>
      </c>
      <c r="B16" t="s">
        <v>244</v>
      </c>
      <c r="C16">
        <v>294897</v>
      </c>
      <c r="F16" t="s">
        <v>1542</v>
      </c>
      <c r="G16">
        <v>1</v>
      </c>
      <c r="I16" t="s">
        <v>245</v>
      </c>
    </row>
    <row r="17" spans="1:9" x14ac:dyDescent="0.2">
      <c r="A17">
        <v>0.5</v>
      </c>
      <c r="B17" t="s">
        <v>244</v>
      </c>
      <c r="C17">
        <v>294900</v>
      </c>
      <c r="D17" t="s">
        <v>1547</v>
      </c>
      <c r="F17" t="s">
        <v>1542</v>
      </c>
      <c r="G17">
        <v>1</v>
      </c>
      <c r="I17" t="s">
        <v>245</v>
      </c>
    </row>
    <row r="18" spans="1:9" x14ac:dyDescent="0.2">
      <c r="A18">
        <v>0.5</v>
      </c>
      <c r="B18" t="s">
        <v>244</v>
      </c>
      <c r="C18">
        <v>294900</v>
      </c>
      <c r="D18" t="s">
        <v>1390</v>
      </c>
      <c r="F18" t="s">
        <v>1542</v>
      </c>
      <c r="G18">
        <v>1</v>
      </c>
      <c r="I18" t="s">
        <v>245</v>
      </c>
    </row>
    <row r="19" spans="1:9" x14ac:dyDescent="0.2">
      <c r="A19">
        <v>6</v>
      </c>
      <c r="B19" t="s">
        <v>244</v>
      </c>
      <c r="C19">
        <v>294901</v>
      </c>
      <c r="D19" t="s">
        <v>1390</v>
      </c>
      <c r="F19" t="s">
        <v>1542</v>
      </c>
      <c r="G19">
        <v>1</v>
      </c>
      <c r="I19" t="s">
        <v>245</v>
      </c>
    </row>
    <row r="20" spans="1:9" x14ac:dyDescent="0.2">
      <c r="A20">
        <v>6</v>
      </c>
      <c r="B20" t="s">
        <v>244</v>
      </c>
      <c r="C20">
        <v>294901</v>
      </c>
      <c r="D20" t="s">
        <v>1549</v>
      </c>
      <c r="F20" t="s">
        <v>1542</v>
      </c>
      <c r="G20">
        <v>1</v>
      </c>
      <c r="I20" t="s">
        <v>245</v>
      </c>
    </row>
    <row r="21" spans="1:9" x14ac:dyDescent="0.2">
      <c r="A21">
        <v>6</v>
      </c>
      <c r="B21" t="s">
        <v>244</v>
      </c>
      <c r="C21">
        <v>294901</v>
      </c>
      <c r="D21" t="s">
        <v>1548</v>
      </c>
      <c r="F21" t="s">
        <v>1542</v>
      </c>
      <c r="G21">
        <v>1</v>
      </c>
      <c r="I21" t="s">
        <v>245</v>
      </c>
    </row>
    <row r="22" spans="1:9" x14ac:dyDescent="0.2">
      <c r="A22">
        <v>6</v>
      </c>
      <c r="B22" t="s">
        <v>244</v>
      </c>
      <c r="C22">
        <v>294905</v>
      </c>
      <c r="D22" t="s">
        <v>1390</v>
      </c>
      <c r="F22" t="s">
        <v>1542</v>
      </c>
      <c r="G22">
        <v>1</v>
      </c>
      <c r="I22" t="s">
        <v>245</v>
      </c>
    </row>
    <row r="23" spans="1:9" x14ac:dyDescent="0.2">
      <c r="A23">
        <v>6</v>
      </c>
      <c r="B23" t="s">
        <v>244</v>
      </c>
      <c r="C23">
        <v>294905</v>
      </c>
      <c r="D23" t="s">
        <v>1549</v>
      </c>
      <c r="F23" t="s">
        <v>1542</v>
      </c>
      <c r="G23">
        <v>1</v>
      </c>
      <c r="I23" t="s">
        <v>245</v>
      </c>
    </row>
    <row r="24" spans="1:9" x14ac:dyDescent="0.2">
      <c r="A24">
        <v>6</v>
      </c>
      <c r="B24" t="s">
        <v>244</v>
      </c>
      <c r="C24">
        <v>294905</v>
      </c>
      <c r="D24" t="s">
        <v>1548</v>
      </c>
      <c r="F24" t="s">
        <v>1542</v>
      </c>
      <c r="G24">
        <v>1</v>
      </c>
      <c r="I24" t="s">
        <v>245</v>
      </c>
    </row>
    <row r="25" spans="1:9" x14ac:dyDescent="0.2">
      <c r="A25">
        <v>6</v>
      </c>
      <c r="B25" t="s">
        <v>244</v>
      </c>
      <c r="C25">
        <v>294902</v>
      </c>
      <c r="D25" t="s">
        <v>1390</v>
      </c>
      <c r="F25" t="s">
        <v>1542</v>
      </c>
      <c r="G25">
        <v>1</v>
      </c>
      <c r="I25" t="s">
        <v>245</v>
      </c>
    </row>
    <row r="26" spans="1:9" x14ac:dyDescent="0.2">
      <c r="A26">
        <v>6</v>
      </c>
      <c r="B26" t="s">
        <v>244</v>
      </c>
      <c r="C26">
        <v>294902</v>
      </c>
      <c r="D26" t="s">
        <v>1549</v>
      </c>
      <c r="F26" t="s">
        <v>1542</v>
      </c>
      <c r="G26">
        <v>1</v>
      </c>
      <c r="I26" t="s">
        <v>245</v>
      </c>
    </row>
    <row r="27" spans="1:9" x14ac:dyDescent="0.2">
      <c r="A27">
        <v>6</v>
      </c>
      <c r="B27" t="s">
        <v>244</v>
      </c>
      <c r="C27">
        <v>294902</v>
      </c>
      <c r="D27" t="s">
        <v>1548</v>
      </c>
      <c r="F27" t="s">
        <v>1542</v>
      </c>
      <c r="G27">
        <v>1</v>
      </c>
      <c r="I27" t="s">
        <v>245</v>
      </c>
    </row>
    <row r="28" spans="1:9" x14ac:dyDescent="0.2">
      <c r="A28">
        <v>1</v>
      </c>
      <c r="B28" t="s">
        <v>244</v>
      </c>
      <c r="C28">
        <v>294904</v>
      </c>
      <c r="D28" t="s">
        <v>1547</v>
      </c>
      <c r="F28" t="s">
        <v>1542</v>
      </c>
      <c r="G28">
        <v>1</v>
      </c>
      <c r="I28" t="s">
        <v>245</v>
      </c>
    </row>
    <row r="29" spans="1:9" x14ac:dyDescent="0.2">
      <c r="A29">
        <v>1</v>
      </c>
      <c r="B29" t="s">
        <v>244</v>
      </c>
      <c r="C29">
        <v>294904</v>
      </c>
      <c r="D29" t="s">
        <v>1390</v>
      </c>
      <c r="F29" t="s">
        <v>1542</v>
      </c>
      <c r="G29">
        <v>1</v>
      </c>
      <c r="I29" t="s">
        <v>245</v>
      </c>
    </row>
    <row r="30" spans="1:9" x14ac:dyDescent="0.2">
      <c r="A30">
        <v>25</v>
      </c>
      <c r="B30" t="s">
        <v>244</v>
      </c>
      <c r="C30">
        <v>294903</v>
      </c>
      <c r="D30" t="s">
        <v>1390</v>
      </c>
      <c r="F30" t="s">
        <v>1542</v>
      </c>
      <c r="G30">
        <v>1</v>
      </c>
      <c r="I30" t="s">
        <v>245</v>
      </c>
    </row>
    <row r="31" spans="1:9" x14ac:dyDescent="0.2">
      <c r="A31">
        <v>25</v>
      </c>
      <c r="B31" t="s">
        <v>244</v>
      </c>
      <c r="C31">
        <v>294903</v>
      </c>
      <c r="D31" t="s">
        <v>1549</v>
      </c>
      <c r="F31" t="s">
        <v>1542</v>
      </c>
      <c r="G31">
        <v>1</v>
      </c>
      <c r="I31" t="s">
        <v>245</v>
      </c>
    </row>
    <row r="32" spans="1:9" x14ac:dyDescent="0.2">
      <c r="A32">
        <v>25</v>
      </c>
      <c r="B32" t="s">
        <v>244</v>
      </c>
      <c r="C32">
        <v>294903</v>
      </c>
      <c r="D32" t="s">
        <v>1548</v>
      </c>
      <c r="F32" t="s">
        <v>1542</v>
      </c>
      <c r="G32">
        <v>1</v>
      </c>
      <c r="I32" t="s">
        <v>245</v>
      </c>
    </row>
    <row r="33" spans="1:9" x14ac:dyDescent="0.2">
      <c r="A33">
        <v>25</v>
      </c>
      <c r="B33" t="s">
        <v>244</v>
      </c>
      <c r="C33">
        <v>294909</v>
      </c>
      <c r="D33" t="s">
        <v>1390</v>
      </c>
      <c r="F33" t="s">
        <v>1542</v>
      </c>
      <c r="G33">
        <v>1</v>
      </c>
      <c r="I33" t="s">
        <v>245</v>
      </c>
    </row>
    <row r="34" spans="1:9" x14ac:dyDescent="0.2">
      <c r="A34">
        <v>25</v>
      </c>
      <c r="B34" t="s">
        <v>244</v>
      </c>
      <c r="C34">
        <v>294909</v>
      </c>
      <c r="D34" t="s">
        <v>1549</v>
      </c>
      <c r="F34" t="s">
        <v>1542</v>
      </c>
      <c r="G34">
        <v>1</v>
      </c>
      <c r="I34" t="s">
        <v>245</v>
      </c>
    </row>
    <row r="35" spans="1:9" x14ac:dyDescent="0.2">
      <c r="A35">
        <v>25</v>
      </c>
      <c r="B35" t="s">
        <v>244</v>
      </c>
      <c r="C35">
        <v>294909</v>
      </c>
      <c r="D35" t="s">
        <v>1548</v>
      </c>
      <c r="F35" t="s">
        <v>1542</v>
      </c>
      <c r="G35">
        <v>1</v>
      </c>
      <c r="I35" t="s">
        <v>245</v>
      </c>
    </row>
    <row r="36" spans="1:9" x14ac:dyDescent="0.2">
      <c r="A36">
        <v>25</v>
      </c>
      <c r="B36" t="s">
        <v>244</v>
      </c>
      <c r="C36">
        <v>294910</v>
      </c>
      <c r="D36" t="s">
        <v>1390</v>
      </c>
      <c r="F36" t="s">
        <v>1542</v>
      </c>
      <c r="G36">
        <v>1</v>
      </c>
      <c r="I36" t="s">
        <v>245</v>
      </c>
    </row>
    <row r="37" spans="1:9" x14ac:dyDescent="0.2">
      <c r="A37">
        <v>25</v>
      </c>
      <c r="B37" t="s">
        <v>244</v>
      </c>
      <c r="C37">
        <v>294910</v>
      </c>
      <c r="D37" t="s">
        <v>1549</v>
      </c>
      <c r="F37" t="s">
        <v>1542</v>
      </c>
      <c r="G37">
        <v>1</v>
      </c>
      <c r="I37" t="s">
        <v>245</v>
      </c>
    </row>
    <row r="38" spans="1:9" x14ac:dyDescent="0.2">
      <c r="A38">
        <v>25</v>
      </c>
      <c r="B38" t="s">
        <v>244</v>
      </c>
      <c r="C38">
        <v>294910</v>
      </c>
      <c r="D38" t="s">
        <v>1548</v>
      </c>
      <c r="F38" t="s">
        <v>1542</v>
      </c>
      <c r="G38">
        <v>1</v>
      </c>
      <c r="I38" t="s">
        <v>245</v>
      </c>
    </row>
    <row r="39" spans="1:9" x14ac:dyDescent="0.2">
      <c r="A39">
        <v>3</v>
      </c>
      <c r="B39" t="s">
        <v>244</v>
      </c>
      <c r="C39">
        <v>294906</v>
      </c>
      <c r="D39" t="s">
        <v>86</v>
      </c>
      <c r="F39" t="s">
        <v>1542</v>
      </c>
      <c r="G39">
        <v>1</v>
      </c>
      <c r="I39" t="s">
        <v>243</v>
      </c>
    </row>
    <row r="40" spans="1:9" x14ac:dyDescent="0.2">
      <c r="A40">
        <v>3</v>
      </c>
      <c r="B40" t="s">
        <v>244</v>
      </c>
      <c r="C40">
        <v>294906</v>
      </c>
      <c r="F40" t="s">
        <v>1542</v>
      </c>
      <c r="G40">
        <v>1</v>
      </c>
      <c r="I40" t="s">
        <v>245</v>
      </c>
    </row>
    <row r="41" spans="1:9" x14ac:dyDescent="0.2">
      <c r="A41">
        <v>4</v>
      </c>
      <c r="B41" t="s">
        <v>244</v>
      </c>
      <c r="C41">
        <v>294907</v>
      </c>
      <c r="D41" t="s">
        <v>1547</v>
      </c>
      <c r="F41" t="s">
        <v>1542</v>
      </c>
      <c r="G41">
        <v>1</v>
      </c>
      <c r="I41" t="s">
        <v>245</v>
      </c>
    </row>
    <row r="42" spans="1:9" x14ac:dyDescent="0.2">
      <c r="A42">
        <v>4</v>
      </c>
      <c r="B42" t="s">
        <v>244</v>
      </c>
      <c r="C42">
        <v>294907</v>
      </c>
      <c r="D42" t="s">
        <v>1390</v>
      </c>
      <c r="F42" t="s">
        <v>1542</v>
      </c>
      <c r="G42">
        <v>1</v>
      </c>
      <c r="I42" t="s">
        <v>245</v>
      </c>
    </row>
    <row r="43" spans="1:9" x14ac:dyDescent="0.2">
      <c r="A43">
        <v>4</v>
      </c>
      <c r="B43" t="s">
        <v>244</v>
      </c>
      <c r="C43">
        <v>294908</v>
      </c>
      <c r="D43" t="s">
        <v>1547</v>
      </c>
      <c r="F43" t="s">
        <v>1542</v>
      </c>
      <c r="G43">
        <v>1</v>
      </c>
      <c r="I43" t="s">
        <v>245</v>
      </c>
    </row>
    <row r="44" spans="1:9" x14ac:dyDescent="0.2">
      <c r="A44">
        <v>4</v>
      </c>
      <c r="B44" t="s">
        <v>244</v>
      </c>
      <c r="C44">
        <v>294908</v>
      </c>
      <c r="D44" t="s">
        <v>1390</v>
      </c>
      <c r="F44" t="s">
        <v>1542</v>
      </c>
      <c r="G44">
        <v>1</v>
      </c>
      <c r="I44" t="s">
        <v>245</v>
      </c>
    </row>
    <row r="45" spans="1:9" x14ac:dyDescent="0.2">
      <c r="A45">
        <v>9</v>
      </c>
      <c r="B45" t="s">
        <v>244</v>
      </c>
      <c r="C45">
        <v>294911</v>
      </c>
      <c r="D45" t="s">
        <v>1390</v>
      </c>
      <c r="F45" t="s">
        <v>1542</v>
      </c>
      <c r="G45">
        <v>1</v>
      </c>
      <c r="I45" t="s">
        <v>245</v>
      </c>
    </row>
    <row r="46" spans="1:9" x14ac:dyDescent="0.2">
      <c r="A46">
        <v>9</v>
      </c>
      <c r="B46" t="s">
        <v>244</v>
      </c>
      <c r="C46">
        <v>294911</v>
      </c>
      <c r="D46" t="s">
        <v>1549</v>
      </c>
      <c r="F46" t="s">
        <v>1542</v>
      </c>
      <c r="G46">
        <v>1</v>
      </c>
      <c r="I46" t="s">
        <v>245</v>
      </c>
    </row>
    <row r="47" spans="1:9" x14ac:dyDescent="0.2">
      <c r="A47">
        <v>9</v>
      </c>
      <c r="B47" t="s">
        <v>244</v>
      </c>
      <c r="C47">
        <v>294911</v>
      </c>
      <c r="D47" t="s">
        <v>1548</v>
      </c>
      <c r="F47" t="s">
        <v>1542</v>
      </c>
      <c r="G47">
        <v>1</v>
      </c>
      <c r="I47" t="s">
        <v>245</v>
      </c>
    </row>
    <row r="48" spans="1:9" x14ac:dyDescent="0.2">
      <c r="A48">
        <v>9</v>
      </c>
      <c r="B48" t="s">
        <v>244</v>
      </c>
      <c r="C48">
        <v>294913</v>
      </c>
      <c r="D48" t="s">
        <v>1390</v>
      </c>
      <c r="F48" t="s">
        <v>1542</v>
      </c>
      <c r="G48">
        <v>1</v>
      </c>
      <c r="I48" t="s">
        <v>245</v>
      </c>
    </row>
    <row r="49" spans="1:9" x14ac:dyDescent="0.2">
      <c r="A49">
        <v>9</v>
      </c>
      <c r="B49" t="s">
        <v>244</v>
      </c>
      <c r="C49">
        <v>294913</v>
      </c>
      <c r="D49" t="s">
        <v>1549</v>
      </c>
      <c r="F49" t="s">
        <v>1542</v>
      </c>
      <c r="G49">
        <v>1</v>
      </c>
      <c r="I49" t="s">
        <v>245</v>
      </c>
    </row>
    <row r="50" spans="1:9" x14ac:dyDescent="0.2">
      <c r="A50">
        <v>9</v>
      </c>
      <c r="B50" t="s">
        <v>244</v>
      </c>
      <c r="C50">
        <v>294913</v>
      </c>
      <c r="D50" t="s">
        <v>1548</v>
      </c>
      <c r="F50" t="s">
        <v>1542</v>
      </c>
      <c r="G50">
        <v>1</v>
      </c>
      <c r="I50" t="s">
        <v>245</v>
      </c>
    </row>
    <row r="51" spans="1:9" x14ac:dyDescent="0.2">
      <c r="A51">
        <v>9</v>
      </c>
      <c r="B51" t="s">
        <v>244</v>
      </c>
      <c r="C51">
        <v>294914</v>
      </c>
      <c r="D51" t="s">
        <v>1390</v>
      </c>
      <c r="F51" t="s">
        <v>1542</v>
      </c>
      <c r="G51">
        <v>1</v>
      </c>
      <c r="I51" t="s">
        <v>245</v>
      </c>
    </row>
    <row r="52" spans="1:9" x14ac:dyDescent="0.2">
      <c r="A52">
        <v>9</v>
      </c>
      <c r="B52" t="s">
        <v>244</v>
      </c>
      <c r="C52">
        <v>294914</v>
      </c>
      <c r="D52" t="s">
        <v>1549</v>
      </c>
      <c r="F52" t="s">
        <v>1542</v>
      </c>
      <c r="G52">
        <v>1</v>
      </c>
      <c r="I52" t="s">
        <v>245</v>
      </c>
    </row>
    <row r="53" spans="1:9" x14ac:dyDescent="0.2">
      <c r="A53">
        <v>9</v>
      </c>
      <c r="B53" t="s">
        <v>244</v>
      </c>
      <c r="C53">
        <v>294914</v>
      </c>
      <c r="D53" t="s">
        <v>1548</v>
      </c>
      <c r="F53" t="s">
        <v>1542</v>
      </c>
      <c r="G53">
        <v>1</v>
      </c>
      <c r="I53" t="s">
        <v>245</v>
      </c>
    </row>
    <row r="54" spans="1:9" x14ac:dyDescent="0.2">
      <c r="A54">
        <v>26</v>
      </c>
      <c r="B54" t="s">
        <v>244</v>
      </c>
      <c r="C54">
        <v>294915</v>
      </c>
      <c r="D54" t="s">
        <v>1390</v>
      </c>
      <c r="F54" t="s">
        <v>1542</v>
      </c>
      <c r="G54">
        <v>1</v>
      </c>
      <c r="I54" t="s">
        <v>245</v>
      </c>
    </row>
    <row r="55" spans="1:9" x14ac:dyDescent="0.2">
      <c r="A55">
        <v>26</v>
      </c>
      <c r="B55" t="s">
        <v>244</v>
      </c>
      <c r="C55">
        <v>294915</v>
      </c>
      <c r="D55" t="s">
        <v>1549</v>
      </c>
      <c r="F55" t="s">
        <v>1542</v>
      </c>
      <c r="G55">
        <v>1</v>
      </c>
      <c r="I55" t="s">
        <v>245</v>
      </c>
    </row>
    <row r="56" spans="1:9" x14ac:dyDescent="0.2">
      <c r="A56">
        <v>26</v>
      </c>
      <c r="B56" t="s">
        <v>244</v>
      </c>
      <c r="C56">
        <v>294915</v>
      </c>
      <c r="D56" t="s">
        <v>1548</v>
      </c>
      <c r="F56" t="s">
        <v>1542</v>
      </c>
      <c r="G56">
        <v>1</v>
      </c>
      <c r="I56" t="s">
        <v>245</v>
      </c>
    </row>
    <row r="57" spans="1:9" x14ac:dyDescent="0.2">
      <c r="A57">
        <v>26</v>
      </c>
      <c r="B57" t="s">
        <v>244</v>
      </c>
      <c r="C57">
        <v>294912</v>
      </c>
      <c r="D57" t="s">
        <v>1390</v>
      </c>
      <c r="F57" t="s">
        <v>1542</v>
      </c>
      <c r="G57">
        <v>1</v>
      </c>
      <c r="I57" t="s">
        <v>245</v>
      </c>
    </row>
    <row r="58" spans="1:9" x14ac:dyDescent="0.2">
      <c r="A58">
        <v>26</v>
      </c>
      <c r="B58" t="s">
        <v>244</v>
      </c>
      <c r="C58">
        <v>294912</v>
      </c>
      <c r="D58" t="s">
        <v>1549</v>
      </c>
      <c r="F58" t="s">
        <v>1542</v>
      </c>
      <c r="G58">
        <v>1</v>
      </c>
      <c r="I58" t="s">
        <v>245</v>
      </c>
    </row>
    <row r="59" spans="1:9" x14ac:dyDescent="0.2">
      <c r="A59">
        <v>26</v>
      </c>
      <c r="B59" t="s">
        <v>244</v>
      </c>
      <c r="C59">
        <v>294912</v>
      </c>
      <c r="D59" t="s">
        <v>1548</v>
      </c>
      <c r="F59" t="s">
        <v>1542</v>
      </c>
      <c r="G59">
        <v>1</v>
      </c>
      <c r="I59" t="s">
        <v>245</v>
      </c>
    </row>
    <row r="60" spans="1:9" x14ac:dyDescent="0.2">
      <c r="A60">
        <v>26</v>
      </c>
      <c r="B60" t="s">
        <v>244</v>
      </c>
      <c r="C60">
        <v>294916</v>
      </c>
      <c r="D60" t="s">
        <v>1390</v>
      </c>
      <c r="F60" t="s">
        <v>1542</v>
      </c>
      <c r="G60">
        <v>1</v>
      </c>
      <c r="I60" t="s">
        <v>245</v>
      </c>
    </row>
    <row r="61" spans="1:9" x14ac:dyDescent="0.2">
      <c r="A61">
        <v>26</v>
      </c>
      <c r="B61" t="s">
        <v>244</v>
      </c>
      <c r="C61">
        <v>294916</v>
      </c>
      <c r="D61" t="s">
        <v>1549</v>
      </c>
      <c r="F61" t="s">
        <v>1542</v>
      </c>
      <c r="G61">
        <v>1</v>
      </c>
      <c r="I61" t="s">
        <v>245</v>
      </c>
    </row>
    <row r="62" spans="1:9" x14ac:dyDescent="0.2">
      <c r="A62">
        <v>26</v>
      </c>
      <c r="B62" t="s">
        <v>244</v>
      </c>
      <c r="C62">
        <v>294916</v>
      </c>
      <c r="D62" t="s">
        <v>1548</v>
      </c>
      <c r="F62" t="s">
        <v>1542</v>
      </c>
      <c r="G62">
        <v>1</v>
      </c>
      <c r="I62" t="s">
        <v>245</v>
      </c>
    </row>
    <row r="63" spans="1:9" x14ac:dyDescent="0.2">
      <c r="A63">
        <v>4</v>
      </c>
      <c r="B63" t="s">
        <v>244</v>
      </c>
      <c r="C63">
        <v>294917</v>
      </c>
      <c r="D63" t="s">
        <v>1548</v>
      </c>
      <c r="F63" t="s">
        <v>1542</v>
      </c>
      <c r="G63">
        <v>1</v>
      </c>
      <c r="I63" t="s">
        <v>245</v>
      </c>
    </row>
    <row r="64" spans="1:9" x14ac:dyDescent="0.2">
      <c r="A64">
        <v>4</v>
      </c>
      <c r="B64" t="s">
        <v>244</v>
      </c>
      <c r="C64">
        <v>294917</v>
      </c>
      <c r="D64" t="s">
        <v>1403</v>
      </c>
      <c r="F64" t="s">
        <v>1542</v>
      </c>
      <c r="G64">
        <v>1</v>
      </c>
      <c r="I64" t="s">
        <v>245</v>
      </c>
    </row>
    <row r="65" spans="1:9" x14ac:dyDescent="0.2">
      <c r="A65">
        <v>0.5</v>
      </c>
      <c r="B65" t="s">
        <v>244</v>
      </c>
      <c r="C65">
        <v>294919</v>
      </c>
      <c r="D65" t="s">
        <v>1548</v>
      </c>
      <c r="F65" t="s">
        <v>1542</v>
      </c>
      <c r="G65">
        <v>1</v>
      </c>
      <c r="I65" t="s">
        <v>245</v>
      </c>
    </row>
    <row r="66" spans="1:9" x14ac:dyDescent="0.2">
      <c r="A66">
        <v>0.5</v>
      </c>
      <c r="B66" t="s">
        <v>244</v>
      </c>
      <c r="C66">
        <v>294919</v>
      </c>
      <c r="D66" t="s">
        <v>1390</v>
      </c>
      <c r="F66" t="s">
        <v>1542</v>
      </c>
      <c r="G66">
        <v>1</v>
      </c>
      <c r="I66" t="s">
        <v>245</v>
      </c>
    </row>
    <row r="67" spans="1:9" x14ac:dyDescent="0.2">
      <c r="A67">
        <v>0.5</v>
      </c>
      <c r="B67" t="s">
        <v>244</v>
      </c>
      <c r="C67">
        <v>294920</v>
      </c>
      <c r="D67" t="s">
        <v>1548</v>
      </c>
      <c r="F67" t="s">
        <v>1542</v>
      </c>
      <c r="G67">
        <v>1</v>
      </c>
      <c r="I67" t="s">
        <v>245</v>
      </c>
    </row>
    <row r="68" spans="1:9" x14ac:dyDescent="0.2">
      <c r="A68">
        <v>0.5</v>
      </c>
      <c r="B68" t="s">
        <v>244</v>
      </c>
      <c r="C68">
        <v>294920</v>
      </c>
      <c r="D68" t="s">
        <v>1390</v>
      </c>
      <c r="F68" t="s">
        <v>1542</v>
      </c>
      <c r="G68">
        <v>1</v>
      </c>
      <c r="I68" t="s">
        <v>245</v>
      </c>
    </row>
    <row r="69" spans="1:9" x14ac:dyDescent="0.2">
      <c r="A69">
        <v>0.5</v>
      </c>
      <c r="B69" t="s">
        <v>244</v>
      </c>
      <c r="C69">
        <v>294918</v>
      </c>
      <c r="D69" t="s">
        <v>1548</v>
      </c>
      <c r="F69" t="s">
        <v>1542</v>
      </c>
      <c r="G69">
        <v>1</v>
      </c>
      <c r="I69" t="s">
        <v>245</v>
      </c>
    </row>
    <row r="70" spans="1:9" x14ac:dyDescent="0.2">
      <c r="A70">
        <v>0.5</v>
      </c>
      <c r="B70" t="s">
        <v>244</v>
      </c>
      <c r="C70">
        <v>294918</v>
      </c>
      <c r="D70" t="s">
        <v>1390</v>
      </c>
      <c r="F70" t="s">
        <v>1542</v>
      </c>
      <c r="G70">
        <v>1</v>
      </c>
      <c r="I70" t="s">
        <v>245</v>
      </c>
    </row>
    <row r="71" spans="1:9" x14ac:dyDescent="0.2">
      <c r="A71">
        <v>3</v>
      </c>
      <c r="B71" t="s">
        <v>244</v>
      </c>
      <c r="C71">
        <v>294921</v>
      </c>
      <c r="D71" t="s">
        <v>1548</v>
      </c>
      <c r="F71" t="s">
        <v>1542</v>
      </c>
      <c r="G71">
        <v>1</v>
      </c>
      <c r="I71" t="s">
        <v>245</v>
      </c>
    </row>
    <row r="72" spans="1:9" x14ac:dyDescent="0.2">
      <c r="A72">
        <v>3</v>
      </c>
      <c r="B72" t="s">
        <v>244</v>
      </c>
      <c r="C72">
        <v>294921</v>
      </c>
      <c r="D72" t="s">
        <v>1390</v>
      </c>
      <c r="F72" t="s">
        <v>1542</v>
      </c>
      <c r="G72">
        <v>1</v>
      </c>
      <c r="I72" t="s">
        <v>245</v>
      </c>
    </row>
    <row r="73" spans="1:9" x14ac:dyDescent="0.2">
      <c r="A73">
        <v>16</v>
      </c>
      <c r="B73" t="s">
        <v>244</v>
      </c>
      <c r="C73">
        <v>294922</v>
      </c>
      <c r="D73" t="s">
        <v>1549</v>
      </c>
      <c r="F73" t="s">
        <v>1542</v>
      </c>
      <c r="G73">
        <v>1</v>
      </c>
      <c r="I73" t="s">
        <v>245</v>
      </c>
    </row>
    <row r="74" spans="1:9" x14ac:dyDescent="0.2">
      <c r="A74">
        <v>16</v>
      </c>
      <c r="B74" t="s">
        <v>244</v>
      </c>
      <c r="C74">
        <v>294922</v>
      </c>
      <c r="D74" t="s">
        <v>1548</v>
      </c>
      <c r="F74" t="s">
        <v>1542</v>
      </c>
      <c r="G74">
        <v>1</v>
      </c>
      <c r="I74" t="s">
        <v>245</v>
      </c>
    </row>
    <row r="75" spans="1:9" x14ac:dyDescent="0.2">
      <c r="A75">
        <v>16</v>
      </c>
      <c r="B75" t="s">
        <v>244</v>
      </c>
      <c r="C75">
        <v>294922</v>
      </c>
      <c r="D75" t="s">
        <v>1390</v>
      </c>
      <c r="F75" t="s">
        <v>1542</v>
      </c>
      <c r="G75">
        <v>1</v>
      </c>
      <c r="I75" t="s">
        <v>245</v>
      </c>
    </row>
    <row r="76" spans="1:9" x14ac:dyDescent="0.2">
      <c r="A76">
        <v>16</v>
      </c>
      <c r="B76" t="s">
        <v>244</v>
      </c>
      <c r="C76">
        <v>294924</v>
      </c>
      <c r="D76" t="s">
        <v>1549</v>
      </c>
      <c r="F76" t="s">
        <v>1542</v>
      </c>
      <c r="G76">
        <v>1</v>
      </c>
      <c r="I76" t="s">
        <v>245</v>
      </c>
    </row>
    <row r="77" spans="1:9" x14ac:dyDescent="0.2">
      <c r="A77">
        <v>16</v>
      </c>
      <c r="B77" t="s">
        <v>244</v>
      </c>
      <c r="C77">
        <v>294924</v>
      </c>
      <c r="D77" t="s">
        <v>1548</v>
      </c>
      <c r="F77" t="s">
        <v>1542</v>
      </c>
      <c r="G77">
        <v>1</v>
      </c>
      <c r="I77" t="s">
        <v>245</v>
      </c>
    </row>
    <row r="78" spans="1:9" x14ac:dyDescent="0.2">
      <c r="A78">
        <v>16</v>
      </c>
      <c r="B78" t="s">
        <v>244</v>
      </c>
      <c r="C78">
        <v>294924</v>
      </c>
      <c r="D78" t="s">
        <v>1390</v>
      </c>
      <c r="F78" t="s">
        <v>1542</v>
      </c>
      <c r="G78">
        <v>1</v>
      </c>
      <c r="I78" t="s">
        <v>245</v>
      </c>
    </row>
    <row r="79" spans="1:9" x14ac:dyDescent="0.2">
      <c r="A79">
        <v>16</v>
      </c>
      <c r="B79" t="s">
        <v>244</v>
      </c>
      <c r="C79">
        <v>294923</v>
      </c>
      <c r="D79" t="s">
        <v>1549</v>
      </c>
      <c r="F79" t="s">
        <v>1542</v>
      </c>
      <c r="G79">
        <v>1</v>
      </c>
      <c r="I79" t="s">
        <v>245</v>
      </c>
    </row>
    <row r="80" spans="1:9" x14ac:dyDescent="0.2">
      <c r="A80">
        <v>16</v>
      </c>
      <c r="B80" t="s">
        <v>244</v>
      </c>
      <c r="C80">
        <v>294923</v>
      </c>
      <c r="D80" t="s">
        <v>1548</v>
      </c>
      <c r="F80" t="s">
        <v>1542</v>
      </c>
      <c r="G80">
        <v>1</v>
      </c>
      <c r="I80" t="s">
        <v>245</v>
      </c>
    </row>
    <row r="81" spans="1:9" x14ac:dyDescent="0.2">
      <c r="A81">
        <v>16</v>
      </c>
      <c r="B81" t="s">
        <v>244</v>
      </c>
      <c r="C81">
        <v>294923</v>
      </c>
      <c r="D81" t="s">
        <v>1390</v>
      </c>
      <c r="F81" t="s">
        <v>1542</v>
      </c>
      <c r="G81">
        <v>1</v>
      </c>
      <c r="I81" t="s">
        <v>245</v>
      </c>
    </row>
    <row r="82" spans="1:9" x14ac:dyDescent="0.2">
      <c r="A82">
        <v>5</v>
      </c>
      <c r="B82" t="s">
        <v>244</v>
      </c>
      <c r="C82">
        <v>294925</v>
      </c>
      <c r="D82" t="s">
        <v>86</v>
      </c>
      <c r="F82" t="s">
        <v>1542</v>
      </c>
      <c r="G82">
        <v>1</v>
      </c>
      <c r="I82" t="s">
        <v>243</v>
      </c>
    </row>
    <row r="83" spans="1:9" x14ac:dyDescent="0.2">
      <c r="A83">
        <v>5</v>
      </c>
      <c r="B83" t="s">
        <v>244</v>
      </c>
      <c r="C83">
        <v>294925</v>
      </c>
      <c r="F83" t="s">
        <v>1542</v>
      </c>
      <c r="G83">
        <v>1</v>
      </c>
      <c r="I83" t="s">
        <v>245</v>
      </c>
    </row>
    <row r="84" spans="1:9" x14ac:dyDescent="0.2">
      <c r="A84">
        <v>7</v>
      </c>
      <c r="B84" t="s">
        <v>244</v>
      </c>
      <c r="C84">
        <v>294926</v>
      </c>
      <c r="D84" t="s">
        <v>1547</v>
      </c>
      <c r="F84" t="s">
        <v>1542</v>
      </c>
      <c r="G84">
        <v>1</v>
      </c>
      <c r="I84" t="s">
        <v>245</v>
      </c>
    </row>
    <row r="85" spans="1:9" x14ac:dyDescent="0.2">
      <c r="A85">
        <v>7</v>
      </c>
      <c r="B85" t="s">
        <v>244</v>
      </c>
      <c r="C85">
        <v>294926</v>
      </c>
      <c r="D85" t="s">
        <v>1390</v>
      </c>
      <c r="F85" t="s">
        <v>1542</v>
      </c>
      <c r="G85">
        <v>1</v>
      </c>
      <c r="I85" t="s">
        <v>245</v>
      </c>
    </row>
    <row r="86" spans="1:9" x14ac:dyDescent="0.2">
      <c r="A86">
        <v>1</v>
      </c>
      <c r="B86" t="s">
        <v>244</v>
      </c>
      <c r="C86">
        <v>294927</v>
      </c>
      <c r="D86" t="s">
        <v>1547</v>
      </c>
      <c r="F86" t="s">
        <v>1542</v>
      </c>
      <c r="G86">
        <v>1</v>
      </c>
      <c r="I86" t="s">
        <v>245</v>
      </c>
    </row>
    <row r="87" spans="1:9" x14ac:dyDescent="0.2">
      <c r="A87">
        <v>1</v>
      </c>
      <c r="B87" t="s">
        <v>244</v>
      </c>
      <c r="C87">
        <v>294927</v>
      </c>
      <c r="D87" t="s">
        <v>1390</v>
      </c>
      <c r="F87" t="s">
        <v>1542</v>
      </c>
      <c r="G87">
        <v>1</v>
      </c>
      <c r="I87" t="s">
        <v>245</v>
      </c>
    </row>
    <row r="88" spans="1:9" x14ac:dyDescent="0.2">
      <c r="A88">
        <v>23</v>
      </c>
      <c r="B88" t="s">
        <v>244</v>
      </c>
      <c r="C88">
        <v>294929</v>
      </c>
      <c r="D88" t="s">
        <v>1549</v>
      </c>
      <c r="F88" t="s">
        <v>1542</v>
      </c>
      <c r="G88">
        <v>1</v>
      </c>
      <c r="I88" t="s">
        <v>245</v>
      </c>
    </row>
    <row r="89" spans="1:9" x14ac:dyDescent="0.2">
      <c r="A89">
        <v>23</v>
      </c>
      <c r="B89" t="s">
        <v>244</v>
      </c>
      <c r="C89">
        <v>294929</v>
      </c>
      <c r="D89" t="s">
        <v>1548</v>
      </c>
      <c r="F89" t="s">
        <v>1542</v>
      </c>
      <c r="G89">
        <v>1</v>
      </c>
      <c r="I89" t="s">
        <v>245</v>
      </c>
    </row>
    <row r="90" spans="1:9" x14ac:dyDescent="0.2">
      <c r="A90">
        <v>23</v>
      </c>
      <c r="B90" t="s">
        <v>244</v>
      </c>
      <c r="C90">
        <v>294929</v>
      </c>
      <c r="D90" t="s">
        <v>1390</v>
      </c>
      <c r="F90" t="s">
        <v>1542</v>
      </c>
      <c r="G90">
        <v>1</v>
      </c>
      <c r="I90" t="s">
        <v>245</v>
      </c>
    </row>
    <row r="91" spans="1:9" x14ac:dyDescent="0.2">
      <c r="A91">
        <v>0.5</v>
      </c>
      <c r="B91" t="s">
        <v>244</v>
      </c>
      <c r="C91">
        <v>294930</v>
      </c>
      <c r="D91" t="s">
        <v>86</v>
      </c>
      <c r="F91" t="s">
        <v>1542</v>
      </c>
      <c r="G91">
        <v>1</v>
      </c>
      <c r="I91" t="s">
        <v>243</v>
      </c>
    </row>
    <row r="92" spans="1:9" x14ac:dyDescent="0.2">
      <c r="A92">
        <v>0.5</v>
      </c>
      <c r="B92" t="s">
        <v>244</v>
      </c>
      <c r="C92">
        <v>294930</v>
      </c>
      <c r="F92" t="s">
        <v>1542</v>
      </c>
      <c r="G92">
        <v>1</v>
      </c>
      <c r="I92" t="s">
        <v>245</v>
      </c>
    </row>
    <row r="93" spans="1:9" x14ac:dyDescent="0.2">
      <c r="A93">
        <v>3</v>
      </c>
      <c r="B93" t="s">
        <v>244</v>
      </c>
      <c r="C93">
        <v>294928</v>
      </c>
      <c r="D93" t="s">
        <v>1547</v>
      </c>
      <c r="F93" t="s">
        <v>1542</v>
      </c>
      <c r="G93">
        <v>1</v>
      </c>
      <c r="I93" t="s">
        <v>245</v>
      </c>
    </row>
    <row r="94" spans="1:9" x14ac:dyDescent="0.2">
      <c r="A94">
        <v>3</v>
      </c>
      <c r="B94" t="s">
        <v>244</v>
      </c>
      <c r="C94">
        <v>294928</v>
      </c>
      <c r="D94" t="s">
        <v>1390</v>
      </c>
      <c r="F94" t="s">
        <v>1542</v>
      </c>
      <c r="G94">
        <v>1</v>
      </c>
      <c r="I94" t="s">
        <v>245</v>
      </c>
    </row>
    <row r="95" spans="1:9" x14ac:dyDescent="0.2">
      <c r="A95">
        <v>6</v>
      </c>
      <c r="B95" t="s">
        <v>244</v>
      </c>
      <c r="C95">
        <v>294931</v>
      </c>
      <c r="D95" t="s">
        <v>1549</v>
      </c>
      <c r="F95" t="s">
        <v>1542</v>
      </c>
      <c r="G95">
        <v>1</v>
      </c>
      <c r="I95" t="s">
        <v>245</v>
      </c>
    </row>
    <row r="96" spans="1:9" x14ac:dyDescent="0.2">
      <c r="A96">
        <v>6</v>
      </c>
      <c r="B96" t="s">
        <v>244</v>
      </c>
      <c r="C96">
        <v>294931</v>
      </c>
      <c r="D96" t="s">
        <v>1548</v>
      </c>
      <c r="F96" t="s">
        <v>1542</v>
      </c>
      <c r="G96">
        <v>1</v>
      </c>
      <c r="I96" t="s">
        <v>245</v>
      </c>
    </row>
    <row r="97" spans="1:9" x14ac:dyDescent="0.2">
      <c r="A97">
        <v>6</v>
      </c>
      <c r="B97" t="s">
        <v>244</v>
      </c>
      <c r="C97">
        <v>294931</v>
      </c>
      <c r="D97" t="s">
        <v>1390</v>
      </c>
      <c r="F97" t="s">
        <v>1542</v>
      </c>
      <c r="G97">
        <v>1</v>
      </c>
      <c r="I97" t="s">
        <v>245</v>
      </c>
    </row>
    <row r="98" spans="1:9" x14ac:dyDescent="0.2">
      <c r="A98">
        <v>3</v>
      </c>
      <c r="B98" t="s">
        <v>244</v>
      </c>
      <c r="C98">
        <v>294932</v>
      </c>
      <c r="D98" t="s">
        <v>1547</v>
      </c>
      <c r="F98" t="s">
        <v>1542</v>
      </c>
      <c r="G98">
        <v>1</v>
      </c>
      <c r="I98" t="s">
        <v>245</v>
      </c>
    </row>
    <row r="99" spans="1:9" x14ac:dyDescent="0.2">
      <c r="A99">
        <v>3</v>
      </c>
      <c r="B99" t="s">
        <v>244</v>
      </c>
      <c r="C99">
        <v>294932</v>
      </c>
      <c r="D99" t="s">
        <v>1403</v>
      </c>
      <c r="F99" t="s">
        <v>1542</v>
      </c>
      <c r="G99">
        <v>1</v>
      </c>
      <c r="I99" t="s">
        <v>245</v>
      </c>
    </row>
    <row r="100" spans="1:9" x14ac:dyDescent="0.2">
      <c r="A100">
        <v>3</v>
      </c>
      <c r="B100" t="s">
        <v>244</v>
      </c>
      <c r="C100">
        <v>294933</v>
      </c>
      <c r="D100" t="s">
        <v>1547</v>
      </c>
      <c r="F100" t="s">
        <v>1542</v>
      </c>
      <c r="G100">
        <v>1</v>
      </c>
      <c r="I100" t="s">
        <v>245</v>
      </c>
    </row>
    <row r="101" spans="1:9" x14ac:dyDescent="0.2">
      <c r="A101">
        <v>3</v>
      </c>
      <c r="B101" t="s">
        <v>244</v>
      </c>
      <c r="C101">
        <v>294933</v>
      </c>
      <c r="D101" t="s">
        <v>1390</v>
      </c>
      <c r="F101" t="s">
        <v>1542</v>
      </c>
      <c r="G101">
        <v>1</v>
      </c>
      <c r="I101" t="s">
        <v>245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8F751-F8B3-40B3-8D99-454F8CF367E2}">
  <sheetPr codeName="Assetic_NewComponent">
    <tabColor rgb="FF008DA8"/>
  </sheetPr>
  <dimension ref="A1:P101"/>
  <sheetViews>
    <sheetView workbookViewId="0">
      <selection activeCell="A2" sqref="A2:P1002"/>
    </sheetView>
  </sheetViews>
  <sheetFormatPr defaultRowHeight="14.25" x14ac:dyDescent="0.2"/>
  <cols>
    <col min="1" max="1" width="13.5" customWidth="1"/>
    <col min="2" max="2" width="15.875" bestFit="1" customWidth="1"/>
    <col min="3" max="3" width="15" bestFit="1" customWidth="1"/>
    <col min="4" max="6" width="18.125" bestFit="1" customWidth="1"/>
    <col min="7" max="7" width="21.75" bestFit="1" customWidth="1"/>
    <col min="8" max="8" width="18.125" bestFit="1" customWidth="1"/>
    <col min="9" max="9" width="6.625" bestFit="1" customWidth="1"/>
    <col min="11" max="11" width="8.375" bestFit="1" customWidth="1"/>
    <col min="12" max="12" width="14.875" bestFit="1" customWidth="1"/>
    <col min="13" max="13" width="28.875" bestFit="1" customWidth="1"/>
    <col min="14" max="14" width="14.5" style="120" bestFit="1" customWidth="1"/>
    <col min="15" max="15" width="13.875" style="120" bestFit="1" customWidth="1"/>
    <col min="16" max="16" width="21" style="120" bestFit="1" customWidth="1"/>
  </cols>
  <sheetData>
    <row r="1" spans="1:16" ht="50.1" customHeight="1" x14ac:dyDescent="0.2">
      <c r="A1" t="s">
        <v>1086</v>
      </c>
      <c r="B1" t="s">
        <v>955</v>
      </c>
      <c r="C1" t="s">
        <v>960</v>
      </c>
      <c r="D1" t="s">
        <v>978</v>
      </c>
      <c r="E1" t="s">
        <v>1126</v>
      </c>
      <c r="F1" t="s">
        <v>987</v>
      </c>
      <c r="G1" t="s">
        <v>1127</v>
      </c>
      <c r="H1" s="99" t="s">
        <v>1128</v>
      </c>
      <c r="I1" t="s">
        <v>1129</v>
      </c>
      <c r="J1" t="s">
        <v>1130</v>
      </c>
      <c r="K1" t="s">
        <v>1131</v>
      </c>
      <c r="L1" t="s">
        <v>1132</v>
      </c>
      <c r="M1" s="98" t="s">
        <v>1133</v>
      </c>
      <c r="N1" s="120" t="s">
        <v>1134</v>
      </c>
      <c r="O1" s="120" t="s">
        <v>1135</v>
      </c>
      <c r="P1" s="120" t="s">
        <v>990</v>
      </c>
    </row>
    <row r="2" spans="1:16" x14ac:dyDescent="0.2">
      <c r="A2">
        <v>294886</v>
      </c>
      <c r="B2" t="s">
        <v>158</v>
      </c>
      <c r="C2" t="s">
        <v>130</v>
      </c>
      <c r="D2" t="s">
        <v>252</v>
      </c>
      <c r="E2" t="s">
        <v>289</v>
      </c>
      <c r="G2" t="s">
        <v>243</v>
      </c>
      <c r="H2" t="s">
        <v>242</v>
      </c>
      <c r="I2">
        <v>1</v>
      </c>
      <c r="M2">
        <v>40</v>
      </c>
      <c r="P2" s="120">
        <v>45974</v>
      </c>
    </row>
    <row r="3" spans="1:16" x14ac:dyDescent="0.2">
      <c r="A3">
        <v>294888</v>
      </c>
      <c r="B3" t="s">
        <v>158</v>
      </c>
      <c r="C3" t="s">
        <v>130</v>
      </c>
      <c r="D3" t="s">
        <v>252</v>
      </c>
      <c r="E3" t="s">
        <v>289</v>
      </c>
      <c r="G3" t="s">
        <v>243</v>
      </c>
      <c r="H3" t="s">
        <v>242</v>
      </c>
      <c r="I3">
        <v>1</v>
      </c>
      <c r="M3">
        <v>40</v>
      </c>
      <c r="P3" s="120">
        <v>45974</v>
      </c>
    </row>
    <row r="4" spans="1:16" x14ac:dyDescent="0.2">
      <c r="A4">
        <v>294887</v>
      </c>
      <c r="B4" t="s">
        <v>158</v>
      </c>
      <c r="C4" t="s">
        <v>130</v>
      </c>
      <c r="D4" t="s">
        <v>252</v>
      </c>
      <c r="E4" t="s">
        <v>289</v>
      </c>
      <c r="G4" t="s">
        <v>243</v>
      </c>
      <c r="H4" t="s">
        <v>242</v>
      </c>
      <c r="I4">
        <v>1</v>
      </c>
      <c r="M4">
        <v>40</v>
      </c>
      <c r="P4" s="120">
        <v>45974</v>
      </c>
    </row>
    <row r="5" spans="1:16" x14ac:dyDescent="0.2">
      <c r="A5">
        <v>294889</v>
      </c>
      <c r="B5" t="s">
        <v>158</v>
      </c>
      <c r="C5" t="s">
        <v>130</v>
      </c>
      <c r="D5" t="s">
        <v>252</v>
      </c>
      <c r="E5" t="s">
        <v>289</v>
      </c>
      <c r="G5" t="s">
        <v>243</v>
      </c>
      <c r="H5" t="s">
        <v>242</v>
      </c>
      <c r="I5">
        <v>1</v>
      </c>
      <c r="M5">
        <v>40</v>
      </c>
      <c r="P5" s="120">
        <v>45974</v>
      </c>
    </row>
    <row r="6" spans="1:16" x14ac:dyDescent="0.2">
      <c r="A6">
        <v>294890</v>
      </c>
      <c r="B6" t="s">
        <v>158</v>
      </c>
      <c r="C6" t="s">
        <v>130</v>
      </c>
      <c r="D6" t="s">
        <v>252</v>
      </c>
      <c r="E6" t="s">
        <v>289</v>
      </c>
      <c r="G6" t="s">
        <v>243</v>
      </c>
      <c r="H6" t="s">
        <v>242</v>
      </c>
      <c r="I6">
        <v>1</v>
      </c>
      <c r="M6">
        <v>40</v>
      </c>
      <c r="P6" s="120">
        <v>45974</v>
      </c>
    </row>
    <row r="7" spans="1:16" x14ac:dyDescent="0.2">
      <c r="A7">
        <v>294891</v>
      </c>
      <c r="B7" t="s">
        <v>158</v>
      </c>
      <c r="C7" t="s">
        <v>130</v>
      </c>
      <c r="D7" t="s">
        <v>252</v>
      </c>
      <c r="E7" t="s">
        <v>289</v>
      </c>
      <c r="G7" t="s">
        <v>243</v>
      </c>
      <c r="H7" t="s">
        <v>242</v>
      </c>
      <c r="I7">
        <v>1</v>
      </c>
      <c r="M7">
        <v>40</v>
      </c>
      <c r="P7" s="120">
        <v>45974</v>
      </c>
    </row>
    <row r="8" spans="1:16" x14ac:dyDescent="0.2">
      <c r="A8">
        <v>294892</v>
      </c>
      <c r="B8" t="s">
        <v>158</v>
      </c>
      <c r="C8" t="s">
        <v>130</v>
      </c>
      <c r="D8" t="s">
        <v>252</v>
      </c>
      <c r="E8" t="s">
        <v>289</v>
      </c>
      <c r="G8" t="s">
        <v>243</v>
      </c>
      <c r="H8" t="s">
        <v>242</v>
      </c>
      <c r="I8">
        <v>1</v>
      </c>
      <c r="M8">
        <v>40</v>
      </c>
      <c r="P8" s="120">
        <v>45974</v>
      </c>
    </row>
    <row r="9" spans="1:16" x14ac:dyDescent="0.2">
      <c r="A9">
        <v>294893</v>
      </c>
      <c r="B9" t="s">
        <v>158</v>
      </c>
      <c r="C9" t="s">
        <v>130</v>
      </c>
      <c r="D9" t="s">
        <v>252</v>
      </c>
      <c r="E9" t="s">
        <v>289</v>
      </c>
      <c r="G9" t="s">
        <v>243</v>
      </c>
      <c r="H9" t="s">
        <v>242</v>
      </c>
      <c r="I9">
        <v>1</v>
      </c>
      <c r="M9">
        <v>40</v>
      </c>
      <c r="P9" s="120">
        <v>45974</v>
      </c>
    </row>
    <row r="10" spans="1:16" x14ac:dyDescent="0.2">
      <c r="A10">
        <v>294894</v>
      </c>
      <c r="B10" t="s">
        <v>158</v>
      </c>
      <c r="C10" t="s">
        <v>130</v>
      </c>
      <c r="D10" t="s">
        <v>252</v>
      </c>
      <c r="E10" t="s">
        <v>289</v>
      </c>
      <c r="G10" t="s">
        <v>243</v>
      </c>
      <c r="H10" t="s">
        <v>242</v>
      </c>
      <c r="I10">
        <v>1</v>
      </c>
      <c r="M10">
        <v>40</v>
      </c>
      <c r="P10" s="120">
        <v>45974</v>
      </c>
    </row>
    <row r="11" spans="1:16" x14ac:dyDescent="0.2">
      <c r="A11">
        <v>294895</v>
      </c>
      <c r="B11" t="s">
        <v>158</v>
      </c>
      <c r="C11" t="s">
        <v>130</v>
      </c>
      <c r="D11" t="s">
        <v>252</v>
      </c>
      <c r="E11" t="s">
        <v>289</v>
      </c>
      <c r="G11" t="s">
        <v>243</v>
      </c>
      <c r="H11" t="s">
        <v>242</v>
      </c>
      <c r="I11">
        <v>1</v>
      </c>
      <c r="M11">
        <v>40</v>
      </c>
      <c r="P11" s="120">
        <v>45974</v>
      </c>
    </row>
    <row r="12" spans="1:16" x14ac:dyDescent="0.2">
      <c r="A12">
        <v>294898</v>
      </c>
      <c r="B12" t="s">
        <v>158</v>
      </c>
      <c r="C12" t="s">
        <v>130</v>
      </c>
      <c r="D12" t="s">
        <v>252</v>
      </c>
      <c r="E12" t="s">
        <v>289</v>
      </c>
      <c r="G12" t="s">
        <v>243</v>
      </c>
      <c r="H12" t="s">
        <v>242</v>
      </c>
      <c r="I12">
        <v>1</v>
      </c>
      <c r="M12">
        <v>40</v>
      </c>
      <c r="P12" s="120">
        <v>45974</v>
      </c>
    </row>
    <row r="13" spans="1:16" x14ac:dyDescent="0.2">
      <c r="A13">
        <v>294896</v>
      </c>
      <c r="B13" t="s">
        <v>158</v>
      </c>
      <c r="C13" t="s">
        <v>130</v>
      </c>
      <c r="D13" t="s">
        <v>252</v>
      </c>
      <c r="E13" t="s">
        <v>289</v>
      </c>
      <c r="G13" t="s">
        <v>243</v>
      </c>
      <c r="H13" t="s">
        <v>242</v>
      </c>
      <c r="I13">
        <v>1</v>
      </c>
      <c r="M13">
        <v>40</v>
      </c>
      <c r="P13" s="120">
        <v>45974</v>
      </c>
    </row>
    <row r="14" spans="1:16" x14ac:dyDescent="0.2">
      <c r="A14">
        <v>294899</v>
      </c>
      <c r="B14" t="s">
        <v>158</v>
      </c>
      <c r="C14" t="s">
        <v>130</v>
      </c>
      <c r="D14" t="s">
        <v>252</v>
      </c>
      <c r="E14" t="s">
        <v>289</v>
      </c>
      <c r="G14" t="s">
        <v>243</v>
      </c>
      <c r="H14" t="s">
        <v>242</v>
      </c>
      <c r="I14">
        <v>1</v>
      </c>
      <c r="M14">
        <v>40</v>
      </c>
      <c r="P14" s="120">
        <v>45974</v>
      </c>
    </row>
    <row r="15" spans="1:16" x14ac:dyDescent="0.2">
      <c r="A15">
        <v>294897</v>
      </c>
      <c r="B15" t="s">
        <v>86</v>
      </c>
      <c r="C15" t="s">
        <v>130</v>
      </c>
      <c r="D15" t="s">
        <v>252</v>
      </c>
      <c r="E15" t="s">
        <v>289</v>
      </c>
      <c r="G15" t="s">
        <v>243</v>
      </c>
      <c r="H15" t="s">
        <v>244</v>
      </c>
      <c r="I15">
        <v>1</v>
      </c>
      <c r="M15">
        <v>20</v>
      </c>
      <c r="P15" s="120">
        <v>45974</v>
      </c>
    </row>
    <row r="16" spans="1:16" x14ac:dyDescent="0.2">
      <c r="A16">
        <v>294897</v>
      </c>
      <c r="C16" t="s">
        <v>130</v>
      </c>
      <c r="D16" t="s">
        <v>252</v>
      </c>
      <c r="E16" t="s">
        <v>289</v>
      </c>
      <c r="G16" t="s">
        <v>245</v>
      </c>
      <c r="H16" t="s">
        <v>244</v>
      </c>
      <c r="I16">
        <v>1</v>
      </c>
      <c r="M16">
        <v>20</v>
      </c>
      <c r="P16" s="120">
        <v>45974</v>
      </c>
    </row>
    <row r="17" spans="1:16" x14ac:dyDescent="0.2">
      <c r="A17">
        <v>294900</v>
      </c>
      <c r="B17" t="s">
        <v>1547</v>
      </c>
      <c r="C17" t="s">
        <v>130</v>
      </c>
      <c r="D17" t="s">
        <v>252</v>
      </c>
      <c r="E17" t="s">
        <v>289</v>
      </c>
      <c r="G17" t="s">
        <v>245</v>
      </c>
      <c r="H17" t="s">
        <v>244</v>
      </c>
      <c r="I17">
        <v>1</v>
      </c>
      <c r="M17">
        <v>20</v>
      </c>
      <c r="P17" s="120">
        <v>45974</v>
      </c>
    </row>
    <row r="18" spans="1:16" x14ac:dyDescent="0.2">
      <c r="A18">
        <v>294900</v>
      </c>
      <c r="B18" t="s">
        <v>1390</v>
      </c>
      <c r="C18" t="s">
        <v>130</v>
      </c>
      <c r="D18" t="s">
        <v>252</v>
      </c>
      <c r="E18" t="s">
        <v>289</v>
      </c>
      <c r="G18" t="s">
        <v>245</v>
      </c>
      <c r="H18" t="s">
        <v>244</v>
      </c>
      <c r="I18">
        <v>1</v>
      </c>
      <c r="M18">
        <v>20</v>
      </c>
      <c r="P18" s="120">
        <v>45974</v>
      </c>
    </row>
    <row r="19" spans="1:16" x14ac:dyDescent="0.2">
      <c r="A19">
        <v>294901</v>
      </c>
      <c r="B19" t="s">
        <v>1390</v>
      </c>
      <c r="C19" t="s">
        <v>130</v>
      </c>
      <c r="D19" t="s">
        <v>252</v>
      </c>
      <c r="E19" t="s">
        <v>289</v>
      </c>
      <c r="G19" t="s">
        <v>245</v>
      </c>
      <c r="H19" t="s">
        <v>244</v>
      </c>
      <c r="I19">
        <v>1</v>
      </c>
      <c r="M19">
        <v>20</v>
      </c>
      <c r="P19" s="120">
        <v>45974</v>
      </c>
    </row>
    <row r="20" spans="1:16" x14ac:dyDescent="0.2">
      <c r="A20">
        <v>294901</v>
      </c>
      <c r="B20" t="s">
        <v>1549</v>
      </c>
      <c r="C20" t="s">
        <v>130</v>
      </c>
      <c r="D20" t="s">
        <v>252</v>
      </c>
      <c r="E20" t="s">
        <v>289</v>
      </c>
      <c r="G20" t="s">
        <v>245</v>
      </c>
      <c r="H20" t="s">
        <v>244</v>
      </c>
      <c r="I20">
        <v>1</v>
      </c>
      <c r="M20">
        <v>20</v>
      </c>
      <c r="P20" s="120">
        <v>45974</v>
      </c>
    </row>
    <row r="21" spans="1:16" x14ac:dyDescent="0.2">
      <c r="A21">
        <v>294901</v>
      </c>
      <c r="B21" t="s">
        <v>1548</v>
      </c>
      <c r="C21" t="s">
        <v>130</v>
      </c>
      <c r="D21" t="s">
        <v>252</v>
      </c>
      <c r="E21" t="s">
        <v>289</v>
      </c>
      <c r="G21" t="s">
        <v>245</v>
      </c>
      <c r="H21" t="s">
        <v>244</v>
      </c>
      <c r="I21">
        <v>1</v>
      </c>
      <c r="M21">
        <v>20</v>
      </c>
      <c r="P21" s="120">
        <v>45974</v>
      </c>
    </row>
    <row r="22" spans="1:16" x14ac:dyDescent="0.2">
      <c r="A22">
        <v>294905</v>
      </c>
      <c r="B22" t="s">
        <v>1390</v>
      </c>
      <c r="C22" t="s">
        <v>130</v>
      </c>
      <c r="D22" t="s">
        <v>252</v>
      </c>
      <c r="E22" t="s">
        <v>289</v>
      </c>
      <c r="G22" t="s">
        <v>245</v>
      </c>
      <c r="H22" t="s">
        <v>244</v>
      </c>
      <c r="I22">
        <v>1</v>
      </c>
      <c r="M22">
        <v>20</v>
      </c>
      <c r="P22" s="120">
        <v>45974</v>
      </c>
    </row>
    <row r="23" spans="1:16" x14ac:dyDescent="0.2">
      <c r="A23">
        <v>294905</v>
      </c>
      <c r="B23" t="s">
        <v>1549</v>
      </c>
      <c r="C23" t="s">
        <v>130</v>
      </c>
      <c r="D23" t="s">
        <v>252</v>
      </c>
      <c r="E23" t="s">
        <v>289</v>
      </c>
      <c r="G23" t="s">
        <v>245</v>
      </c>
      <c r="H23" t="s">
        <v>244</v>
      </c>
      <c r="I23">
        <v>1</v>
      </c>
      <c r="M23">
        <v>20</v>
      </c>
      <c r="P23" s="120">
        <v>45974</v>
      </c>
    </row>
    <row r="24" spans="1:16" x14ac:dyDescent="0.2">
      <c r="A24">
        <v>294905</v>
      </c>
      <c r="B24" t="s">
        <v>1548</v>
      </c>
      <c r="C24" t="s">
        <v>130</v>
      </c>
      <c r="D24" t="s">
        <v>252</v>
      </c>
      <c r="E24" t="s">
        <v>289</v>
      </c>
      <c r="G24" t="s">
        <v>245</v>
      </c>
      <c r="H24" t="s">
        <v>244</v>
      </c>
      <c r="I24">
        <v>1</v>
      </c>
      <c r="M24">
        <v>20</v>
      </c>
      <c r="P24" s="120">
        <v>45974</v>
      </c>
    </row>
    <row r="25" spans="1:16" x14ac:dyDescent="0.2">
      <c r="A25">
        <v>294902</v>
      </c>
      <c r="B25" t="s">
        <v>1390</v>
      </c>
      <c r="C25" t="s">
        <v>130</v>
      </c>
      <c r="D25" t="s">
        <v>252</v>
      </c>
      <c r="E25" t="s">
        <v>289</v>
      </c>
      <c r="G25" t="s">
        <v>245</v>
      </c>
      <c r="H25" t="s">
        <v>244</v>
      </c>
      <c r="I25">
        <v>1</v>
      </c>
      <c r="M25">
        <v>20</v>
      </c>
      <c r="P25" s="120">
        <v>45974</v>
      </c>
    </row>
    <row r="26" spans="1:16" x14ac:dyDescent="0.2">
      <c r="A26">
        <v>294902</v>
      </c>
      <c r="B26" t="s">
        <v>1549</v>
      </c>
      <c r="C26" t="s">
        <v>130</v>
      </c>
      <c r="D26" t="s">
        <v>252</v>
      </c>
      <c r="E26" t="s">
        <v>289</v>
      </c>
      <c r="G26" t="s">
        <v>245</v>
      </c>
      <c r="H26" t="s">
        <v>244</v>
      </c>
      <c r="I26">
        <v>1</v>
      </c>
      <c r="M26">
        <v>20</v>
      </c>
      <c r="P26" s="120">
        <v>45974</v>
      </c>
    </row>
    <row r="27" spans="1:16" x14ac:dyDescent="0.2">
      <c r="A27">
        <v>294902</v>
      </c>
      <c r="B27" t="s">
        <v>1548</v>
      </c>
      <c r="C27" t="s">
        <v>130</v>
      </c>
      <c r="D27" t="s">
        <v>252</v>
      </c>
      <c r="E27" t="s">
        <v>289</v>
      </c>
      <c r="G27" t="s">
        <v>245</v>
      </c>
      <c r="H27" t="s">
        <v>244</v>
      </c>
      <c r="I27">
        <v>1</v>
      </c>
      <c r="M27">
        <v>20</v>
      </c>
      <c r="P27" s="120">
        <v>45974</v>
      </c>
    </row>
    <row r="28" spans="1:16" x14ac:dyDescent="0.2">
      <c r="A28">
        <v>294904</v>
      </c>
      <c r="B28" t="s">
        <v>1547</v>
      </c>
      <c r="C28" t="s">
        <v>130</v>
      </c>
      <c r="D28" t="s">
        <v>252</v>
      </c>
      <c r="E28" t="s">
        <v>289</v>
      </c>
      <c r="G28" t="s">
        <v>245</v>
      </c>
      <c r="H28" t="s">
        <v>244</v>
      </c>
      <c r="I28">
        <v>1</v>
      </c>
      <c r="M28">
        <v>20</v>
      </c>
      <c r="P28" s="120">
        <v>45974</v>
      </c>
    </row>
    <row r="29" spans="1:16" x14ac:dyDescent="0.2">
      <c r="A29">
        <v>294904</v>
      </c>
      <c r="B29" t="s">
        <v>1390</v>
      </c>
      <c r="C29" t="s">
        <v>130</v>
      </c>
      <c r="D29" t="s">
        <v>252</v>
      </c>
      <c r="E29" t="s">
        <v>289</v>
      </c>
      <c r="G29" t="s">
        <v>245</v>
      </c>
      <c r="H29" t="s">
        <v>244</v>
      </c>
      <c r="I29">
        <v>1</v>
      </c>
      <c r="M29">
        <v>20</v>
      </c>
      <c r="P29" s="120">
        <v>45974</v>
      </c>
    </row>
    <row r="30" spans="1:16" x14ac:dyDescent="0.2">
      <c r="A30">
        <v>294903</v>
      </c>
      <c r="B30" t="s">
        <v>1390</v>
      </c>
      <c r="C30" t="s">
        <v>130</v>
      </c>
      <c r="D30" t="s">
        <v>252</v>
      </c>
      <c r="E30" t="s">
        <v>289</v>
      </c>
      <c r="G30" t="s">
        <v>245</v>
      </c>
      <c r="H30" t="s">
        <v>244</v>
      </c>
      <c r="I30">
        <v>1</v>
      </c>
      <c r="M30">
        <v>20</v>
      </c>
      <c r="P30" s="120">
        <v>45974</v>
      </c>
    </row>
    <row r="31" spans="1:16" x14ac:dyDescent="0.2">
      <c r="A31">
        <v>294903</v>
      </c>
      <c r="B31" t="s">
        <v>1549</v>
      </c>
      <c r="C31" t="s">
        <v>130</v>
      </c>
      <c r="D31" t="s">
        <v>252</v>
      </c>
      <c r="E31" t="s">
        <v>289</v>
      </c>
      <c r="G31" t="s">
        <v>245</v>
      </c>
      <c r="H31" t="s">
        <v>244</v>
      </c>
      <c r="I31">
        <v>1</v>
      </c>
      <c r="M31">
        <v>20</v>
      </c>
      <c r="P31" s="120">
        <v>45974</v>
      </c>
    </row>
    <row r="32" spans="1:16" x14ac:dyDescent="0.2">
      <c r="A32">
        <v>294903</v>
      </c>
      <c r="B32" t="s">
        <v>1548</v>
      </c>
      <c r="C32" t="s">
        <v>130</v>
      </c>
      <c r="D32" t="s">
        <v>252</v>
      </c>
      <c r="E32" t="s">
        <v>289</v>
      </c>
      <c r="G32" t="s">
        <v>245</v>
      </c>
      <c r="H32" t="s">
        <v>244</v>
      </c>
      <c r="I32">
        <v>1</v>
      </c>
      <c r="M32">
        <v>20</v>
      </c>
      <c r="P32" s="120">
        <v>45974</v>
      </c>
    </row>
    <row r="33" spans="1:16" x14ac:dyDescent="0.2">
      <c r="A33">
        <v>294909</v>
      </c>
      <c r="B33" t="s">
        <v>1390</v>
      </c>
      <c r="C33" t="s">
        <v>130</v>
      </c>
      <c r="D33" t="s">
        <v>252</v>
      </c>
      <c r="E33" t="s">
        <v>289</v>
      </c>
      <c r="G33" t="s">
        <v>245</v>
      </c>
      <c r="H33" t="s">
        <v>244</v>
      </c>
      <c r="I33">
        <v>1</v>
      </c>
      <c r="M33">
        <v>20</v>
      </c>
      <c r="P33" s="120">
        <v>45974</v>
      </c>
    </row>
    <row r="34" spans="1:16" x14ac:dyDescent="0.2">
      <c r="A34">
        <v>294909</v>
      </c>
      <c r="B34" t="s">
        <v>1549</v>
      </c>
      <c r="C34" t="s">
        <v>130</v>
      </c>
      <c r="D34" t="s">
        <v>252</v>
      </c>
      <c r="E34" t="s">
        <v>289</v>
      </c>
      <c r="G34" t="s">
        <v>245</v>
      </c>
      <c r="H34" t="s">
        <v>244</v>
      </c>
      <c r="I34">
        <v>1</v>
      </c>
      <c r="M34">
        <v>20</v>
      </c>
      <c r="P34" s="120">
        <v>45974</v>
      </c>
    </row>
    <row r="35" spans="1:16" x14ac:dyDescent="0.2">
      <c r="A35">
        <v>294909</v>
      </c>
      <c r="B35" t="s">
        <v>1548</v>
      </c>
      <c r="C35" t="s">
        <v>130</v>
      </c>
      <c r="D35" t="s">
        <v>252</v>
      </c>
      <c r="E35" t="s">
        <v>289</v>
      </c>
      <c r="G35" t="s">
        <v>245</v>
      </c>
      <c r="H35" t="s">
        <v>244</v>
      </c>
      <c r="I35">
        <v>1</v>
      </c>
      <c r="M35">
        <v>20</v>
      </c>
      <c r="P35" s="120">
        <v>45974</v>
      </c>
    </row>
    <row r="36" spans="1:16" x14ac:dyDescent="0.2">
      <c r="A36">
        <v>294910</v>
      </c>
      <c r="B36" t="s">
        <v>1390</v>
      </c>
      <c r="C36" t="s">
        <v>130</v>
      </c>
      <c r="D36" t="s">
        <v>252</v>
      </c>
      <c r="E36" t="s">
        <v>289</v>
      </c>
      <c r="G36" t="s">
        <v>245</v>
      </c>
      <c r="H36" t="s">
        <v>244</v>
      </c>
      <c r="I36">
        <v>1</v>
      </c>
      <c r="M36">
        <v>20</v>
      </c>
      <c r="P36" s="120">
        <v>45974</v>
      </c>
    </row>
    <row r="37" spans="1:16" x14ac:dyDescent="0.2">
      <c r="A37">
        <v>294910</v>
      </c>
      <c r="B37" t="s">
        <v>1549</v>
      </c>
      <c r="C37" t="s">
        <v>130</v>
      </c>
      <c r="D37" t="s">
        <v>252</v>
      </c>
      <c r="E37" t="s">
        <v>289</v>
      </c>
      <c r="G37" t="s">
        <v>245</v>
      </c>
      <c r="H37" t="s">
        <v>244</v>
      </c>
      <c r="I37">
        <v>1</v>
      </c>
      <c r="M37">
        <v>20</v>
      </c>
      <c r="P37" s="120">
        <v>45974</v>
      </c>
    </row>
    <row r="38" spans="1:16" x14ac:dyDescent="0.2">
      <c r="A38">
        <v>294910</v>
      </c>
      <c r="B38" t="s">
        <v>1548</v>
      </c>
      <c r="C38" t="s">
        <v>130</v>
      </c>
      <c r="D38" t="s">
        <v>252</v>
      </c>
      <c r="E38" t="s">
        <v>289</v>
      </c>
      <c r="G38" t="s">
        <v>245</v>
      </c>
      <c r="H38" t="s">
        <v>244</v>
      </c>
      <c r="I38">
        <v>1</v>
      </c>
      <c r="M38">
        <v>20</v>
      </c>
      <c r="P38" s="120">
        <v>45974</v>
      </c>
    </row>
    <row r="39" spans="1:16" x14ac:dyDescent="0.2">
      <c r="A39">
        <v>294906</v>
      </c>
      <c r="B39" t="s">
        <v>86</v>
      </c>
      <c r="C39" t="s">
        <v>130</v>
      </c>
      <c r="D39" t="s">
        <v>252</v>
      </c>
      <c r="E39" t="s">
        <v>289</v>
      </c>
      <c r="G39" t="s">
        <v>243</v>
      </c>
      <c r="H39" t="s">
        <v>244</v>
      </c>
      <c r="I39">
        <v>1</v>
      </c>
      <c r="M39">
        <v>20</v>
      </c>
      <c r="P39" s="120">
        <v>45974</v>
      </c>
    </row>
    <row r="40" spans="1:16" x14ac:dyDescent="0.2">
      <c r="A40">
        <v>294906</v>
      </c>
      <c r="C40" t="s">
        <v>130</v>
      </c>
      <c r="D40" t="s">
        <v>252</v>
      </c>
      <c r="E40" t="s">
        <v>289</v>
      </c>
      <c r="G40" t="s">
        <v>245</v>
      </c>
      <c r="H40" t="s">
        <v>244</v>
      </c>
      <c r="I40">
        <v>1</v>
      </c>
      <c r="M40">
        <v>20</v>
      </c>
      <c r="P40" s="120">
        <v>45974</v>
      </c>
    </row>
    <row r="41" spans="1:16" x14ac:dyDescent="0.2">
      <c r="A41">
        <v>294907</v>
      </c>
      <c r="B41" t="s">
        <v>1547</v>
      </c>
      <c r="C41" t="s">
        <v>130</v>
      </c>
      <c r="D41" t="s">
        <v>252</v>
      </c>
      <c r="E41" t="s">
        <v>289</v>
      </c>
      <c r="G41" t="s">
        <v>245</v>
      </c>
      <c r="H41" t="s">
        <v>244</v>
      </c>
      <c r="I41">
        <v>1</v>
      </c>
      <c r="M41">
        <v>20</v>
      </c>
      <c r="P41" s="120">
        <v>45974</v>
      </c>
    </row>
    <row r="42" spans="1:16" x14ac:dyDescent="0.2">
      <c r="A42">
        <v>294907</v>
      </c>
      <c r="B42" t="s">
        <v>1390</v>
      </c>
      <c r="C42" t="s">
        <v>130</v>
      </c>
      <c r="D42" t="s">
        <v>252</v>
      </c>
      <c r="E42" t="s">
        <v>289</v>
      </c>
      <c r="G42" t="s">
        <v>245</v>
      </c>
      <c r="H42" t="s">
        <v>244</v>
      </c>
      <c r="I42">
        <v>1</v>
      </c>
      <c r="M42">
        <v>20</v>
      </c>
      <c r="P42" s="120">
        <v>45974</v>
      </c>
    </row>
    <row r="43" spans="1:16" x14ac:dyDescent="0.2">
      <c r="A43">
        <v>294908</v>
      </c>
      <c r="B43" t="s">
        <v>1547</v>
      </c>
      <c r="C43" t="s">
        <v>130</v>
      </c>
      <c r="D43" t="s">
        <v>252</v>
      </c>
      <c r="E43" t="s">
        <v>289</v>
      </c>
      <c r="G43" t="s">
        <v>245</v>
      </c>
      <c r="H43" t="s">
        <v>244</v>
      </c>
      <c r="I43">
        <v>1</v>
      </c>
      <c r="M43">
        <v>20</v>
      </c>
      <c r="P43" s="120">
        <v>45974</v>
      </c>
    </row>
    <row r="44" spans="1:16" x14ac:dyDescent="0.2">
      <c r="A44">
        <v>294908</v>
      </c>
      <c r="B44" t="s">
        <v>1390</v>
      </c>
      <c r="C44" t="s">
        <v>130</v>
      </c>
      <c r="D44" t="s">
        <v>252</v>
      </c>
      <c r="E44" t="s">
        <v>289</v>
      </c>
      <c r="G44" t="s">
        <v>245</v>
      </c>
      <c r="H44" t="s">
        <v>244</v>
      </c>
      <c r="I44">
        <v>1</v>
      </c>
      <c r="M44">
        <v>20</v>
      </c>
      <c r="P44" s="120">
        <v>45974</v>
      </c>
    </row>
    <row r="45" spans="1:16" x14ac:dyDescent="0.2">
      <c r="A45">
        <v>294911</v>
      </c>
      <c r="B45" t="s">
        <v>1390</v>
      </c>
      <c r="C45" t="s">
        <v>130</v>
      </c>
      <c r="D45" t="s">
        <v>252</v>
      </c>
      <c r="E45" t="s">
        <v>289</v>
      </c>
      <c r="G45" t="s">
        <v>245</v>
      </c>
      <c r="H45" t="s">
        <v>244</v>
      </c>
      <c r="I45">
        <v>1</v>
      </c>
      <c r="M45">
        <v>20</v>
      </c>
      <c r="P45" s="120">
        <v>45974</v>
      </c>
    </row>
    <row r="46" spans="1:16" x14ac:dyDescent="0.2">
      <c r="A46">
        <v>294911</v>
      </c>
      <c r="B46" t="s">
        <v>1549</v>
      </c>
      <c r="C46" t="s">
        <v>130</v>
      </c>
      <c r="D46" t="s">
        <v>252</v>
      </c>
      <c r="E46" t="s">
        <v>289</v>
      </c>
      <c r="G46" t="s">
        <v>245</v>
      </c>
      <c r="H46" t="s">
        <v>244</v>
      </c>
      <c r="I46">
        <v>1</v>
      </c>
      <c r="M46">
        <v>20</v>
      </c>
      <c r="P46" s="120">
        <v>45974</v>
      </c>
    </row>
    <row r="47" spans="1:16" x14ac:dyDescent="0.2">
      <c r="A47">
        <v>294911</v>
      </c>
      <c r="B47" t="s">
        <v>1548</v>
      </c>
      <c r="C47" t="s">
        <v>130</v>
      </c>
      <c r="D47" t="s">
        <v>252</v>
      </c>
      <c r="E47" t="s">
        <v>289</v>
      </c>
      <c r="G47" t="s">
        <v>245</v>
      </c>
      <c r="H47" t="s">
        <v>244</v>
      </c>
      <c r="I47">
        <v>1</v>
      </c>
      <c r="M47">
        <v>20</v>
      </c>
      <c r="P47" s="120">
        <v>45974</v>
      </c>
    </row>
    <row r="48" spans="1:16" x14ac:dyDescent="0.2">
      <c r="A48">
        <v>294913</v>
      </c>
      <c r="B48" t="s">
        <v>1390</v>
      </c>
      <c r="C48" t="s">
        <v>130</v>
      </c>
      <c r="D48" t="s">
        <v>252</v>
      </c>
      <c r="E48" t="s">
        <v>289</v>
      </c>
      <c r="G48" t="s">
        <v>245</v>
      </c>
      <c r="H48" t="s">
        <v>244</v>
      </c>
      <c r="I48">
        <v>1</v>
      </c>
      <c r="M48">
        <v>20</v>
      </c>
      <c r="P48" s="120">
        <v>45974</v>
      </c>
    </row>
    <row r="49" spans="1:16" x14ac:dyDescent="0.2">
      <c r="A49">
        <v>294913</v>
      </c>
      <c r="B49" t="s">
        <v>1549</v>
      </c>
      <c r="C49" t="s">
        <v>130</v>
      </c>
      <c r="D49" t="s">
        <v>252</v>
      </c>
      <c r="E49" t="s">
        <v>289</v>
      </c>
      <c r="G49" t="s">
        <v>245</v>
      </c>
      <c r="H49" t="s">
        <v>244</v>
      </c>
      <c r="I49">
        <v>1</v>
      </c>
      <c r="M49">
        <v>20</v>
      </c>
      <c r="P49" s="120">
        <v>45974</v>
      </c>
    </row>
    <row r="50" spans="1:16" x14ac:dyDescent="0.2">
      <c r="A50">
        <v>294913</v>
      </c>
      <c r="B50" t="s">
        <v>1548</v>
      </c>
      <c r="C50" t="s">
        <v>130</v>
      </c>
      <c r="D50" t="s">
        <v>252</v>
      </c>
      <c r="E50" t="s">
        <v>289</v>
      </c>
      <c r="G50" t="s">
        <v>245</v>
      </c>
      <c r="H50" t="s">
        <v>244</v>
      </c>
      <c r="I50">
        <v>1</v>
      </c>
      <c r="M50">
        <v>20</v>
      </c>
      <c r="P50" s="120">
        <v>45974</v>
      </c>
    </row>
    <row r="51" spans="1:16" x14ac:dyDescent="0.2">
      <c r="A51">
        <v>294914</v>
      </c>
      <c r="B51" t="s">
        <v>1390</v>
      </c>
      <c r="C51" t="s">
        <v>130</v>
      </c>
      <c r="D51" t="s">
        <v>252</v>
      </c>
      <c r="E51" t="s">
        <v>289</v>
      </c>
      <c r="G51" t="s">
        <v>245</v>
      </c>
      <c r="H51" t="s">
        <v>244</v>
      </c>
      <c r="I51">
        <v>1</v>
      </c>
      <c r="M51">
        <v>20</v>
      </c>
      <c r="P51" s="120">
        <v>45974</v>
      </c>
    </row>
    <row r="52" spans="1:16" x14ac:dyDescent="0.2">
      <c r="A52">
        <v>294914</v>
      </c>
      <c r="B52" t="s">
        <v>1549</v>
      </c>
      <c r="C52" t="s">
        <v>130</v>
      </c>
      <c r="D52" t="s">
        <v>252</v>
      </c>
      <c r="E52" t="s">
        <v>289</v>
      </c>
      <c r="G52" t="s">
        <v>245</v>
      </c>
      <c r="H52" t="s">
        <v>244</v>
      </c>
      <c r="I52">
        <v>1</v>
      </c>
      <c r="M52">
        <v>20</v>
      </c>
      <c r="P52" s="120">
        <v>45974</v>
      </c>
    </row>
    <row r="53" spans="1:16" x14ac:dyDescent="0.2">
      <c r="A53">
        <v>294914</v>
      </c>
      <c r="B53" t="s">
        <v>1548</v>
      </c>
      <c r="C53" t="s">
        <v>130</v>
      </c>
      <c r="D53" t="s">
        <v>252</v>
      </c>
      <c r="E53" t="s">
        <v>289</v>
      </c>
      <c r="G53" t="s">
        <v>245</v>
      </c>
      <c r="H53" t="s">
        <v>244</v>
      </c>
      <c r="I53">
        <v>1</v>
      </c>
      <c r="M53">
        <v>20</v>
      </c>
      <c r="P53" s="120">
        <v>45974</v>
      </c>
    </row>
    <row r="54" spans="1:16" x14ac:dyDescent="0.2">
      <c r="A54">
        <v>294915</v>
      </c>
      <c r="B54" t="s">
        <v>1390</v>
      </c>
      <c r="C54" t="s">
        <v>130</v>
      </c>
      <c r="D54" t="s">
        <v>252</v>
      </c>
      <c r="E54" t="s">
        <v>289</v>
      </c>
      <c r="G54" t="s">
        <v>245</v>
      </c>
      <c r="H54" t="s">
        <v>244</v>
      </c>
      <c r="I54">
        <v>1</v>
      </c>
      <c r="M54">
        <v>20</v>
      </c>
      <c r="P54" s="120">
        <v>45974</v>
      </c>
    </row>
    <row r="55" spans="1:16" x14ac:dyDescent="0.2">
      <c r="A55">
        <v>294915</v>
      </c>
      <c r="B55" t="s">
        <v>1549</v>
      </c>
      <c r="C55" t="s">
        <v>130</v>
      </c>
      <c r="D55" t="s">
        <v>252</v>
      </c>
      <c r="E55" t="s">
        <v>289</v>
      </c>
      <c r="G55" t="s">
        <v>245</v>
      </c>
      <c r="H55" t="s">
        <v>244</v>
      </c>
      <c r="I55">
        <v>1</v>
      </c>
      <c r="M55">
        <v>20</v>
      </c>
      <c r="P55" s="120">
        <v>45974</v>
      </c>
    </row>
    <row r="56" spans="1:16" x14ac:dyDescent="0.2">
      <c r="A56">
        <v>294915</v>
      </c>
      <c r="B56" t="s">
        <v>1548</v>
      </c>
      <c r="C56" t="s">
        <v>130</v>
      </c>
      <c r="D56" t="s">
        <v>252</v>
      </c>
      <c r="E56" t="s">
        <v>289</v>
      </c>
      <c r="G56" t="s">
        <v>245</v>
      </c>
      <c r="H56" t="s">
        <v>244</v>
      </c>
      <c r="I56">
        <v>1</v>
      </c>
      <c r="M56">
        <v>20</v>
      </c>
      <c r="P56" s="120">
        <v>45974</v>
      </c>
    </row>
    <row r="57" spans="1:16" x14ac:dyDescent="0.2">
      <c r="A57">
        <v>294912</v>
      </c>
      <c r="B57" t="s">
        <v>1390</v>
      </c>
      <c r="C57" t="s">
        <v>130</v>
      </c>
      <c r="D57" t="s">
        <v>252</v>
      </c>
      <c r="E57" t="s">
        <v>289</v>
      </c>
      <c r="G57" t="s">
        <v>245</v>
      </c>
      <c r="H57" t="s">
        <v>244</v>
      </c>
      <c r="I57">
        <v>1</v>
      </c>
      <c r="M57">
        <v>20</v>
      </c>
      <c r="P57" s="120">
        <v>45974</v>
      </c>
    </row>
    <row r="58" spans="1:16" x14ac:dyDescent="0.2">
      <c r="A58">
        <v>294912</v>
      </c>
      <c r="B58" t="s">
        <v>1549</v>
      </c>
      <c r="C58" t="s">
        <v>130</v>
      </c>
      <c r="D58" t="s">
        <v>252</v>
      </c>
      <c r="E58" t="s">
        <v>289</v>
      </c>
      <c r="G58" t="s">
        <v>245</v>
      </c>
      <c r="H58" t="s">
        <v>244</v>
      </c>
      <c r="I58">
        <v>1</v>
      </c>
      <c r="M58">
        <v>20</v>
      </c>
      <c r="P58" s="120">
        <v>45974</v>
      </c>
    </row>
    <row r="59" spans="1:16" x14ac:dyDescent="0.2">
      <c r="A59">
        <v>294912</v>
      </c>
      <c r="B59" t="s">
        <v>1548</v>
      </c>
      <c r="C59" t="s">
        <v>130</v>
      </c>
      <c r="D59" t="s">
        <v>252</v>
      </c>
      <c r="E59" t="s">
        <v>289</v>
      </c>
      <c r="G59" t="s">
        <v>245</v>
      </c>
      <c r="H59" t="s">
        <v>244</v>
      </c>
      <c r="I59">
        <v>1</v>
      </c>
      <c r="M59">
        <v>20</v>
      </c>
      <c r="P59" s="120">
        <v>45974</v>
      </c>
    </row>
    <row r="60" spans="1:16" x14ac:dyDescent="0.2">
      <c r="A60">
        <v>294916</v>
      </c>
      <c r="B60" t="s">
        <v>1390</v>
      </c>
      <c r="C60" t="s">
        <v>130</v>
      </c>
      <c r="D60" t="s">
        <v>252</v>
      </c>
      <c r="E60" t="s">
        <v>289</v>
      </c>
      <c r="G60" t="s">
        <v>245</v>
      </c>
      <c r="H60" t="s">
        <v>244</v>
      </c>
      <c r="I60">
        <v>1</v>
      </c>
      <c r="M60">
        <v>20</v>
      </c>
      <c r="P60" s="120">
        <v>45974</v>
      </c>
    </row>
    <row r="61" spans="1:16" x14ac:dyDescent="0.2">
      <c r="A61">
        <v>294916</v>
      </c>
      <c r="B61" t="s">
        <v>1549</v>
      </c>
      <c r="C61" t="s">
        <v>130</v>
      </c>
      <c r="D61" t="s">
        <v>252</v>
      </c>
      <c r="E61" t="s">
        <v>289</v>
      </c>
      <c r="G61" t="s">
        <v>245</v>
      </c>
      <c r="H61" t="s">
        <v>244</v>
      </c>
      <c r="I61">
        <v>1</v>
      </c>
      <c r="M61">
        <v>20</v>
      </c>
      <c r="P61" s="120">
        <v>45974</v>
      </c>
    </row>
    <row r="62" spans="1:16" x14ac:dyDescent="0.2">
      <c r="A62">
        <v>294916</v>
      </c>
      <c r="B62" t="s">
        <v>1548</v>
      </c>
      <c r="C62" t="s">
        <v>130</v>
      </c>
      <c r="D62" t="s">
        <v>252</v>
      </c>
      <c r="E62" t="s">
        <v>289</v>
      </c>
      <c r="G62" t="s">
        <v>245</v>
      </c>
      <c r="H62" t="s">
        <v>244</v>
      </c>
      <c r="I62">
        <v>1</v>
      </c>
      <c r="M62">
        <v>20</v>
      </c>
      <c r="P62" s="120">
        <v>45974</v>
      </c>
    </row>
    <row r="63" spans="1:16" x14ac:dyDescent="0.2">
      <c r="A63">
        <v>294917</v>
      </c>
      <c r="B63" t="s">
        <v>1548</v>
      </c>
      <c r="C63" t="s">
        <v>130</v>
      </c>
      <c r="D63" t="s">
        <v>252</v>
      </c>
      <c r="E63" t="s">
        <v>289</v>
      </c>
      <c r="G63" t="s">
        <v>245</v>
      </c>
      <c r="H63" t="s">
        <v>244</v>
      </c>
      <c r="I63">
        <v>1</v>
      </c>
      <c r="M63">
        <v>20</v>
      </c>
      <c r="P63" s="120">
        <v>45974</v>
      </c>
    </row>
    <row r="64" spans="1:16" x14ac:dyDescent="0.2">
      <c r="A64">
        <v>294917</v>
      </c>
      <c r="B64" t="s">
        <v>1403</v>
      </c>
      <c r="C64" t="s">
        <v>130</v>
      </c>
      <c r="D64" t="s">
        <v>252</v>
      </c>
      <c r="E64" t="s">
        <v>289</v>
      </c>
      <c r="G64" t="s">
        <v>245</v>
      </c>
      <c r="H64" t="s">
        <v>244</v>
      </c>
      <c r="I64">
        <v>1</v>
      </c>
      <c r="M64">
        <v>20</v>
      </c>
      <c r="P64" s="120">
        <v>45974</v>
      </c>
    </row>
    <row r="65" spans="1:16" x14ac:dyDescent="0.2">
      <c r="A65">
        <v>294919</v>
      </c>
      <c r="B65" t="s">
        <v>1548</v>
      </c>
      <c r="C65" t="s">
        <v>130</v>
      </c>
      <c r="D65" t="s">
        <v>252</v>
      </c>
      <c r="E65" t="s">
        <v>289</v>
      </c>
      <c r="G65" t="s">
        <v>245</v>
      </c>
      <c r="H65" t="s">
        <v>244</v>
      </c>
      <c r="I65">
        <v>1</v>
      </c>
      <c r="M65">
        <v>20</v>
      </c>
      <c r="P65" s="120">
        <v>45974</v>
      </c>
    </row>
    <row r="66" spans="1:16" x14ac:dyDescent="0.2">
      <c r="A66">
        <v>294919</v>
      </c>
      <c r="B66" t="s">
        <v>1390</v>
      </c>
      <c r="C66" t="s">
        <v>130</v>
      </c>
      <c r="D66" t="s">
        <v>252</v>
      </c>
      <c r="E66" t="s">
        <v>289</v>
      </c>
      <c r="G66" t="s">
        <v>245</v>
      </c>
      <c r="H66" t="s">
        <v>244</v>
      </c>
      <c r="I66">
        <v>1</v>
      </c>
      <c r="M66">
        <v>20</v>
      </c>
      <c r="P66" s="120">
        <v>45974</v>
      </c>
    </row>
    <row r="67" spans="1:16" x14ac:dyDescent="0.2">
      <c r="A67">
        <v>294920</v>
      </c>
      <c r="B67" t="s">
        <v>1548</v>
      </c>
      <c r="C67" t="s">
        <v>130</v>
      </c>
      <c r="D67" t="s">
        <v>252</v>
      </c>
      <c r="E67" t="s">
        <v>289</v>
      </c>
      <c r="G67" t="s">
        <v>245</v>
      </c>
      <c r="H67" t="s">
        <v>244</v>
      </c>
      <c r="I67">
        <v>1</v>
      </c>
      <c r="M67">
        <v>20</v>
      </c>
      <c r="P67" s="120">
        <v>45974</v>
      </c>
    </row>
    <row r="68" spans="1:16" x14ac:dyDescent="0.2">
      <c r="A68">
        <v>294920</v>
      </c>
      <c r="B68" t="s">
        <v>1390</v>
      </c>
      <c r="C68" t="s">
        <v>130</v>
      </c>
      <c r="D68" t="s">
        <v>252</v>
      </c>
      <c r="E68" t="s">
        <v>289</v>
      </c>
      <c r="G68" t="s">
        <v>245</v>
      </c>
      <c r="H68" t="s">
        <v>244</v>
      </c>
      <c r="I68">
        <v>1</v>
      </c>
      <c r="M68">
        <v>20</v>
      </c>
      <c r="P68" s="120">
        <v>45974</v>
      </c>
    </row>
    <row r="69" spans="1:16" x14ac:dyDescent="0.2">
      <c r="A69">
        <v>294918</v>
      </c>
      <c r="B69" t="s">
        <v>1548</v>
      </c>
      <c r="C69" t="s">
        <v>130</v>
      </c>
      <c r="D69" t="s">
        <v>252</v>
      </c>
      <c r="E69" t="s">
        <v>289</v>
      </c>
      <c r="G69" t="s">
        <v>245</v>
      </c>
      <c r="H69" t="s">
        <v>244</v>
      </c>
      <c r="I69">
        <v>1</v>
      </c>
      <c r="M69">
        <v>20</v>
      </c>
      <c r="P69" s="120">
        <v>45974</v>
      </c>
    </row>
    <row r="70" spans="1:16" x14ac:dyDescent="0.2">
      <c r="A70">
        <v>294918</v>
      </c>
      <c r="B70" t="s">
        <v>1390</v>
      </c>
      <c r="C70" t="s">
        <v>130</v>
      </c>
      <c r="D70" t="s">
        <v>252</v>
      </c>
      <c r="E70" t="s">
        <v>289</v>
      </c>
      <c r="G70" t="s">
        <v>245</v>
      </c>
      <c r="H70" t="s">
        <v>244</v>
      </c>
      <c r="I70">
        <v>1</v>
      </c>
      <c r="M70">
        <v>20</v>
      </c>
      <c r="P70" s="120">
        <v>45974</v>
      </c>
    </row>
    <row r="71" spans="1:16" x14ac:dyDescent="0.2">
      <c r="A71">
        <v>294921</v>
      </c>
      <c r="B71" t="s">
        <v>1548</v>
      </c>
      <c r="C71" t="s">
        <v>130</v>
      </c>
      <c r="D71" t="s">
        <v>252</v>
      </c>
      <c r="E71" t="s">
        <v>289</v>
      </c>
      <c r="G71" t="s">
        <v>245</v>
      </c>
      <c r="H71" t="s">
        <v>244</v>
      </c>
      <c r="I71">
        <v>1</v>
      </c>
      <c r="M71">
        <v>20</v>
      </c>
      <c r="P71" s="120">
        <v>45974</v>
      </c>
    </row>
    <row r="72" spans="1:16" x14ac:dyDescent="0.2">
      <c r="A72">
        <v>294921</v>
      </c>
      <c r="B72" t="s">
        <v>1390</v>
      </c>
      <c r="C72" t="s">
        <v>130</v>
      </c>
      <c r="D72" t="s">
        <v>252</v>
      </c>
      <c r="E72" t="s">
        <v>289</v>
      </c>
      <c r="G72" t="s">
        <v>245</v>
      </c>
      <c r="H72" t="s">
        <v>244</v>
      </c>
      <c r="I72">
        <v>1</v>
      </c>
      <c r="M72">
        <v>20</v>
      </c>
      <c r="P72" s="120">
        <v>45974</v>
      </c>
    </row>
    <row r="73" spans="1:16" x14ac:dyDescent="0.2">
      <c r="A73">
        <v>294922</v>
      </c>
      <c r="B73" t="s">
        <v>1549</v>
      </c>
      <c r="C73" t="s">
        <v>130</v>
      </c>
      <c r="D73" t="s">
        <v>252</v>
      </c>
      <c r="E73" t="s">
        <v>289</v>
      </c>
      <c r="G73" t="s">
        <v>245</v>
      </c>
      <c r="H73" t="s">
        <v>244</v>
      </c>
      <c r="I73">
        <v>1</v>
      </c>
      <c r="M73">
        <v>20</v>
      </c>
      <c r="P73" s="120">
        <v>45974</v>
      </c>
    </row>
    <row r="74" spans="1:16" x14ac:dyDescent="0.2">
      <c r="A74">
        <v>294922</v>
      </c>
      <c r="B74" t="s">
        <v>1548</v>
      </c>
      <c r="C74" t="s">
        <v>130</v>
      </c>
      <c r="D74" t="s">
        <v>252</v>
      </c>
      <c r="E74" t="s">
        <v>289</v>
      </c>
      <c r="G74" t="s">
        <v>245</v>
      </c>
      <c r="H74" t="s">
        <v>244</v>
      </c>
      <c r="I74">
        <v>1</v>
      </c>
      <c r="M74">
        <v>20</v>
      </c>
      <c r="P74" s="120">
        <v>45974</v>
      </c>
    </row>
    <row r="75" spans="1:16" x14ac:dyDescent="0.2">
      <c r="A75">
        <v>294922</v>
      </c>
      <c r="B75" t="s">
        <v>1390</v>
      </c>
      <c r="C75" t="s">
        <v>130</v>
      </c>
      <c r="D75" t="s">
        <v>252</v>
      </c>
      <c r="E75" t="s">
        <v>289</v>
      </c>
      <c r="G75" t="s">
        <v>245</v>
      </c>
      <c r="H75" t="s">
        <v>244</v>
      </c>
      <c r="I75">
        <v>1</v>
      </c>
      <c r="M75">
        <v>20</v>
      </c>
      <c r="P75" s="120">
        <v>45974</v>
      </c>
    </row>
    <row r="76" spans="1:16" x14ac:dyDescent="0.2">
      <c r="A76">
        <v>294924</v>
      </c>
      <c r="B76" t="s">
        <v>1549</v>
      </c>
      <c r="C76" t="s">
        <v>130</v>
      </c>
      <c r="D76" t="s">
        <v>252</v>
      </c>
      <c r="E76" t="s">
        <v>289</v>
      </c>
      <c r="G76" t="s">
        <v>245</v>
      </c>
      <c r="H76" t="s">
        <v>244</v>
      </c>
      <c r="I76">
        <v>1</v>
      </c>
      <c r="M76">
        <v>20</v>
      </c>
      <c r="P76" s="120">
        <v>45974</v>
      </c>
    </row>
    <row r="77" spans="1:16" x14ac:dyDescent="0.2">
      <c r="A77">
        <v>294924</v>
      </c>
      <c r="B77" t="s">
        <v>1548</v>
      </c>
      <c r="C77" t="s">
        <v>130</v>
      </c>
      <c r="D77" t="s">
        <v>252</v>
      </c>
      <c r="E77" t="s">
        <v>289</v>
      </c>
      <c r="G77" t="s">
        <v>245</v>
      </c>
      <c r="H77" t="s">
        <v>244</v>
      </c>
      <c r="I77">
        <v>1</v>
      </c>
      <c r="M77">
        <v>20</v>
      </c>
      <c r="P77" s="120">
        <v>45974</v>
      </c>
    </row>
    <row r="78" spans="1:16" x14ac:dyDescent="0.2">
      <c r="A78">
        <v>294924</v>
      </c>
      <c r="B78" t="s">
        <v>1390</v>
      </c>
      <c r="C78" t="s">
        <v>130</v>
      </c>
      <c r="D78" t="s">
        <v>252</v>
      </c>
      <c r="E78" t="s">
        <v>289</v>
      </c>
      <c r="G78" t="s">
        <v>245</v>
      </c>
      <c r="H78" t="s">
        <v>244</v>
      </c>
      <c r="I78">
        <v>1</v>
      </c>
      <c r="M78">
        <v>20</v>
      </c>
      <c r="P78" s="120">
        <v>45974</v>
      </c>
    </row>
    <row r="79" spans="1:16" x14ac:dyDescent="0.2">
      <c r="A79">
        <v>294923</v>
      </c>
      <c r="B79" t="s">
        <v>1549</v>
      </c>
      <c r="C79" t="s">
        <v>130</v>
      </c>
      <c r="D79" t="s">
        <v>252</v>
      </c>
      <c r="E79" t="s">
        <v>289</v>
      </c>
      <c r="G79" t="s">
        <v>245</v>
      </c>
      <c r="H79" t="s">
        <v>244</v>
      </c>
      <c r="I79">
        <v>1</v>
      </c>
      <c r="M79">
        <v>20</v>
      </c>
      <c r="P79" s="120">
        <v>45974</v>
      </c>
    </row>
    <row r="80" spans="1:16" x14ac:dyDescent="0.2">
      <c r="A80">
        <v>294923</v>
      </c>
      <c r="B80" t="s">
        <v>1548</v>
      </c>
      <c r="C80" t="s">
        <v>130</v>
      </c>
      <c r="D80" t="s">
        <v>252</v>
      </c>
      <c r="E80" t="s">
        <v>289</v>
      </c>
      <c r="G80" t="s">
        <v>245</v>
      </c>
      <c r="H80" t="s">
        <v>244</v>
      </c>
      <c r="I80">
        <v>1</v>
      </c>
      <c r="M80">
        <v>20</v>
      </c>
      <c r="P80" s="120">
        <v>45974</v>
      </c>
    </row>
    <row r="81" spans="1:16" x14ac:dyDescent="0.2">
      <c r="A81">
        <v>294923</v>
      </c>
      <c r="B81" t="s">
        <v>1390</v>
      </c>
      <c r="C81" t="s">
        <v>130</v>
      </c>
      <c r="D81" t="s">
        <v>252</v>
      </c>
      <c r="E81" t="s">
        <v>289</v>
      </c>
      <c r="G81" t="s">
        <v>245</v>
      </c>
      <c r="H81" t="s">
        <v>244</v>
      </c>
      <c r="I81">
        <v>1</v>
      </c>
      <c r="M81">
        <v>20</v>
      </c>
      <c r="P81" s="120">
        <v>45974</v>
      </c>
    </row>
    <row r="82" spans="1:16" x14ac:dyDescent="0.2">
      <c r="A82">
        <v>294925</v>
      </c>
      <c r="B82" t="s">
        <v>86</v>
      </c>
      <c r="C82" t="s">
        <v>130</v>
      </c>
      <c r="D82" t="s">
        <v>252</v>
      </c>
      <c r="E82" t="s">
        <v>289</v>
      </c>
      <c r="G82" t="s">
        <v>243</v>
      </c>
      <c r="H82" t="s">
        <v>244</v>
      </c>
      <c r="I82">
        <v>1</v>
      </c>
      <c r="M82">
        <v>20</v>
      </c>
      <c r="P82" s="120">
        <v>45974</v>
      </c>
    </row>
    <row r="83" spans="1:16" x14ac:dyDescent="0.2">
      <c r="A83">
        <v>294925</v>
      </c>
      <c r="C83" t="s">
        <v>130</v>
      </c>
      <c r="D83" t="s">
        <v>252</v>
      </c>
      <c r="E83" t="s">
        <v>289</v>
      </c>
      <c r="G83" t="s">
        <v>245</v>
      </c>
      <c r="H83" t="s">
        <v>244</v>
      </c>
      <c r="I83">
        <v>1</v>
      </c>
      <c r="M83">
        <v>20</v>
      </c>
      <c r="P83" s="120">
        <v>45974</v>
      </c>
    </row>
    <row r="84" spans="1:16" x14ac:dyDescent="0.2">
      <c r="A84">
        <v>294926</v>
      </c>
      <c r="B84" t="s">
        <v>1547</v>
      </c>
      <c r="C84" t="s">
        <v>130</v>
      </c>
      <c r="D84" t="s">
        <v>252</v>
      </c>
      <c r="E84" t="s">
        <v>289</v>
      </c>
      <c r="G84" t="s">
        <v>245</v>
      </c>
      <c r="H84" t="s">
        <v>244</v>
      </c>
      <c r="I84">
        <v>1</v>
      </c>
      <c r="M84">
        <v>20</v>
      </c>
      <c r="P84" s="120">
        <v>45974</v>
      </c>
    </row>
    <row r="85" spans="1:16" x14ac:dyDescent="0.2">
      <c r="A85">
        <v>294926</v>
      </c>
      <c r="B85" t="s">
        <v>1390</v>
      </c>
      <c r="C85" t="s">
        <v>130</v>
      </c>
      <c r="D85" t="s">
        <v>252</v>
      </c>
      <c r="E85" t="s">
        <v>289</v>
      </c>
      <c r="G85" t="s">
        <v>245</v>
      </c>
      <c r="H85" t="s">
        <v>244</v>
      </c>
      <c r="I85">
        <v>1</v>
      </c>
      <c r="M85">
        <v>20</v>
      </c>
      <c r="P85" s="120">
        <v>45974</v>
      </c>
    </row>
    <row r="86" spans="1:16" x14ac:dyDescent="0.2">
      <c r="A86">
        <v>294927</v>
      </c>
      <c r="B86" t="s">
        <v>1547</v>
      </c>
      <c r="C86" t="s">
        <v>130</v>
      </c>
      <c r="D86" t="s">
        <v>252</v>
      </c>
      <c r="E86" t="s">
        <v>289</v>
      </c>
      <c r="G86" t="s">
        <v>245</v>
      </c>
      <c r="H86" t="s">
        <v>244</v>
      </c>
      <c r="I86">
        <v>1</v>
      </c>
      <c r="M86">
        <v>20</v>
      </c>
      <c r="P86" s="120">
        <v>45974</v>
      </c>
    </row>
    <row r="87" spans="1:16" x14ac:dyDescent="0.2">
      <c r="A87">
        <v>294927</v>
      </c>
      <c r="B87" t="s">
        <v>1390</v>
      </c>
      <c r="C87" t="s">
        <v>130</v>
      </c>
      <c r="D87" t="s">
        <v>252</v>
      </c>
      <c r="E87" t="s">
        <v>289</v>
      </c>
      <c r="G87" t="s">
        <v>245</v>
      </c>
      <c r="H87" t="s">
        <v>244</v>
      </c>
      <c r="I87">
        <v>1</v>
      </c>
      <c r="M87">
        <v>20</v>
      </c>
      <c r="P87" s="120">
        <v>45974</v>
      </c>
    </row>
    <row r="88" spans="1:16" x14ac:dyDescent="0.2">
      <c r="A88">
        <v>294929</v>
      </c>
      <c r="B88" t="s">
        <v>1549</v>
      </c>
      <c r="C88" t="s">
        <v>130</v>
      </c>
      <c r="D88" t="s">
        <v>252</v>
      </c>
      <c r="E88" t="s">
        <v>289</v>
      </c>
      <c r="G88" t="s">
        <v>245</v>
      </c>
      <c r="H88" t="s">
        <v>244</v>
      </c>
      <c r="I88">
        <v>1</v>
      </c>
      <c r="M88">
        <v>20</v>
      </c>
      <c r="P88" s="120">
        <v>45974</v>
      </c>
    </row>
    <row r="89" spans="1:16" x14ac:dyDescent="0.2">
      <c r="A89">
        <v>294929</v>
      </c>
      <c r="B89" t="s">
        <v>1548</v>
      </c>
      <c r="C89" t="s">
        <v>130</v>
      </c>
      <c r="D89" t="s">
        <v>252</v>
      </c>
      <c r="E89" t="s">
        <v>289</v>
      </c>
      <c r="G89" t="s">
        <v>245</v>
      </c>
      <c r="H89" t="s">
        <v>244</v>
      </c>
      <c r="I89">
        <v>1</v>
      </c>
      <c r="M89">
        <v>20</v>
      </c>
      <c r="P89" s="120">
        <v>45974</v>
      </c>
    </row>
    <row r="90" spans="1:16" x14ac:dyDescent="0.2">
      <c r="A90">
        <v>294929</v>
      </c>
      <c r="B90" t="s">
        <v>1390</v>
      </c>
      <c r="C90" t="s">
        <v>130</v>
      </c>
      <c r="D90" t="s">
        <v>252</v>
      </c>
      <c r="E90" t="s">
        <v>289</v>
      </c>
      <c r="G90" t="s">
        <v>245</v>
      </c>
      <c r="H90" t="s">
        <v>244</v>
      </c>
      <c r="I90">
        <v>1</v>
      </c>
      <c r="M90">
        <v>20</v>
      </c>
      <c r="P90" s="120">
        <v>45974</v>
      </c>
    </row>
    <row r="91" spans="1:16" x14ac:dyDescent="0.2">
      <c r="A91">
        <v>294930</v>
      </c>
      <c r="B91" t="s">
        <v>86</v>
      </c>
      <c r="C91" t="s">
        <v>130</v>
      </c>
      <c r="D91" t="s">
        <v>252</v>
      </c>
      <c r="E91" t="s">
        <v>289</v>
      </c>
      <c r="G91" t="s">
        <v>243</v>
      </c>
      <c r="H91" t="s">
        <v>244</v>
      </c>
      <c r="I91">
        <v>1</v>
      </c>
      <c r="M91">
        <v>20</v>
      </c>
      <c r="P91" s="120">
        <v>45974</v>
      </c>
    </row>
    <row r="92" spans="1:16" x14ac:dyDescent="0.2">
      <c r="A92">
        <v>294930</v>
      </c>
      <c r="C92" t="s">
        <v>130</v>
      </c>
      <c r="D92" t="s">
        <v>252</v>
      </c>
      <c r="E92" t="s">
        <v>289</v>
      </c>
      <c r="G92" t="s">
        <v>245</v>
      </c>
      <c r="H92" t="s">
        <v>244</v>
      </c>
      <c r="I92">
        <v>1</v>
      </c>
      <c r="M92">
        <v>20</v>
      </c>
      <c r="P92" s="120">
        <v>45974</v>
      </c>
    </row>
    <row r="93" spans="1:16" x14ac:dyDescent="0.2">
      <c r="A93">
        <v>294928</v>
      </c>
      <c r="B93" t="s">
        <v>1547</v>
      </c>
      <c r="C93" t="s">
        <v>130</v>
      </c>
      <c r="D93" t="s">
        <v>252</v>
      </c>
      <c r="E93" t="s">
        <v>289</v>
      </c>
      <c r="G93" t="s">
        <v>245</v>
      </c>
      <c r="H93" t="s">
        <v>244</v>
      </c>
      <c r="I93">
        <v>1</v>
      </c>
      <c r="M93">
        <v>20</v>
      </c>
      <c r="P93" s="120">
        <v>45974</v>
      </c>
    </row>
    <row r="94" spans="1:16" x14ac:dyDescent="0.2">
      <c r="A94">
        <v>294928</v>
      </c>
      <c r="B94" t="s">
        <v>1390</v>
      </c>
      <c r="C94" t="s">
        <v>130</v>
      </c>
      <c r="D94" t="s">
        <v>252</v>
      </c>
      <c r="E94" t="s">
        <v>289</v>
      </c>
      <c r="G94" t="s">
        <v>245</v>
      </c>
      <c r="H94" t="s">
        <v>244</v>
      </c>
      <c r="I94">
        <v>1</v>
      </c>
      <c r="M94">
        <v>20</v>
      </c>
      <c r="P94" s="120">
        <v>45974</v>
      </c>
    </row>
    <row r="95" spans="1:16" x14ac:dyDescent="0.2">
      <c r="A95">
        <v>294931</v>
      </c>
      <c r="B95" t="s">
        <v>1549</v>
      </c>
      <c r="C95" t="s">
        <v>130</v>
      </c>
      <c r="D95" t="s">
        <v>252</v>
      </c>
      <c r="E95" t="s">
        <v>289</v>
      </c>
      <c r="G95" t="s">
        <v>245</v>
      </c>
      <c r="H95" t="s">
        <v>244</v>
      </c>
      <c r="I95">
        <v>1</v>
      </c>
      <c r="M95">
        <v>20</v>
      </c>
      <c r="P95" s="120">
        <v>45974</v>
      </c>
    </row>
    <row r="96" spans="1:16" x14ac:dyDescent="0.2">
      <c r="A96">
        <v>294931</v>
      </c>
      <c r="B96" t="s">
        <v>1548</v>
      </c>
      <c r="C96" t="s">
        <v>130</v>
      </c>
      <c r="D96" t="s">
        <v>252</v>
      </c>
      <c r="E96" t="s">
        <v>289</v>
      </c>
      <c r="G96" t="s">
        <v>245</v>
      </c>
      <c r="H96" t="s">
        <v>244</v>
      </c>
      <c r="I96">
        <v>1</v>
      </c>
      <c r="M96">
        <v>20</v>
      </c>
      <c r="P96" s="120">
        <v>45974</v>
      </c>
    </row>
    <row r="97" spans="1:16" x14ac:dyDescent="0.2">
      <c r="A97">
        <v>294931</v>
      </c>
      <c r="B97" t="s">
        <v>1390</v>
      </c>
      <c r="C97" t="s">
        <v>130</v>
      </c>
      <c r="D97" t="s">
        <v>252</v>
      </c>
      <c r="E97" t="s">
        <v>289</v>
      </c>
      <c r="G97" t="s">
        <v>245</v>
      </c>
      <c r="H97" t="s">
        <v>244</v>
      </c>
      <c r="I97">
        <v>1</v>
      </c>
      <c r="M97">
        <v>20</v>
      </c>
      <c r="P97" s="120">
        <v>45974</v>
      </c>
    </row>
    <row r="98" spans="1:16" x14ac:dyDescent="0.2">
      <c r="A98">
        <v>294932</v>
      </c>
      <c r="B98" t="s">
        <v>1547</v>
      </c>
      <c r="C98" t="s">
        <v>130</v>
      </c>
      <c r="D98" t="s">
        <v>252</v>
      </c>
      <c r="E98" t="s">
        <v>289</v>
      </c>
      <c r="G98" t="s">
        <v>245</v>
      </c>
      <c r="H98" t="s">
        <v>244</v>
      </c>
      <c r="I98">
        <v>1</v>
      </c>
      <c r="M98">
        <v>20</v>
      </c>
      <c r="P98" s="120">
        <v>45974</v>
      </c>
    </row>
    <row r="99" spans="1:16" x14ac:dyDescent="0.2">
      <c r="A99">
        <v>294932</v>
      </c>
      <c r="B99" t="s">
        <v>1403</v>
      </c>
      <c r="C99" t="s">
        <v>130</v>
      </c>
      <c r="D99" t="s">
        <v>252</v>
      </c>
      <c r="E99" t="s">
        <v>289</v>
      </c>
      <c r="G99" t="s">
        <v>245</v>
      </c>
      <c r="H99" t="s">
        <v>244</v>
      </c>
      <c r="I99">
        <v>1</v>
      </c>
      <c r="M99">
        <v>20</v>
      </c>
      <c r="P99" s="120">
        <v>45974</v>
      </c>
    </row>
    <row r="100" spans="1:16" x14ac:dyDescent="0.2">
      <c r="A100">
        <v>294933</v>
      </c>
      <c r="B100" t="s">
        <v>1547</v>
      </c>
      <c r="C100" t="s">
        <v>130</v>
      </c>
      <c r="D100" t="s">
        <v>252</v>
      </c>
      <c r="E100" t="s">
        <v>289</v>
      </c>
      <c r="G100" t="s">
        <v>245</v>
      </c>
      <c r="H100" t="s">
        <v>244</v>
      </c>
      <c r="I100">
        <v>1</v>
      </c>
      <c r="M100">
        <v>20</v>
      </c>
      <c r="P100" s="120">
        <v>45974</v>
      </c>
    </row>
    <row r="101" spans="1:16" x14ac:dyDescent="0.2">
      <c r="A101">
        <v>294933</v>
      </c>
      <c r="B101" t="s">
        <v>1390</v>
      </c>
      <c r="C101" t="s">
        <v>130</v>
      </c>
      <c r="D101" t="s">
        <v>252</v>
      </c>
      <c r="E101" t="s">
        <v>289</v>
      </c>
      <c r="G101" t="s">
        <v>245</v>
      </c>
      <c r="H101" t="s">
        <v>244</v>
      </c>
      <c r="I101">
        <v>1</v>
      </c>
      <c r="M101">
        <v>20</v>
      </c>
      <c r="P101" s="120">
        <v>45974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DE3C-30C6-48A5-B963-AA386E444AA8}">
  <sheetPr codeName="Assetic_NewAssets">
    <tabColor rgb="FF008DA8"/>
  </sheetPr>
  <dimension ref="A1:L101"/>
  <sheetViews>
    <sheetView zoomScale="115" zoomScaleNormal="115" workbookViewId="0">
      <selection activeCell="A2" sqref="A2:K1002"/>
    </sheetView>
  </sheetViews>
  <sheetFormatPr defaultRowHeight="14.25" x14ac:dyDescent="0.2"/>
  <cols>
    <col min="1" max="1" width="19.125" bestFit="1" customWidth="1"/>
    <col min="2" max="2" width="8.125" bestFit="1" customWidth="1"/>
    <col min="3" max="3" width="21.875" customWidth="1"/>
    <col min="4" max="4" width="14.125" bestFit="1" customWidth="1"/>
    <col min="5" max="5" width="15.25" bestFit="1" customWidth="1"/>
    <col min="6" max="6" width="10.625" bestFit="1" customWidth="1"/>
    <col min="7" max="7" width="20.125" bestFit="1" customWidth="1"/>
    <col min="8" max="8" width="24.875" bestFit="1" customWidth="1"/>
    <col min="9" max="9" width="21" bestFit="1" customWidth="1"/>
    <col min="10" max="10" width="10.75" bestFit="1" customWidth="1"/>
    <col min="11" max="11" width="8.25" bestFit="1" customWidth="1"/>
  </cols>
  <sheetData>
    <row r="1" spans="1:12" ht="50.1" customHeight="1" x14ac:dyDescent="0.2">
      <c r="A1" t="s">
        <v>977</v>
      </c>
      <c r="B1" t="s">
        <v>956</v>
      </c>
      <c r="C1" t="s">
        <v>986</v>
      </c>
      <c r="D1" t="s">
        <v>951</v>
      </c>
      <c r="E1" t="s">
        <v>1136</v>
      </c>
      <c r="F1" t="s">
        <v>953</v>
      </c>
      <c r="G1" t="s">
        <v>1137</v>
      </c>
      <c r="H1" t="s">
        <v>1138</v>
      </c>
      <c r="I1" t="s">
        <v>1139</v>
      </c>
      <c r="J1" t="s">
        <v>1140</v>
      </c>
      <c r="K1" t="s">
        <v>1141</v>
      </c>
      <c r="L1" s="57" t="s">
        <v>1090</v>
      </c>
    </row>
    <row r="2" spans="1:12" x14ac:dyDescent="0.2">
      <c r="A2" t="s">
        <v>457</v>
      </c>
      <c r="B2">
        <v>294886</v>
      </c>
      <c r="D2" t="s">
        <v>363</v>
      </c>
      <c r="E2" t="s">
        <v>289</v>
      </c>
      <c r="F2" t="s">
        <v>1369</v>
      </c>
      <c r="G2" t="s">
        <v>1377</v>
      </c>
      <c r="L2" t="s">
        <v>1295</v>
      </c>
    </row>
    <row r="3" spans="1:12" x14ac:dyDescent="0.2">
      <c r="A3" t="s">
        <v>457</v>
      </c>
      <c r="B3">
        <v>294888</v>
      </c>
      <c r="D3" t="s">
        <v>363</v>
      </c>
      <c r="E3" t="s">
        <v>289</v>
      </c>
      <c r="F3" t="s">
        <v>1369</v>
      </c>
      <c r="G3" t="s">
        <v>1370</v>
      </c>
      <c r="L3" t="s">
        <v>1295</v>
      </c>
    </row>
    <row r="4" spans="1:12" x14ac:dyDescent="0.2">
      <c r="A4" t="s">
        <v>457</v>
      </c>
      <c r="B4">
        <v>294887</v>
      </c>
      <c r="D4" t="s">
        <v>363</v>
      </c>
      <c r="E4" t="s">
        <v>289</v>
      </c>
      <c r="F4" t="s">
        <v>1369</v>
      </c>
      <c r="G4" t="s">
        <v>1370</v>
      </c>
      <c r="L4" t="s">
        <v>1295</v>
      </c>
    </row>
    <row r="5" spans="1:12" x14ac:dyDescent="0.2">
      <c r="A5" t="s">
        <v>457</v>
      </c>
      <c r="B5">
        <v>294889</v>
      </c>
      <c r="D5" t="s">
        <v>363</v>
      </c>
      <c r="E5" t="s">
        <v>289</v>
      </c>
      <c r="F5" t="s">
        <v>1369</v>
      </c>
      <c r="G5" t="s">
        <v>1371</v>
      </c>
      <c r="L5" t="s">
        <v>1295</v>
      </c>
    </row>
    <row r="6" spans="1:12" x14ac:dyDescent="0.2">
      <c r="A6" t="s">
        <v>457</v>
      </c>
      <c r="B6">
        <v>294890</v>
      </c>
      <c r="D6" t="s">
        <v>363</v>
      </c>
      <c r="E6" t="s">
        <v>289</v>
      </c>
      <c r="F6" t="s">
        <v>1369</v>
      </c>
      <c r="G6" t="s">
        <v>1370</v>
      </c>
      <c r="L6" t="s">
        <v>1295</v>
      </c>
    </row>
    <row r="7" spans="1:12" x14ac:dyDescent="0.2">
      <c r="A7" t="s">
        <v>457</v>
      </c>
      <c r="B7">
        <v>294891</v>
      </c>
      <c r="D7" t="s">
        <v>363</v>
      </c>
      <c r="E7" t="s">
        <v>289</v>
      </c>
      <c r="F7" t="s">
        <v>1369</v>
      </c>
      <c r="G7" t="s">
        <v>1370</v>
      </c>
      <c r="L7" t="s">
        <v>1295</v>
      </c>
    </row>
    <row r="8" spans="1:12" x14ac:dyDescent="0.2">
      <c r="A8" t="s">
        <v>457</v>
      </c>
      <c r="B8">
        <v>294892</v>
      </c>
      <c r="D8" t="s">
        <v>363</v>
      </c>
      <c r="E8" t="s">
        <v>289</v>
      </c>
      <c r="F8" t="s">
        <v>1369</v>
      </c>
      <c r="G8" t="s">
        <v>1373</v>
      </c>
      <c r="L8" t="s">
        <v>1295</v>
      </c>
    </row>
    <row r="9" spans="1:12" x14ac:dyDescent="0.2">
      <c r="A9" t="s">
        <v>457</v>
      </c>
      <c r="B9">
        <v>294893</v>
      </c>
      <c r="D9" t="s">
        <v>363</v>
      </c>
      <c r="E9" t="s">
        <v>289</v>
      </c>
      <c r="F9" t="s">
        <v>1369</v>
      </c>
      <c r="G9" t="s">
        <v>1370</v>
      </c>
      <c r="L9" t="s">
        <v>1295</v>
      </c>
    </row>
    <row r="10" spans="1:12" x14ac:dyDescent="0.2">
      <c r="A10" t="s">
        <v>457</v>
      </c>
      <c r="B10">
        <v>294894</v>
      </c>
      <c r="D10" t="s">
        <v>363</v>
      </c>
      <c r="E10" t="s">
        <v>289</v>
      </c>
      <c r="F10" t="s">
        <v>1369</v>
      </c>
      <c r="G10" t="s">
        <v>1377</v>
      </c>
      <c r="L10" t="s">
        <v>1295</v>
      </c>
    </row>
    <row r="11" spans="1:12" x14ac:dyDescent="0.2">
      <c r="A11" t="s">
        <v>457</v>
      </c>
      <c r="B11">
        <v>294895</v>
      </c>
      <c r="D11" t="s">
        <v>363</v>
      </c>
      <c r="E11" t="s">
        <v>289</v>
      </c>
      <c r="F11" t="s">
        <v>1369</v>
      </c>
      <c r="G11" t="s">
        <v>1370</v>
      </c>
      <c r="L11" t="s">
        <v>1295</v>
      </c>
    </row>
    <row r="12" spans="1:12" x14ac:dyDescent="0.2">
      <c r="A12" t="s">
        <v>457</v>
      </c>
      <c r="B12">
        <v>294898</v>
      </c>
      <c r="D12" t="s">
        <v>363</v>
      </c>
      <c r="E12" t="s">
        <v>289</v>
      </c>
      <c r="F12" t="s">
        <v>1369</v>
      </c>
      <c r="G12" t="s">
        <v>1377</v>
      </c>
      <c r="L12" t="s">
        <v>1295</v>
      </c>
    </row>
    <row r="13" spans="1:12" x14ac:dyDescent="0.2">
      <c r="A13" t="s">
        <v>457</v>
      </c>
      <c r="B13">
        <v>294896</v>
      </c>
      <c r="D13" t="s">
        <v>363</v>
      </c>
      <c r="E13" t="s">
        <v>289</v>
      </c>
      <c r="F13" t="s">
        <v>1369</v>
      </c>
      <c r="G13" t="s">
        <v>1370</v>
      </c>
      <c r="L13" t="s">
        <v>1295</v>
      </c>
    </row>
    <row r="14" spans="1:12" x14ac:dyDescent="0.2">
      <c r="A14" t="s">
        <v>457</v>
      </c>
      <c r="B14">
        <v>294899</v>
      </c>
      <c r="D14" t="s">
        <v>363</v>
      </c>
      <c r="E14" t="s">
        <v>289</v>
      </c>
      <c r="F14" t="s">
        <v>1369</v>
      </c>
      <c r="G14" t="s">
        <v>1370</v>
      </c>
      <c r="L14" t="s">
        <v>1295</v>
      </c>
    </row>
    <row r="15" spans="1:12" x14ac:dyDescent="0.2">
      <c r="A15" t="s">
        <v>416</v>
      </c>
      <c r="B15">
        <v>294897</v>
      </c>
      <c r="D15" t="s">
        <v>363</v>
      </c>
      <c r="E15" t="s">
        <v>289</v>
      </c>
      <c r="F15" t="s">
        <v>349</v>
      </c>
      <c r="G15" t="s">
        <v>86</v>
      </c>
      <c r="L15" t="s">
        <v>1295</v>
      </c>
    </row>
    <row r="16" spans="1:12" x14ac:dyDescent="0.2">
      <c r="A16" t="s">
        <v>421</v>
      </c>
      <c r="B16">
        <v>294897</v>
      </c>
      <c r="D16" t="s">
        <v>363</v>
      </c>
      <c r="E16" t="s">
        <v>289</v>
      </c>
      <c r="F16" t="s">
        <v>349</v>
      </c>
      <c r="G16" t="s">
        <v>1390</v>
      </c>
      <c r="L16" t="s">
        <v>1295</v>
      </c>
    </row>
    <row r="17" spans="1:12" x14ac:dyDescent="0.2">
      <c r="A17" t="s">
        <v>421</v>
      </c>
      <c r="B17">
        <v>294900</v>
      </c>
      <c r="D17" t="s">
        <v>363</v>
      </c>
      <c r="E17" t="s">
        <v>289</v>
      </c>
      <c r="F17" t="s">
        <v>349</v>
      </c>
      <c r="G17" t="s">
        <v>1391</v>
      </c>
      <c r="L17" t="s">
        <v>1295</v>
      </c>
    </row>
    <row r="18" spans="1:12" x14ac:dyDescent="0.2">
      <c r="A18" t="s">
        <v>421</v>
      </c>
      <c r="B18">
        <v>294900</v>
      </c>
      <c r="D18" t="s">
        <v>363</v>
      </c>
      <c r="E18" t="s">
        <v>289</v>
      </c>
      <c r="F18" t="s">
        <v>349</v>
      </c>
      <c r="G18" t="s">
        <v>1390</v>
      </c>
      <c r="L18" t="s">
        <v>1295</v>
      </c>
    </row>
    <row r="19" spans="1:12" x14ac:dyDescent="0.2">
      <c r="A19" t="s">
        <v>421</v>
      </c>
      <c r="B19">
        <v>294901</v>
      </c>
      <c r="D19" t="s">
        <v>363</v>
      </c>
      <c r="E19" t="s">
        <v>289</v>
      </c>
      <c r="F19" t="s">
        <v>349</v>
      </c>
      <c r="G19" t="s">
        <v>1390</v>
      </c>
      <c r="L19" t="s">
        <v>1295</v>
      </c>
    </row>
    <row r="20" spans="1:12" x14ac:dyDescent="0.2">
      <c r="A20" t="s">
        <v>421</v>
      </c>
      <c r="B20">
        <v>294901</v>
      </c>
      <c r="D20" t="s">
        <v>363</v>
      </c>
      <c r="E20" t="s">
        <v>289</v>
      </c>
      <c r="F20" t="s">
        <v>349</v>
      </c>
      <c r="G20" t="s">
        <v>1393</v>
      </c>
      <c r="L20" t="s">
        <v>1295</v>
      </c>
    </row>
    <row r="21" spans="1:12" x14ac:dyDescent="0.2">
      <c r="A21" t="s">
        <v>421</v>
      </c>
      <c r="B21">
        <v>294901</v>
      </c>
      <c r="D21" t="s">
        <v>363</v>
      </c>
      <c r="E21" t="s">
        <v>289</v>
      </c>
      <c r="F21" t="s">
        <v>349</v>
      </c>
      <c r="G21" t="s">
        <v>1394</v>
      </c>
      <c r="L21" t="s">
        <v>1295</v>
      </c>
    </row>
    <row r="22" spans="1:12" x14ac:dyDescent="0.2">
      <c r="A22" t="s">
        <v>421</v>
      </c>
      <c r="B22">
        <v>294905</v>
      </c>
      <c r="D22" t="s">
        <v>363</v>
      </c>
      <c r="E22" t="s">
        <v>289</v>
      </c>
      <c r="F22" t="s">
        <v>349</v>
      </c>
      <c r="G22" t="s">
        <v>1390</v>
      </c>
      <c r="L22" t="s">
        <v>1295</v>
      </c>
    </row>
    <row r="23" spans="1:12" x14ac:dyDescent="0.2">
      <c r="A23" t="s">
        <v>421</v>
      </c>
      <c r="B23">
        <v>294905</v>
      </c>
      <c r="D23" t="s">
        <v>363</v>
      </c>
      <c r="E23" t="s">
        <v>289</v>
      </c>
      <c r="F23" t="s">
        <v>349</v>
      </c>
      <c r="G23" t="s">
        <v>1393</v>
      </c>
      <c r="L23" t="s">
        <v>1295</v>
      </c>
    </row>
    <row r="24" spans="1:12" x14ac:dyDescent="0.2">
      <c r="A24" t="s">
        <v>421</v>
      </c>
      <c r="B24">
        <v>294905</v>
      </c>
      <c r="D24" t="s">
        <v>363</v>
      </c>
      <c r="E24" t="s">
        <v>289</v>
      </c>
      <c r="F24" t="s">
        <v>349</v>
      </c>
      <c r="G24" t="s">
        <v>1394</v>
      </c>
      <c r="L24" t="s">
        <v>1295</v>
      </c>
    </row>
    <row r="25" spans="1:12" x14ac:dyDescent="0.2">
      <c r="A25" t="s">
        <v>421</v>
      </c>
      <c r="B25">
        <v>294902</v>
      </c>
      <c r="D25" t="s">
        <v>363</v>
      </c>
      <c r="E25" t="s">
        <v>289</v>
      </c>
      <c r="F25" t="s">
        <v>349</v>
      </c>
      <c r="G25" t="s">
        <v>1390</v>
      </c>
      <c r="L25" t="s">
        <v>1295</v>
      </c>
    </row>
    <row r="26" spans="1:12" x14ac:dyDescent="0.2">
      <c r="A26" t="s">
        <v>421</v>
      </c>
      <c r="B26">
        <v>294902</v>
      </c>
      <c r="D26" t="s">
        <v>363</v>
      </c>
      <c r="E26" t="s">
        <v>289</v>
      </c>
      <c r="F26" t="s">
        <v>349</v>
      </c>
      <c r="G26" t="s">
        <v>1393</v>
      </c>
      <c r="L26" t="s">
        <v>1295</v>
      </c>
    </row>
    <row r="27" spans="1:12" x14ac:dyDescent="0.2">
      <c r="A27" t="s">
        <v>421</v>
      </c>
      <c r="B27">
        <v>294902</v>
      </c>
      <c r="D27" t="s">
        <v>363</v>
      </c>
      <c r="E27" t="s">
        <v>289</v>
      </c>
      <c r="F27" t="s">
        <v>349</v>
      </c>
      <c r="G27" t="s">
        <v>1394</v>
      </c>
      <c r="L27" t="s">
        <v>1295</v>
      </c>
    </row>
    <row r="28" spans="1:12" x14ac:dyDescent="0.2">
      <c r="A28" t="s">
        <v>421</v>
      </c>
      <c r="B28">
        <v>294904</v>
      </c>
      <c r="D28" t="s">
        <v>363</v>
      </c>
      <c r="E28" t="s">
        <v>289</v>
      </c>
      <c r="F28" t="s">
        <v>349</v>
      </c>
      <c r="G28" t="s">
        <v>1391</v>
      </c>
      <c r="L28" t="s">
        <v>1295</v>
      </c>
    </row>
    <row r="29" spans="1:12" x14ac:dyDescent="0.2">
      <c r="A29" t="s">
        <v>421</v>
      </c>
      <c r="B29">
        <v>294904</v>
      </c>
      <c r="D29" t="s">
        <v>363</v>
      </c>
      <c r="E29" t="s">
        <v>289</v>
      </c>
      <c r="F29" t="s">
        <v>349</v>
      </c>
      <c r="G29" t="s">
        <v>1390</v>
      </c>
      <c r="L29" t="s">
        <v>1295</v>
      </c>
    </row>
    <row r="30" spans="1:12" x14ac:dyDescent="0.2">
      <c r="A30" t="s">
        <v>421</v>
      </c>
      <c r="B30">
        <v>294903</v>
      </c>
      <c r="D30" t="s">
        <v>363</v>
      </c>
      <c r="E30" t="s">
        <v>289</v>
      </c>
      <c r="F30" t="s">
        <v>349</v>
      </c>
      <c r="G30" t="s">
        <v>1390</v>
      </c>
      <c r="L30" t="s">
        <v>1295</v>
      </c>
    </row>
    <row r="31" spans="1:12" x14ac:dyDescent="0.2">
      <c r="A31" t="s">
        <v>421</v>
      </c>
      <c r="B31">
        <v>294903</v>
      </c>
      <c r="D31" t="s">
        <v>363</v>
      </c>
      <c r="E31" t="s">
        <v>289</v>
      </c>
      <c r="F31" t="s">
        <v>349</v>
      </c>
      <c r="G31" t="s">
        <v>1393</v>
      </c>
      <c r="L31" t="s">
        <v>1295</v>
      </c>
    </row>
    <row r="32" spans="1:12" x14ac:dyDescent="0.2">
      <c r="A32" t="s">
        <v>421</v>
      </c>
      <c r="B32">
        <v>294903</v>
      </c>
      <c r="D32" t="s">
        <v>363</v>
      </c>
      <c r="E32" t="s">
        <v>289</v>
      </c>
      <c r="F32" t="s">
        <v>349</v>
      </c>
      <c r="G32" t="s">
        <v>1394</v>
      </c>
      <c r="L32" t="s">
        <v>1295</v>
      </c>
    </row>
    <row r="33" spans="1:12" x14ac:dyDescent="0.2">
      <c r="A33" t="s">
        <v>421</v>
      </c>
      <c r="B33">
        <v>294909</v>
      </c>
      <c r="D33" t="s">
        <v>363</v>
      </c>
      <c r="E33" t="s">
        <v>289</v>
      </c>
      <c r="F33" t="s">
        <v>349</v>
      </c>
      <c r="G33" t="s">
        <v>1390</v>
      </c>
      <c r="L33" t="s">
        <v>1295</v>
      </c>
    </row>
    <row r="34" spans="1:12" x14ac:dyDescent="0.2">
      <c r="A34" t="s">
        <v>421</v>
      </c>
      <c r="B34">
        <v>294909</v>
      </c>
      <c r="D34" t="s">
        <v>363</v>
      </c>
      <c r="E34" t="s">
        <v>289</v>
      </c>
      <c r="F34" t="s">
        <v>349</v>
      </c>
      <c r="G34" t="s">
        <v>1393</v>
      </c>
      <c r="L34" t="s">
        <v>1295</v>
      </c>
    </row>
    <row r="35" spans="1:12" x14ac:dyDescent="0.2">
      <c r="A35" t="s">
        <v>421</v>
      </c>
      <c r="B35">
        <v>294909</v>
      </c>
      <c r="D35" t="s">
        <v>363</v>
      </c>
      <c r="E35" t="s">
        <v>289</v>
      </c>
      <c r="F35" t="s">
        <v>349</v>
      </c>
      <c r="G35" t="s">
        <v>1394</v>
      </c>
      <c r="L35" t="s">
        <v>1295</v>
      </c>
    </row>
    <row r="36" spans="1:12" x14ac:dyDescent="0.2">
      <c r="A36" t="s">
        <v>421</v>
      </c>
      <c r="B36">
        <v>294910</v>
      </c>
      <c r="D36" t="s">
        <v>363</v>
      </c>
      <c r="E36" t="s">
        <v>289</v>
      </c>
      <c r="F36" t="s">
        <v>349</v>
      </c>
      <c r="G36" t="s">
        <v>1390</v>
      </c>
      <c r="L36" t="s">
        <v>1295</v>
      </c>
    </row>
    <row r="37" spans="1:12" x14ac:dyDescent="0.2">
      <c r="A37" t="s">
        <v>421</v>
      </c>
      <c r="B37">
        <v>294910</v>
      </c>
      <c r="D37" t="s">
        <v>363</v>
      </c>
      <c r="E37" t="s">
        <v>289</v>
      </c>
      <c r="F37" t="s">
        <v>349</v>
      </c>
      <c r="G37" t="s">
        <v>1393</v>
      </c>
      <c r="L37" t="s">
        <v>1295</v>
      </c>
    </row>
    <row r="38" spans="1:12" x14ac:dyDescent="0.2">
      <c r="A38" t="s">
        <v>421</v>
      </c>
      <c r="B38">
        <v>294910</v>
      </c>
      <c r="D38" t="s">
        <v>363</v>
      </c>
      <c r="E38" t="s">
        <v>289</v>
      </c>
      <c r="F38" t="s">
        <v>349</v>
      </c>
      <c r="G38" t="s">
        <v>1394</v>
      </c>
      <c r="L38" t="s">
        <v>1295</v>
      </c>
    </row>
    <row r="39" spans="1:12" x14ac:dyDescent="0.2">
      <c r="A39" t="s">
        <v>416</v>
      </c>
      <c r="B39">
        <v>294906</v>
      </c>
      <c r="D39" t="s">
        <v>363</v>
      </c>
      <c r="E39" t="s">
        <v>289</v>
      </c>
      <c r="F39" t="s">
        <v>349</v>
      </c>
      <c r="G39" t="s">
        <v>86</v>
      </c>
      <c r="L39" t="s">
        <v>1295</v>
      </c>
    </row>
    <row r="40" spans="1:12" x14ac:dyDescent="0.2">
      <c r="A40" t="s">
        <v>421</v>
      </c>
      <c r="B40">
        <v>294906</v>
      </c>
      <c r="D40" t="s">
        <v>363</v>
      </c>
      <c r="E40" t="s">
        <v>289</v>
      </c>
      <c r="F40" t="s">
        <v>349</v>
      </c>
      <c r="G40" t="s">
        <v>1403</v>
      </c>
      <c r="L40" t="s">
        <v>1295</v>
      </c>
    </row>
    <row r="41" spans="1:12" x14ac:dyDescent="0.2">
      <c r="A41" t="s">
        <v>421</v>
      </c>
      <c r="B41">
        <v>294907</v>
      </c>
      <c r="D41" t="s">
        <v>363</v>
      </c>
      <c r="E41" t="s">
        <v>289</v>
      </c>
      <c r="F41" t="s">
        <v>349</v>
      </c>
      <c r="G41" t="s">
        <v>1391</v>
      </c>
      <c r="L41" t="s">
        <v>1295</v>
      </c>
    </row>
    <row r="42" spans="1:12" x14ac:dyDescent="0.2">
      <c r="A42" t="s">
        <v>421</v>
      </c>
      <c r="B42">
        <v>294907</v>
      </c>
      <c r="D42" t="s">
        <v>363</v>
      </c>
      <c r="E42" t="s">
        <v>289</v>
      </c>
      <c r="F42" t="s">
        <v>349</v>
      </c>
      <c r="G42" t="s">
        <v>1390</v>
      </c>
      <c r="L42" t="s">
        <v>1295</v>
      </c>
    </row>
    <row r="43" spans="1:12" x14ac:dyDescent="0.2">
      <c r="A43" t="s">
        <v>421</v>
      </c>
      <c r="B43">
        <v>294908</v>
      </c>
      <c r="D43" t="s">
        <v>363</v>
      </c>
      <c r="E43" t="s">
        <v>289</v>
      </c>
      <c r="F43" t="s">
        <v>349</v>
      </c>
      <c r="G43" t="s">
        <v>1391</v>
      </c>
      <c r="L43" t="s">
        <v>1295</v>
      </c>
    </row>
    <row r="44" spans="1:12" x14ac:dyDescent="0.2">
      <c r="A44" t="s">
        <v>421</v>
      </c>
      <c r="B44">
        <v>294908</v>
      </c>
      <c r="D44" t="s">
        <v>363</v>
      </c>
      <c r="E44" t="s">
        <v>289</v>
      </c>
      <c r="F44" t="s">
        <v>349</v>
      </c>
      <c r="G44" t="s">
        <v>1390</v>
      </c>
      <c r="L44" t="s">
        <v>1295</v>
      </c>
    </row>
    <row r="45" spans="1:12" x14ac:dyDescent="0.2">
      <c r="A45" t="s">
        <v>421</v>
      </c>
      <c r="B45">
        <v>294911</v>
      </c>
      <c r="D45" t="s">
        <v>363</v>
      </c>
      <c r="E45" t="s">
        <v>289</v>
      </c>
      <c r="F45" t="s">
        <v>349</v>
      </c>
      <c r="G45" t="s">
        <v>1390</v>
      </c>
      <c r="L45" t="s">
        <v>1295</v>
      </c>
    </row>
    <row r="46" spans="1:12" x14ac:dyDescent="0.2">
      <c r="A46" t="s">
        <v>421</v>
      </c>
      <c r="B46">
        <v>294911</v>
      </c>
      <c r="D46" t="s">
        <v>363</v>
      </c>
      <c r="E46" t="s">
        <v>289</v>
      </c>
      <c r="F46" t="s">
        <v>349</v>
      </c>
      <c r="G46" t="s">
        <v>1393</v>
      </c>
      <c r="L46" t="s">
        <v>1295</v>
      </c>
    </row>
    <row r="47" spans="1:12" x14ac:dyDescent="0.2">
      <c r="A47" t="s">
        <v>421</v>
      </c>
      <c r="B47">
        <v>294911</v>
      </c>
      <c r="D47" t="s">
        <v>363</v>
      </c>
      <c r="E47" t="s">
        <v>289</v>
      </c>
      <c r="F47" t="s">
        <v>349</v>
      </c>
      <c r="G47" t="s">
        <v>1394</v>
      </c>
      <c r="L47" t="s">
        <v>1295</v>
      </c>
    </row>
    <row r="48" spans="1:12" x14ac:dyDescent="0.2">
      <c r="A48" t="s">
        <v>421</v>
      </c>
      <c r="B48">
        <v>294913</v>
      </c>
      <c r="D48" t="s">
        <v>363</v>
      </c>
      <c r="E48" t="s">
        <v>289</v>
      </c>
      <c r="F48" t="s">
        <v>349</v>
      </c>
      <c r="G48" t="s">
        <v>1390</v>
      </c>
      <c r="L48" t="s">
        <v>1295</v>
      </c>
    </row>
    <row r="49" spans="1:12" x14ac:dyDescent="0.2">
      <c r="A49" t="s">
        <v>421</v>
      </c>
      <c r="B49">
        <v>294913</v>
      </c>
      <c r="D49" t="s">
        <v>363</v>
      </c>
      <c r="E49" t="s">
        <v>289</v>
      </c>
      <c r="F49" t="s">
        <v>349</v>
      </c>
      <c r="G49" t="s">
        <v>1393</v>
      </c>
      <c r="L49" t="s">
        <v>1295</v>
      </c>
    </row>
    <row r="50" spans="1:12" x14ac:dyDescent="0.2">
      <c r="A50" t="s">
        <v>421</v>
      </c>
      <c r="B50">
        <v>294913</v>
      </c>
      <c r="D50" t="s">
        <v>363</v>
      </c>
      <c r="E50" t="s">
        <v>289</v>
      </c>
      <c r="F50" t="s">
        <v>349</v>
      </c>
      <c r="G50" t="s">
        <v>1394</v>
      </c>
      <c r="L50" t="s">
        <v>1295</v>
      </c>
    </row>
    <row r="51" spans="1:12" x14ac:dyDescent="0.2">
      <c r="A51" t="s">
        <v>421</v>
      </c>
      <c r="B51">
        <v>294914</v>
      </c>
      <c r="D51" t="s">
        <v>363</v>
      </c>
      <c r="E51" t="s">
        <v>289</v>
      </c>
      <c r="F51" t="s">
        <v>349</v>
      </c>
      <c r="G51" t="s">
        <v>1390</v>
      </c>
      <c r="L51" t="s">
        <v>1295</v>
      </c>
    </row>
    <row r="52" spans="1:12" x14ac:dyDescent="0.2">
      <c r="A52" t="s">
        <v>421</v>
      </c>
      <c r="B52">
        <v>294914</v>
      </c>
      <c r="D52" t="s">
        <v>363</v>
      </c>
      <c r="E52" t="s">
        <v>289</v>
      </c>
      <c r="F52" t="s">
        <v>349</v>
      </c>
      <c r="G52" t="s">
        <v>1393</v>
      </c>
      <c r="L52" t="s">
        <v>1295</v>
      </c>
    </row>
    <row r="53" spans="1:12" x14ac:dyDescent="0.2">
      <c r="A53" t="s">
        <v>421</v>
      </c>
      <c r="B53">
        <v>294914</v>
      </c>
      <c r="D53" t="s">
        <v>363</v>
      </c>
      <c r="E53" t="s">
        <v>289</v>
      </c>
      <c r="F53" t="s">
        <v>349</v>
      </c>
      <c r="G53" t="s">
        <v>1394</v>
      </c>
      <c r="L53" t="s">
        <v>1295</v>
      </c>
    </row>
    <row r="54" spans="1:12" x14ac:dyDescent="0.2">
      <c r="A54" t="s">
        <v>421</v>
      </c>
      <c r="B54">
        <v>294915</v>
      </c>
      <c r="D54" t="s">
        <v>363</v>
      </c>
      <c r="E54" t="s">
        <v>289</v>
      </c>
      <c r="F54" t="s">
        <v>349</v>
      </c>
      <c r="G54" t="s">
        <v>1390</v>
      </c>
      <c r="L54" t="s">
        <v>1295</v>
      </c>
    </row>
    <row r="55" spans="1:12" x14ac:dyDescent="0.2">
      <c r="A55" t="s">
        <v>421</v>
      </c>
      <c r="B55">
        <v>294915</v>
      </c>
      <c r="D55" t="s">
        <v>363</v>
      </c>
      <c r="E55" t="s">
        <v>289</v>
      </c>
      <c r="F55" t="s">
        <v>349</v>
      </c>
      <c r="G55" t="s">
        <v>1393</v>
      </c>
      <c r="L55" t="s">
        <v>1295</v>
      </c>
    </row>
    <row r="56" spans="1:12" x14ac:dyDescent="0.2">
      <c r="A56" t="s">
        <v>421</v>
      </c>
      <c r="B56">
        <v>294915</v>
      </c>
      <c r="D56" t="s">
        <v>363</v>
      </c>
      <c r="E56" t="s">
        <v>289</v>
      </c>
      <c r="F56" t="s">
        <v>349</v>
      </c>
      <c r="G56" t="s">
        <v>1394</v>
      </c>
      <c r="L56" t="s">
        <v>1295</v>
      </c>
    </row>
    <row r="57" spans="1:12" x14ac:dyDescent="0.2">
      <c r="A57" t="s">
        <v>421</v>
      </c>
      <c r="B57">
        <v>294912</v>
      </c>
      <c r="D57" t="s">
        <v>363</v>
      </c>
      <c r="E57" t="s">
        <v>289</v>
      </c>
      <c r="F57" t="s">
        <v>349</v>
      </c>
      <c r="G57" t="s">
        <v>1390</v>
      </c>
      <c r="L57" t="s">
        <v>1295</v>
      </c>
    </row>
    <row r="58" spans="1:12" x14ac:dyDescent="0.2">
      <c r="A58" t="s">
        <v>421</v>
      </c>
      <c r="B58">
        <v>294912</v>
      </c>
      <c r="D58" t="s">
        <v>363</v>
      </c>
      <c r="E58" t="s">
        <v>289</v>
      </c>
      <c r="F58" t="s">
        <v>349</v>
      </c>
      <c r="G58" t="s">
        <v>1393</v>
      </c>
      <c r="L58" t="s">
        <v>1295</v>
      </c>
    </row>
    <row r="59" spans="1:12" x14ac:dyDescent="0.2">
      <c r="A59" t="s">
        <v>421</v>
      </c>
      <c r="B59">
        <v>294912</v>
      </c>
      <c r="D59" t="s">
        <v>363</v>
      </c>
      <c r="E59" t="s">
        <v>289</v>
      </c>
      <c r="F59" t="s">
        <v>349</v>
      </c>
      <c r="G59" t="s">
        <v>1394</v>
      </c>
      <c r="L59" t="s">
        <v>1295</v>
      </c>
    </row>
    <row r="60" spans="1:12" x14ac:dyDescent="0.2">
      <c r="A60" t="s">
        <v>421</v>
      </c>
      <c r="B60">
        <v>294916</v>
      </c>
      <c r="D60" t="s">
        <v>363</v>
      </c>
      <c r="E60" t="s">
        <v>289</v>
      </c>
      <c r="F60" t="s">
        <v>349</v>
      </c>
      <c r="G60" t="s">
        <v>1390</v>
      </c>
      <c r="L60" t="s">
        <v>1295</v>
      </c>
    </row>
    <row r="61" spans="1:12" x14ac:dyDescent="0.2">
      <c r="A61" t="s">
        <v>421</v>
      </c>
      <c r="B61">
        <v>294916</v>
      </c>
      <c r="D61" t="s">
        <v>363</v>
      </c>
      <c r="E61" t="s">
        <v>289</v>
      </c>
      <c r="F61" t="s">
        <v>349</v>
      </c>
      <c r="G61" t="s">
        <v>1393</v>
      </c>
      <c r="L61" t="s">
        <v>1295</v>
      </c>
    </row>
    <row r="62" spans="1:12" x14ac:dyDescent="0.2">
      <c r="A62" t="s">
        <v>421</v>
      </c>
      <c r="B62">
        <v>294916</v>
      </c>
      <c r="D62" t="s">
        <v>363</v>
      </c>
      <c r="E62" t="s">
        <v>289</v>
      </c>
      <c r="F62" t="s">
        <v>349</v>
      </c>
      <c r="G62" t="s">
        <v>1394</v>
      </c>
      <c r="L62" t="s">
        <v>1295</v>
      </c>
    </row>
    <row r="63" spans="1:12" x14ac:dyDescent="0.2">
      <c r="A63" t="s">
        <v>421</v>
      </c>
      <c r="B63">
        <v>294917</v>
      </c>
      <c r="D63" t="s">
        <v>363</v>
      </c>
      <c r="E63" t="s">
        <v>289</v>
      </c>
      <c r="F63" t="s">
        <v>349</v>
      </c>
      <c r="G63" t="s">
        <v>1394</v>
      </c>
      <c r="L63" t="s">
        <v>1295</v>
      </c>
    </row>
    <row r="64" spans="1:12" x14ac:dyDescent="0.2">
      <c r="A64" t="s">
        <v>421</v>
      </c>
      <c r="B64">
        <v>294917</v>
      </c>
      <c r="D64" t="s">
        <v>363</v>
      </c>
      <c r="E64" t="s">
        <v>289</v>
      </c>
      <c r="F64" t="s">
        <v>349</v>
      </c>
      <c r="G64" t="s">
        <v>1403</v>
      </c>
      <c r="L64" t="s">
        <v>1295</v>
      </c>
    </row>
    <row r="65" spans="1:12" x14ac:dyDescent="0.2">
      <c r="A65" t="s">
        <v>421</v>
      </c>
      <c r="B65">
        <v>294919</v>
      </c>
      <c r="D65" t="s">
        <v>363</v>
      </c>
      <c r="E65" t="s">
        <v>289</v>
      </c>
      <c r="F65" t="s">
        <v>349</v>
      </c>
      <c r="G65" t="s">
        <v>1394</v>
      </c>
      <c r="L65" t="s">
        <v>1295</v>
      </c>
    </row>
    <row r="66" spans="1:12" x14ac:dyDescent="0.2">
      <c r="A66" t="s">
        <v>421</v>
      </c>
      <c r="B66">
        <v>294919</v>
      </c>
      <c r="D66" t="s">
        <v>363</v>
      </c>
      <c r="E66" t="s">
        <v>289</v>
      </c>
      <c r="F66" t="s">
        <v>349</v>
      </c>
      <c r="G66" t="s">
        <v>1390</v>
      </c>
      <c r="L66" t="s">
        <v>1295</v>
      </c>
    </row>
    <row r="67" spans="1:12" x14ac:dyDescent="0.2">
      <c r="A67" t="s">
        <v>421</v>
      </c>
      <c r="B67">
        <v>294920</v>
      </c>
      <c r="D67" t="s">
        <v>363</v>
      </c>
      <c r="E67" t="s">
        <v>289</v>
      </c>
      <c r="F67" t="s">
        <v>349</v>
      </c>
      <c r="G67" t="s">
        <v>1394</v>
      </c>
      <c r="L67" t="s">
        <v>1295</v>
      </c>
    </row>
    <row r="68" spans="1:12" x14ac:dyDescent="0.2">
      <c r="A68" t="s">
        <v>421</v>
      </c>
      <c r="B68">
        <v>294920</v>
      </c>
      <c r="D68" t="s">
        <v>363</v>
      </c>
      <c r="E68" t="s">
        <v>289</v>
      </c>
      <c r="F68" t="s">
        <v>349</v>
      </c>
      <c r="G68" t="s">
        <v>1390</v>
      </c>
      <c r="L68" t="s">
        <v>1295</v>
      </c>
    </row>
    <row r="69" spans="1:12" x14ac:dyDescent="0.2">
      <c r="A69" t="s">
        <v>421</v>
      </c>
      <c r="B69">
        <v>294918</v>
      </c>
      <c r="D69" t="s">
        <v>363</v>
      </c>
      <c r="E69" t="s">
        <v>289</v>
      </c>
      <c r="F69" t="s">
        <v>349</v>
      </c>
      <c r="G69" t="s">
        <v>1394</v>
      </c>
      <c r="L69" t="s">
        <v>1295</v>
      </c>
    </row>
    <row r="70" spans="1:12" x14ac:dyDescent="0.2">
      <c r="A70" t="s">
        <v>421</v>
      </c>
      <c r="B70">
        <v>294918</v>
      </c>
      <c r="D70" t="s">
        <v>363</v>
      </c>
      <c r="E70" t="s">
        <v>289</v>
      </c>
      <c r="F70" t="s">
        <v>349</v>
      </c>
      <c r="G70" t="s">
        <v>1390</v>
      </c>
      <c r="L70" t="s">
        <v>1295</v>
      </c>
    </row>
    <row r="71" spans="1:12" x14ac:dyDescent="0.2">
      <c r="A71" t="s">
        <v>421</v>
      </c>
      <c r="B71">
        <v>294921</v>
      </c>
      <c r="D71" t="s">
        <v>363</v>
      </c>
      <c r="E71" t="s">
        <v>289</v>
      </c>
      <c r="F71" t="s">
        <v>349</v>
      </c>
      <c r="G71" t="s">
        <v>1394</v>
      </c>
      <c r="L71" t="s">
        <v>1295</v>
      </c>
    </row>
    <row r="72" spans="1:12" x14ac:dyDescent="0.2">
      <c r="A72" t="s">
        <v>421</v>
      </c>
      <c r="B72">
        <v>294921</v>
      </c>
      <c r="D72" t="s">
        <v>363</v>
      </c>
      <c r="E72" t="s">
        <v>289</v>
      </c>
      <c r="F72" t="s">
        <v>349</v>
      </c>
      <c r="G72" t="s">
        <v>1390</v>
      </c>
      <c r="L72" t="s">
        <v>1295</v>
      </c>
    </row>
    <row r="73" spans="1:12" x14ac:dyDescent="0.2">
      <c r="A73" t="s">
        <v>421</v>
      </c>
      <c r="B73">
        <v>294922</v>
      </c>
      <c r="D73" t="s">
        <v>363</v>
      </c>
      <c r="E73" t="s">
        <v>289</v>
      </c>
      <c r="F73" t="s">
        <v>349</v>
      </c>
      <c r="G73" t="s">
        <v>1393</v>
      </c>
      <c r="L73" t="s">
        <v>1295</v>
      </c>
    </row>
    <row r="74" spans="1:12" x14ac:dyDescent="0.2">
      <c r="A74" t="s">
        <v>421</v>
      </c>
      <c r="B74">
        <v>294922</v>
      </c>
      <c r="D74" t="s">
        <v>363</v>
      </c>
      <c r="E74" t="s">
        <v>289</v>
      </c>
      <c r="F74" t="s">
        <v>349</v>
      </c>
      <c r="G74" t="s">
        <v>1394</v>
      </c>
      <c r="L74" t="s">
        <v>1295</v>
      </c>
    </row>
    <row r="75" spans="1:12" x14ac:dyDescent="0.2">
      <c r="A75" t="s">
        <v>421</v>
      </c>
      <c r="B75">
        <v>294922</v>
      </c>
      <c r="D75" t="s">
        <v>363</v>
      </c>
      <c r="E75" t="s">
        <v>289</v>
      </c>
      <c r="F75" t="s">
        <v>349</v>
      </c>
      <c r="G75" t="s">
        <v>1390</v>
      </c>
      <c r="L75" t="s">
        <v>1295</v>
      </c>
    </row>
    <row r="76" spans="1:12" x14ac:dyDescent="0.2">
      <c r="A76" t="s">
        <v>421</v>
      </c>
      <c r="B76">
        <v>294924</v>
      </c>
      <c r="D76" t="s">
        <v>363</v>
      </c>
      <c r="E76" t="s">
        <v>289</v>
      </c>
      <c r="F76" t="s">
        <v>349</v>
      </c>
      <c r="G76" t="s">
        <v>1393</v>
      </c>
      <c r="L76" t="s">
        <v>1295</v>
      </c>
    </row>
    <row r="77" spans="1:12" x14ac:dyDescent="0.2">
      <c r="A77" t="s">
        <v>421</v>
      </c>
      <c r="B77">
        <v>294924</v>
      </c>
      <c r="D77" t="s">
        <v>363</v>
      </c>
      <c r="E77" t="s">
        <v>289</v>
      </c>
      <c r="F77" t="s">
        <v>349</v>
      </c>
      <c r="G77" t="s">
        <v>1394</v>
      </c>
      <c r="L77" t="s">
        <v>1295</v>
      </c>
    </row>
    <row r="78" spans="1:12" x14ac:dyDescent="0.2">
      <c r="A78" t="s">
        <v>421</v>
      </c>
      <c r="B78">
        <v>294924</v>
      </c>
      <c r="D78" t="s">
        <v>363</v>
      </c>
      <c r="E78" t="s">
        <v>289</v>
      </c>
      <c r="F78" t="s">
        <v>349</v>
      </c>
      <c r="G78" t="s">
        <v>1390</v>
      </c>
      <c r="L78" t="s">
        <v>1295</v>
      </c>
    </row>
    <row r="79" spans="1:12" x14ac:dyDescent="0.2">
      <c r="A79" t="s">
        <v>421</v>
      </c>
      <c r="B79">
        <v>294923</v>
      </c>
      <c r="D79" t="s">
        <v>363</v>
      </c>
      <c r="E79" t="s">
        <v>289</v>
      </c>
      <c r="F79" t="s">
        <v>349</v>
      </c>
      <c r="G79" t="s">
        <v>1393</v>
      </c>
      <c r="L79" t="s">
        <v>1295</v>
      </c>
    </row>
    <row r="80" spans="1:12" x14ac:dyDescent="0.2">
      <c r="A80" t="s">
        <v>421</v>
      </c>
      <c r="B80">
        <v>294923</v>
      </c>
      <c r="D80" t="s">
        <v>363</v>
      </c>
      <c r="E80" t="s">
        <v>289</v>
      </c>
      <c r="F80" t="s">
        <v>349</v>
      </c>
      <c r="G80" t="s">
        <v>1394</v>
      </c>
      <c r="L80" t="s">
        <v>1295</v>
      </c>
    </row>
    <row r="81" spans="1:12" x14ac:dyDescent="0.2">
      <c r="A81" t="s">
        <v>421</v>
      </c>
      <c r="B81">
        <v>294923</v>
      </c>
      <c r="D81" t="s">
        <v>363</v>
      </c>
      <c r="E81" t="s">
        <v>289</v>
      </c>
      <c r="F81" t="s">
        <v>349</v>
      </c>
      <c r="G81" t="s">
        <v>1390</v>
      </c>
      <c r="L81" t="s">
        <v>1295</v>
      </c>
    </row>
    <row r="82" spans="1:12" x14ac:dyDescent="0.2">
      <c r="A82" t="s">
        <v>416</v>
      </c>
      <c r="B82">
        <v>294925</v>
      </c>
      <c r="D82" t="s">
        <v>363</v>
      </c>
      <c r="E82" t="s">
        <v>289</v>
      </c>
      <c r="F82" t="s">
        <v>349</v>
      </c>
      <c r="G82" t="s">
        <v>86</v>
      </c>
      <c r="L82" t="s">
        <v>1295</v>
      </c>
    </row>
    <row r="83" spans="1:12" x14ac:dyDescent="0.2">
      <c r="A83" t="s">
        <v>421</v>
      </c>
      <c r="B83">
        <v>294925</v>
      </c>
      <c r="D83" t="s">
        <v>363</v>
      </c>
      <c r="E83" t="s">
        <v>289</v>
      </c>
      <c r="F83" t="s">
        <v>349</v>
      </c>
      <c r="G83" t="s">
        <v>1390</v>
      </c>
      <c r="L83" t="s">
        <v>1295</v>
      </c>
    </row>
    <row r="84" spans="1:12" x14ac:dyDescent="0.2">
      <c r="A84" t="s">
        <v>421</v>
      </c>
      <c r="B84">
        <v>294926</v>
      </c>
      <c r="D84" t="s">
        <v>363</v>
      </c>
      <c r="E84" t="s">
        <v>289</v>
      </c>
      <c r="F84" t="s">
        <v>349</v>
      </c>
      <c r="G84" t="s">
        <v>1391</v>
      </c>
      <c r="L84" t="s">
        <v>1295</v>
      </c>
    </row>
    <row r="85" spans="1:12" x14ac:dyDescent="0.2">
      <c r="A85" t="s">
        <v>421</v>
      </c>
      <c r="B85">
        <v>294926</v>
      </c>
      <c r="D85" t="s">
        <v>363</v>
      </c>
      <c r="E85" t="s">
        <v>289</v>
      </c>
      <c r="F85" t="s">
        <v>349</v>
      </c>
      <c r="G85" t="s">
        <v>1390</v>
      </c>
      <c r="L85" t="s">
        <v>1295</v>
      </c>
    </row>
    <row r="86" spans="1:12" x14ac:dyDescent="0.2">
      <c r="A86" t="s">
        <v>421</v>
      </c>
      <c r="B86">
        <v>294927</v>
      </c>
      <c r="D86" t="s">
        <v>363</v>
      </c>
      <c r="E86" t="s">
        <v>289</v>
      </c>
      <c r="F86" t="s">
        <v>349</v>
      </c>
      <c r="G86" t="s">
        <v>1391</v>
      </c>
      <c r="L86" t="s">
        <v>1295</v>
      </c>
    </row>
    <row r="87" spans="1:12" x14ac:dyDescent="0.2">
      <c r="A87" t="s">
        <v>421</v>
      </c>
      <c r="B87">
        <v>294927</v>
      </c>
      <c r="D87" t="s">
        <v>363</v>
      </c>
      <c r="E87" t="s">
        <v>289</v>
      </c>
      <c r="F87" t="s">
        <v>349</v>
      </c>
      <c r="G87" t="s">
        <v>1390</v>
      </c>
      <c r="L87" t="s">
        <v>1295</v>
      </c>
    </row>
    <row r="88" spans="1:12" x14ac:dyDescent="0.2">
      <c r="A88" t="s">
        <v>421</v>
      </c>
      <c r="B88">
        <v>294929</v>
      </c>
      <c r="D88" t="s">
        <v>363</v>
      </c>
      <c r="E88" t="s">
        <v>289</v>
      </c>
      <c r="F88" t="s">
        <v>349</v>
      </c>
      <c r="G88" t="s">
        <v>1393</v>
      </c>
      <c r="L88" t="s">
        <v>1295</v>
      </c>
    </row>
    <row r="89" spans="1:12" x14ac:dyDescent="0.2">
      <c r="A89" t="s">
        <v>421</v>
      </c>
      <c r="B89">
        <v>294929</v>
      </c>
      <c r="D89" t="s">
        <v>363</v>
      </c>
      <c r="E89" t="s">
        <v>289</v>
      </c>
      <c r="F89" t="s">
        <v>349</v>
      </c>
      <c r="G89" t="s">
        <v>1394</v>
      </c>
      <c r="L89" t="s">
        <v>1295</v>
      </c>
    </row>
    <row r="90" spans="1:12" x14ac:dyDescent="0.2">
      <c r="A90" t="s">
        <v>421</v>
      </c>
      <c r="B90">
        <v>294929</v>
      </c>
      <c r="D90" t="s">
        <v>363</v>
      </c>
      <c r="E90" t="s">
        <v>289</v>
      </c>
      <c r="F90" t="s">
        <v>349</v>
      </c>
      <c r="G90" t="s">
        <v>1390</v>
      </c>
      <c r="L90" t="s">
        <v>1295</v>
      </c>
    </row>
    <row r="91" spans="1:12" x14ac:dyDescent="0.2">
      <c r="A91" t="s">
        <v>416</v>
      </c>
      <c r="B91">
        <v>294930</v>
      </c>
      <c r="D91" t="s">
        <v>363</v>
      </c>
      <c r="E91" t="s">
        <v>289</v>
      </c>
      <c r="F91" t="s">
        <v>349</v>
      </c>
      <c r="G91" t="s">
        <v>86</v>
      </c>
      <c r="L91" t="s">
        <v>1295</v>
      </c>
    </row>
    <row r="92" spans="1:12" x14ac:dyDescent="0.2">
      <c r="A92" t="s">
        <v>421</v>
      </c>
      <c r="B92">
        <v>294930</v>
      </c>
      <c r="D92" t="s">
        <v>363</v>
      </c>
      <c r="E92" t="s">
        <v>289</v>
      </c>
      <c r="F92" t="s">
        <v>349</v>
      </c>
      <c r="G92" t="s">
        <v>1403</v>
      </c>
      <c r="L92" t="s">
        <v>1295</v>
      </c>
    </row>
    <row r="93" spans="1:12" x14ac:dyDescent="0.2">
      <c r="A93" t="s">
        <v>421</v>
      </c>
      <c r="B93">
        <v>294928</v>
      </c>
      <c r="D93" t="s">
        <v>363</v>
      </c>
      <c r="E93" t="s">
        <v>289</v>
      </c>
      <c r="F93" t="s">
        <v>349</v>
      </c>
      <c r="G93" t="s">
        <v>1391</v>
      </c>
      <c r="L93" t="s">
        <v>1295</v>
      </c>
    </row>
    <row r="94" spans="1:12" x14ac:dyDescent="0.2">
      <c r="A94" t="s">
        <v>421</v>
      </c>
      <c r="B94">
        <v>294928</v>
      </c>
      <c r="D94" t="s">
        <v>363</v>
      </c>
      <c r="E94" t="s">
        <v>289</v>
      </c>
      <c r="F94" t="s">
        <v>349</v>
      </c>
      <c r="G94" t="s">
        <v>1390</v>
      </c>
      <c r="L94" t="s">
        <v>1295</v>
      </c>
    </row>
    <row r="95" spans="1:12" x14ac:dyDescent="0.2">
      <c r="A95" t="s">
        <v>421</v>
      </c>
      <c r="B95">
        <v>294931</v>
      </c>
      <c r="D95" t="s">
        <v>363</v>
      </c>
      <c r="E95" t="s">
        <v>289</v>
      </c>
      <c r="F95" t="s">
        <v>349</v>
      </c>
      <c r="G95" t="s">
        <v>1393</v>
      </c>
      <c r="L95" t="s">
        <v>1295</v>
      </c>
    </row>
    <row r="96" spans="1:12" x14ac:dyDescent="0.2">
      <c r="A96" t="s">
        <v>421</v>
      </c>
      <c r="B96">
        <v>294931</v>
      </c>
      <c r="D96" t="s">
        <v>363</v>
      </c>
      <c r="E96" t="s">
        <v>289</v>
      </c>
      <c r="F96" t="s">
        <v>349</v>
      </c>
      <c r="G96" t="s">
        <v>1394</v>
      </c>
      <c r="L96" t="s">
        <v>1295</v>
      </c>
    </row>
    <row r="97" spans="1:12" x14ac:dyDescent="0.2">
      <c r="A97" t="s">
        <v>421</v>
      </c>
      <c r="B97">
        <v>294931</v>
      </c>
      <c r="D97" t="s">
        <v>363</v>
      </c>
      <c r="E97" t="s">
        <v>289</v>
      </c>
      <c r="F97" t="s">
        <v>349</v>
      </c>
      <c r="G97" t="s">
        <v>1390</v>
      </c>
      <c r="L97" t="s">
        <v>1295</v>
      </c>
    </row>
    <row r="98" spans="1:12" x14ac:dyDescent="0.2">
      <c r="A98" t="s">
        <v>421</v>
      </c>
      <c r="B98">
        <v>294932</v>
      </c>
      <c r="D98" t="s">
        <v>363</v>
      </c>
      <c r="E98" t="s">
        <v>289</v>
      </c>
      <c r="F98" t="s">
        <v>349</v>
      </c>
      <c r="G98" t="s">
        <v>1391</v>
      </c>
      <c r="L98" t="s">
        <v>1295</v>
      </c>
    </row>
    <row r="99" spans="1:12" x14ac:dyDescent="0.2">
      <c r="A99" t="s">
        <v>421</v>
      </c>
      <c r="B99">
        <v>294932</v>
      </c>
      <c r="D99" t="s">
        <v>363</v>
      </c>
      <c r="E99" t="s">
        <v>289</v>
      </c>
      <c r="F99" t="s">
        <v>349</v>
      </c>
      <c r="G99" t="s">
        <v>1403</v>
      </c>
      <c r="L99" t="s">
        <v>1295</v>
      </c>
    </row>
    <row r="100" spans="1:12" x14ac:dyDescent="0.2">
      <c r="A100" t="s">
        <v>421</v>
      </c>
      <c r="B100">
        <v>294933</v>
      </c>
      <c r="D100" t="s">
        <v>363</v>
      </c>
      <c r="E100" t="s">
        <v>289</v>
      </c>
      <c r="F100" t="s">
        <v>349</v>
      </c>
      <c r="G100" t="s">
        <v>1391</v>
      </c>
      <c r="L100" t="s">
        <v>1295</v>
      </c>
    </row>
    <row r="101" spans="1:12" x14ac:dyDescent="0.2">
      <c r="A101" t="s">
        <v>421</v>
      </c>
      <c r="B101">
        <v>294933</v>
      </c>
      <c r="D101" t="s">
        <v>363</v>
      </c>
      <c r="E101" t="s">
        <v>289</v>
      </c>
      <c r="F101" t="s">
        <v>349</v>
      </c>
      <c r="G101" t="s">
        <v>1390</v>
      </c>
      <c r="L101" t="s">
        <v>1295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C99AB4163C074683241C0831DF556B" ma:contentTypeVersion="11" ma:contentTypeDescription="Create a new document." ma:contentTypeScope="" ma:versionID="81680e582c154161b736b460219cbbac">
  <xsd:schema xmlns:xsd="http://www.w3.org/2001/XMLSchema" xmlns:xs="http://www.w3.org/2001/XMLSchema" xmlns:p="http://schemas.microsoft.com/office/2006/metadata/properties" xmlns:ns1="http://schemas.microsoft.com/sharepoint/v3" xmlns:ns2="7d7a42e1-393c-48ae-a90e-e708e5b4545e" xmlns:ns3="c66a77b0-1365-4a23-bfa1-53a051dce7f7" targetNamespace="http://schemas.microsoft.com/office/2006/metadata/properties" ma:root="true" ma:fieldsID="94b0e4c735309375f6ed13991ea7fcc7" ns1:_="" ns2:_="" ns3:_="">
    <xsd:import namespace="http://schemas.microsoft.com/sharepoint/v3"/>
    <xsd:import namespace="7d7a42e1-393c-48ae-a90e-e708e5b4545e"/>
    <xsd:import namespace="c66a77b0-1365-4a23-bfa1-53a051dce7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PublishingStartDate" minOccurs="0"/>
                <xsd:element ref="ns1:PublishingExpirationDat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0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1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7a42e1-393c-48ae-a90e-e708e5b454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6a77b0-1365-4a23-bfa1-53a051dce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302366F-CBC0-4CCA-99E2-1F21D2A04A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d7a42e1-393c-48ae-a90e-e708e5b4545e"/>
    <ds:schemaRef ds:uri="c66a77b0-1365-4a23-bfa1-53a051dce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0B3AD8-A343-40E5-878A-270C9CC5757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7F883C-6F89-467D-A337-5F68372A2BB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B6EEA7A-7994-4D00-BE12-EF915CD9280A}">
  <ds:schemaRefs>
    <ds:schemaRef ds:uri="c66a77b0-1365-4a23-bfa1-53a051dce7f7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terms/"/>
    <ds:schemaRef ds:uri="7d7a42e1-393c-48ae-a90e-e708e5b4545e"/>
    <ds:schemaRef ds:uri="http://schemas.microsoft.com/sharepoint/v3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17</vt:i4>
      </vt:variant>
    </vt:vector>
  </HeadingPairs>
  <TitlesOfParts>
    <vt:vector size="32" baseType="lpstr">
      <vt:lpstr>Version History</vt:lpstr>
      <vt:lpstr>Summary</vt:lpstr>
      <vt:lpstr>Transactions</vt:lpstr>
      <vt:lpstr>As Cons</vt:lpstr>
      <vt:lpstr>Project-Wide Costs</vt:lpstr>
      <vt:lpstr>New Assets</vt:lpstr>
      <vt:lpstr>Disposed Assets</vt:lpstr>
      <vt:lpstr>Handover Cost Report</vt:lpstr>
      <vt:lpstr>Z8290_Assetic_DisposedVals</vt:lpstr>
      <vt:lpstr>Z8290_Assetic_DisposedAssets</vt:lpstr>
      <vt:lpstr>_Assetic_CapExRenewals</vt:lpstr>
      <vt:lpstr>Z8290_Assetic_NewValuations</vt:lpstr>
      <vt:lpstr>Z8290_Assetic_NewMeasure</vt:lpstr>
      <vt:lpstr>Z8290_Assetic_NewComponent</vt:lpstr>
      <vt:lpstr>Z8290_Assetic_NewAssets</vt:lpstr>
      <vt:lpstr>CPD_Total_Assets_Costs</vt:lpstr>
      <vt:lpstr>DA_Total_Amount</vt:lpstr>
      <vt:lpstr>FI_Actual_Budget</vt:lpstr>
      <vt:lpstr>FI_Closing_Balance</vt:lpstr>
      <vt:lpstr>FI_CY_Expenditure</vt:lpstr>
      <vt:lpstr>FI_Opening_Balance</vt:lpstr>
      <vt:lpstr>FI_Overhead_Percentage</vt:lpstr>
      <vt:lpstr>FI_Prev_Overhead</vt:lpstr>
      <vt:lpstr>FI_Total_Budget</vt:lpstr>
      <vt:lpstr>NA_Total_Costs</vt:lpstr>
      <vt:lpstr>PR_Asset_Manager</vt:lpstr>
      <vt:lpstr>PR_Project_Manager</vt:lpstr>
      <vt:lpstr>PR_Project_Name</vt:lpstr>
      <vt:lpstr>PR_T1_Number</vt:lpstr>
      <vt:lpstr>PW_Total_Costs</vt:lpstr>
      <vt:lpstr>RA_Total_Costs</vt:lpstr>
      <vt:lpstr>Total_Write_Off_Costs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Amer Acosta</dc:creator>
  <cp:keywords/>
  <dc:description/>
  <cp:lastModifiedBy>Josh Roberts</cp:lastModifiedBy>
  <cp:revision/>
  <dcterms:created xsi:type="dcterms:W3CDTF">2018-10-31T02:25:12Z</dcterms:created>
  <dcterms:modified xsi:type="dcterms:W3CDTF">2026-02-06T00:55:41Z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0x01010015C99AB4163C074683241C0831DF556B</vt:lpwstr>
  </property>
  <property fmtid="{D5CDD505-2E9C-101B-9397-08002B2CF9AE}" pid="3" name="AuthorIds_UIVersion_9216">
    <vt:lpwstr>142</vt:lpwstr>
  </property>
</Properties>
</file>